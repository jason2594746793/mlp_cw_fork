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pandrea2/Downloads/"/>
    </mc:Choice>
  </mc:AlternateContent>
  <xr:revisionPtr revIDLastSave="0" documentId="8_{A3788CC4-FA51-0D41-BD8A-CDED83BDA80A}" xr6:coauthVersionLast="47" xr6:coauthVersionMax="47" xr10:uidLastSave="{00000000-0000-0000-0000-000000000000}"/>
  <bookViews>
    <workbookView xWindow="10520" yWindow="640" windowWidth="19720" windowHeight="19000" tabRatio="500" xr2:uid="{00000000-000D-0000-FFFF-FFFF00000000}"/>
  </bookViews>
  <sheets>
    <sheet name="Draft Student-facing 25-26 CW1" sheetId="18" r:id="rId1"/>
    <sheet name="Task 2a - Mitigating the Proble" sheetId="2" state="hidden" r:id="rId2"/>
    <sheet name="Summary" sheetId="6" state="hidden" r:id="rId3"/>
    <sheet name="Collate Feedback" sheetId="13" state="hidden" r:id="rId4"/>
    <sheet name="Paste for Upload" sheetId="14" state="hidden" r:id="rId5"/>
    <sheet name="Paste for Upload (Late)" sheetId="16" state="hidden" r:id="rId6"/>
    <sheet name="Early_code" sheetId="10" state="hidden" r:id="rId7"/>
    <sheet name="Sheet1" sheetId="15" state="hidden" r:id="rId8"/>
    <sheet name="Early_code (2)" sheetId="11" state="hidden" r:id="rId9"/>
    <sheet name="Late vs Early" sheetId="12"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7" i="13" l="1"/>
  <c r="A205" i="6"/>
  <c r="A205" i="13" s="1"/>
  <c r="A206" i="6"/>
  <c r="A206" i="13" s="1"/>
  <c r="A207" i="6"/>
  <c r="A207" i="13" s="1"/>
  <c r="A208" i="6"/>
  <c r="A208" i="13" s="1"/>
  <c r="A209" i="6"/>
  <c r="A209" i="13" s="1"/>
  <c r="A210" i="6"/>
  <c r="A210" i="13" s="1"/>
  <c r="A211" i="6"/>
  <c r="A211" i="13" s="1"/>
  <c r="A212" i="6"/>
  <c r="A212" i="13" s="1"/>
  <c r="A213" i="6"/>
  <c r="A213" i="13" s="1"/>
  <c r="J205" i="13"/>
  <c r="V205" i="13"/>
  <c r="BH205" i="13" s="1"/>
  <c r="Y205" i="13"/>
  <c r="AB205" i="13"/>
  <c r="AE205" i="13"/>
  <c r="AH205" i="13"/>
  <c r="AK205" i="13"/>
  <c r="AN205" i="13"/>
  <c r="AQ205" i="13"/>
  <c r="AT205" i="13"/>
  <c r="AW205" i="13"/>
  <c r="AZ205" i="13"/>
  <c r="BC205" i="13"/>
  <c r="BF205" i="13"/>
  <c r="BL205" i="13"/>
  <c r="BN205" i="13"/>
  <c r="BR205" i="13"/>
  <c r="CL205" i="13" s="1"/>
  <c r="BU205" i="13"/>
  <c r="BX205" i="13"/>
  <c r="CA205" i="13"/>
  <c r="CD205" i="13"/>
  <c r="CG205" i="13"/>
  <c r="CJ205" i="13"/>
  <c r="CP205" i="13"/>
  <c r="CS205" i="13"/>
  <c r="CV205" i="13"/>
  <c r="CY205" i="13"/>
  <c r="DB205" i="13"/>
  <c r="DH205" i="13"/>
  <c r="DK205" i="13"/>
  <c r="J206" i="13"/>
  <c r="V206" i="13"/>
  <c r="BH206" i="13" s="1"/>
  <c r="Y206" i="13"/>
  <c r="AB206" i="13"/>
  <c r="AE206" i="13"/>
  <c r="AH206" i="13"/>
  <c r="AK206" i="13"/>
  <c r="AN206" i="13"/>
  <c r="AQ206" i="13"/>
  <c r="AT206" i="13"/>
  <c r="AW206" i="13"/>
  <c r="AZ206" i="13"/>
  <c r="BC206" i="13"/>
  <c r="BF206" i="13"/>
  <c r="BL206" i="13"/>
  <c r="BN206" i="13"/>
  <c r="BR206" i="13"/>
  <c r="CL206" i="13" s="1"/>
  <c r="BU206" i="13"/>
  <c r="BX206" i="13"/>
  <c r="CA206" i="13"/>
  <c r="CD206" i="13"/>
  <c r="CG206" i="13"/>
  <c r="CJ206" i="13"/>
  <c r="CP206" i="13"/>
  <c r="CS206" i="13"/>
  <c r="CV206" i="13"/>
  <c r="CY206" i="13"/>
  <c r="DB206" i="13"/>
  <c r="DH206" i="13"/>
  <c r="DM206" i="13" s="1"/>
  <c r="DK206" i="13"/>
  <c r="J207" i="13"/>
  <c r="V207" i="13"/>
  <c r="BH207" i="13" s="1"/>
  <c r="Y207" i="13"/>
  <c r="AB207" i="13"/>
  <c r="AE207" i="13"/>
  <c r="AH207" i="13"/>
  <c r="AK207" i="13"/>
  <c r="AN207" i="13"/>
  <c r="AQ207" i="13"/>
  <c r="AT207" i="13"/>
  <c r="AW207" i="13"/>
  <c r="AZ207" i="13"/>
  <c r="BC207" i="13"/>
  <c r="BF207" i="13"/>
  <c r="BL207" i="13"/>
  <c r="BN207" i="13"/>
  <c r="BR207" i="13"/>
  <c r="CL207" i="13" s="1"/>
  <c r="BU207" i="13"/>
  <c r="BX207" i="13"/>
  <c r="CA207" i="13"/>
  <c r="CD207" i="13"/>
  <c r="CG207" i="13"/>
  <c r="CJ207" i="13"/>
  <c r="CP207" i="13"/>
  <c r="CS207" i="13"/>
  <c r="CV207" i="13"/>
  <c r="CY207" i="13"/>
  <c r="DB207" i="13"/>
  <c r="DH207" i="13"/>
  <c r="DM207" i="13" s="1"/>
  <c r="DK207" i="13"/>
  <c r="J208" i="13"/>
  <c r="V208" i="13"/>
  <c r="BH208" i="13" s="1"/>
  <c r="Y208" i="13"/>
  <c r="AB208" i="13"/>
  <c r="AE208" i="13"/>
  <c r="AH208" i="13"/>
  <c r="AK208" i="13"/>
  <c r="AN208" i="13"/>
  <c r="AQ208" i="13"/>
  <c r="AT208" i="13"/>
  <c r="AW208" i="13"/>
  <c r="AZ208" i="13"/>
  <c r="BC208" i="13"/>
  <c r="BF208" i="13"/>
  <c r="BL208" i="13"/>
  <c r="BN208" i="13"/>
  <c r="BR208" i="13"/>
  <c r="CL208" i="13" s="1"/>
  <c r="BU208" i="13"/>
  <c r="BX208" i="13"/>
  <c r="CA208" i="13"/>
  <c r="CD208" i="13"/>
  <c r="CG208" i="13"/>
  <c r="CJ208" i="13"/>
  <c r="CP208" i="13"/>
  <c r="CS208" i="13"/>
  <c r="CV208" i="13"/>
  <c r="CY208" i="13"/>
  <c r="DB208" i="13"/>
  <c r="DH208" i="13"/>
  <c r="DK208" i="13"/>
  <c r="J209" i="13"/>
  <c r="V209" i="13"/>
  <c r="BH209" i="13" s="1"/>
  <c r="Y209" i="13"/>
  <c r="AB209" i="13"/>
  <c r="AE209" i="13"/>
  <c r="AH209" i="13"/>
  <c r="AK209" i="13"/>
  <c r="AN209" i="13"/>
  <c r="AQ209" i="13"/>
  <c r="AT209" i="13"/>
  <c r="AW209" i="13"/>
  <c r="AZ209" i="13"/>
  <c r="BC209" i="13"/>
  <c r="BF209" i="13"/>
  <c r="BL209" i="13"/>
  <c r="BN209" i="13"/>
  <c r="BR209" i="13"/>
  <c r="CL209" i="13" s="1"/>
  <c r="BU209" i="13"/>
  <c r="BX209" i="13"/>
  <c r="CA209" i="13"/>
  <c r="CD209" i="13"/>
  <c r="CG209" i="13"/>
  <c r="CJ209" i="13"/>
  <c r="CP209" i="13"/>
  <c r="CS209" i="13"/>
  <c r="CV209" i="13"/>
  <c r="CY209" i="13"/>
  <c r="DB209" i="13"/>
  <c r="DH209" i="13"/>
  <c r="DK209" i="13"/>
  <c r="DM209" i="13"/>
  <c r="J210" i="13"/>
  <c r="V210" i="13"/>
  <c r="BH210" i="13" s="1"/>
  <c r="Y210" i="13"/>
  <c r="AB210" i="13"/>
  <c r="AE210" i="13"/>
  <c r="AH210" i="13"/>
  <c r="AK210" i="13"/>
  <c r="AN210" i="13"/>
  <c r="AQ210" i="13"/>
  <c r="AT210" i="13"/>
  <c r="AW210" i="13"/>
  <c r="AZ210" i="13"/>
  <c r="BC210" i="13"/>
  <c r="BF210" i="13"/>
  <c r="BL210" i="13"/>
  <c r="BN210" i="13"/>
  <c r="BR210" i="13"/>
  <c r="CL210" i="13" s="1"/>
  <c r="BU210" i="13"/>
  <c r="BX210" i="13"/>
  <c r="CA210" i="13"/>
  <c r="CD210" i="13"/>
  <c r="CG210" i="13"/>
  <c r="CJ210" i="13"/>
  <c r="CP210" i="13"/>
  <c r="CS210" i="13"/>
  <c r="CV210" i="13"/>
  <c r="CY210" i="13"/>
  <c r="DB210" i="13"/>
  <c r="DH210" i="13"/>
  <c r="DK210" i="13"/>
  <c r="J211" i="13"/>
  <c r="V211" i="13"/>
  <c r="BH211" i="13" s="1"/>
  <c r="Y211" i="13"/>
  <c r="AB211" i="13"/>
  <c r="AE211" i="13"/>
  <c r="AH211" i="13"/>
  <c r="AK211" i="13"/>
  <c r="AN211" i="13"/>
  <c r="AQ211" i="13"/>
  <c r="AT211" i="13"/>
  <c r="AW211" i="13"/>
  <c r="AZ211" i="13"/>
  <c r="BC211" i="13"/>
  <c r="BF211" i="13"/>
  <c r="BL211" i="13"/>
  <c r="BN211" i="13"/>
  <c r="BR211" i="13"/>
  <c r="CL211" i="13" s="1"/>
  <c r="BU211" i="13"/>
  <c r="BX211" i="13"/>
  <c r="CA211" i="13"/>
  <c r="CD211" i="13"/>
  <c r="CG211" i="13"/>
  <c r="CJ211" i="13"/>
  <c r="CP211" i="13"/>
  <c r="CS211" i="13"/>
  <c r="CV211" i="13"/>
  <c r="CY211" i="13"/>
  <c r="DB211" i="13"/>
  <c r="DH211" i="13"/>
  <c r="DK211" i="13"/>
  <c r="J212" i="13"/>
  <c r="V212" i="13"/>
  <c r="BH212" i="13" s="1"/>
  <c r="Y212" i="13"/>
  <c r="AB212" i="13"/>
  <c r="AE212" i="13"/>
  <c r="AH212" i="13"/>
  <c r="AK212" i="13"/>
  <c r="AN212" i="13"/>
  <c r="AQ212" i="13"/>
  <c r="AT212" i="13"/>
  <c r="AW212" i="13"/>
  <c r="AZ212" i="13"/>
  <c r="BC212" i="13"/>
  <c r="BF212" i="13"/>
  <c r="BL212" i="13"/>
  <c r="BN212" i="13"/>
  <c r="BR212" i="13"/>
  <c r="CL212" i="13" s="1"/>
  <c r="BU212" i="13"/>
  <c r="BX212" i="13"/>
  <c r="CA212" i="13"/>
  <c r="CD212" i="13"/>
  <c r="CG212" i="13"/>
  <c r="CJ212" i="13"/>
  <c r="CP212" i="13"/>
  <c r="CS212" i="13"/>
  <c r="CV212" i="13"/>
  <c r="CY212" i="13"/>
  <c r="DB212" i="13"/>
  <c r="DH212" i="13"/>
  <c r="DK212" i="13"/>
  <c r="F213" i="13"/>
  <c r="H213" i="13"/>
  <c r="J213" i="13"/>
  <c r="L213" i="13"/>
  <c r="N213" i="13"/>
  <c r="P213" i="13"/>
  <c r="V213" i="13"/>
  <c r="BH213" i="13" s="1"/>
  <c r="Y213" i="13"/>
  <c r="AB213" i="13"/>
  <c r="AE213" i="13"/>
  <c r="AH213" i="13"/>
  <c r="AK213" i="13"/>
  <c r="AN213" i="13"/>
  <c r="AQ213" i="13"/>
  <c r="AT213" i="13"/>
  <c r="AW213" i="13"/>
  <c r="AZ213" i="13"/>
  <c r="BC213" i="13"/>
  <c r="BF213" i="13"/>
  <c r="BL213" i="13"/>
  <c r="BN213" i="13"/>
  <c r="BR213" i="13"/>
  <c r="CL213" i="13" s="1"/>
  <c r="BU213" i="13"/>
  <c r="BX213" i="13"/>
  <c r="CA213" i="13"/>
  <c r="CD213" i="13"/>
  <c r="CG213" i="13"/>
  <c r="CJ213" i="13"/>
  <c r="CP213" i="13"/>
  <c r="DD213" i="13" s="1"/>
  <c r="CS213" i="13"/>
  <c r="CV213" i="13"/>
  <c r="CY213" i="13"/>
  <c r="DB213" i="13"/>
  <c r="DH213" i="13"/>
  <c r="DK213" i="13"/>
  <c r="DM213" i="13"/>
  <c r="B205" i="6"/>
  <c r="C205" i="13" s="1"/>
  <c r="E205" i="6"/>
  <c r="B206" i="6"/>
  <c r="C206" i="13" s="1"/>
  <c r="E206" i="6"/>
  <c r="B207" i="6"/>
  <c r="C207" i="13" s="1"/>
  <c r="E207" i="6"/>
  <c r="B208" i="6"/>
  <c r="C208" i="13" s="1"/>
  <c r="E208" i="6"/>
  <c r="B209" i="6"/>
  <c r="C209" i="13" s="1"/>
  <c r="E209" i="6"/>
  <c r="B210" i="6"/>
  <c r="C210" i="13" s="1"/>
  <c r="E210" i="6"/>
  <c r="B211" i="6"/>
  <c r="C211" i="13" s="1"/>
  <c r="E211" i="6"/>
  <c r="B212" i="6"/>
  <c r="C212" i="13" s="1"/>
  <c r="E212" i="6"/>
  <c r="B213" i="6"/>
  <c r="C213" i="13" s="1"/>
  <c r="R213" i="13" s="1"/>
  <c r="M2" i="15"/>
  <c r="M1" i="15"/>
  <c r="DH8" i="13"/>
  <c r="DK8" i="13"/>
  <c r="DH9" i="13"/>
  <c r="DK9" i="13"/>
  <c r="DH10" i="13"/>
  <c r="DM10" i="13" s="1"/>
  <c r="DK10" i="13"/>
  <c r="DH11" i="13"/>
  <c r="DK11" i="13"/>
  <c r="DH12" i="13"/>
  <c r="DK12" i="13"/>
  <c r="DH13" i="13"/>
  <c r="DK13" i="13"/>
  <c r="DH14" i="13"/>
  <c r="DK14" i="13"/>
  <c r="DH15" i="13"/>
  <c r="DK15" i="13"/>
  <c r="DH16" i="13"/>
  <c r="DK16" i="13"/>
  <c r="DH17" i="13"/>
  <c r="DM17" i="13" s="1"/>
  <c r="DK17" i="13"/>
  <c r="DH18" i="13"/>
  <c r="DK18" i="13"/>
  <c r="DM18" i="13"/>
  <c r="DH19" i="13"/>
  <c r="DK19" i="13"/>
  <c r="DH20" i="13"/>
  <c r="DK20" i="13"/>
  <c r="DH21" i="13"/>
  <c r="DM21" i="13" s="1"/>
  <c r="DK21" i="13"/>
  <c r="DH22" i="13"/>
  <c r="DK22" i="13"/>
  <c r="DM22" i="13"/>
  <c r="DH23" i="13"/>
  <c r="DK23" i="13"/>
  <c r="DH24" i="13"/>
  <c r="DK24" i="13"/>
  <c r="DH25" i="13"/>
  <c r="DK25" i="13"/>
  <c r="DH26" i="13"/>
  <c r="DM26" i="13" s="1"/>
  <c r="DK26" i="13"/>
  <c r="DH27" i="13"/>
  <c r="DK27" i="13"/>
  <c r="DH28" i="13"/>
  <c r="DK28" i="13"/>
  <c r="DH29" i="13"/>
  <c r="DK29" i="13"/>
  <c r="DM29" i="13" s="1"/>
  <c r="DH30" i="13"/>
  <c r="DK30" i="13"/>
  <c r="DH31" i="13"/>
  <c r="DK31" i="13"/>
  <c r="DH32" i="13"/>
  <c r="DK32" i="13"/>
  <c r="DH33" i="13"/>
  <c r="DM33" i="13" s="1"/>
  <c r="DK33" i="13"/>
  <c r="DH34" i="13"/>
  <c r="DK34" i="13"/>
  <c r="DM34" i="13"/>
  <c r="DH35" i="13"/>
  <c r="DK35" i="13"/>
  <c r="DH36" i="13"/>
  <c r="DK36" i="13"/>
  <c r="DH37" i="13"/>
  <c r="DM37" i="13" s="1"/>
  <c r="DK37" i="13"/>
  <c r="DH38" i="13"/>
  <c r="DK38" i="13"/>
  <c r="DM38" i="13"/>
  <c r="DH39" i="13"/>
  <c r="DK39" i="13"/>
  <c r="DH40" i="13"/>
  <c r="DK40" i="13"/>
  <c r="DH41" i="13"/>
  <c r="DK41" i="13"/>
  <c r="DH42" i="13"/>
  <c r="DM42" i="13" s="1"/>
  <c r="DK42" i="13"/>
  <c r="DH43" i="13"/>
  <c r="DK43" i="13"/>
  <c r="DH44" i="13"/>
  <c r="DK44" i="13"/>
  <c r="DH45" i="13"/>
  <c r="DK45" i="13"/>
  <c r="DM45" i="13" s="1"/>
  <c r="DH46" i="13"/>
  <c r="DK46" i="13"/>
  <c r="DH47" i="13"/>
  <c r="DK47" i="13"/>
  <c r="DH48" i="13"/>
  <c r="DK48" i="13"/>
  <c r="DH49" i="13"/>
  <c r="DM49" i="13" s="1"/>
  <c r="DK49" i="13"/>
  <c r="DH50" i="13"/>
  <c r="DM50" i="13" s="1"/>
  <c r="DK50" i="13"/>
  <c r="DH51" i="13"/>
  <c r="DK51" i="13"/>
  <c r="DH52" i="13"/>
  <c r="DK52" i="13"/>
  <c r="DH53" i="13"/>
  <c r="DM53" i="13" s="1"/>
  <c r="DK53" i="13"/>
  <c r="DH54" i="13"/>
  <c r="DM54" i="13" s="1"/>
  <c r="DK54" i="13"/>
  <c r="DH55" i="13"/>
  <c r="DK55" i="13"/>
  <c r="DH56" i="13"/>
  <c r="DK56" i="13"/>
  <c r="DH57" i="13"/>
  <c r="DK57" i="13"/>
  <c r="DH58" i="13"/>
  <c r="DM58" i="13" s="1"/>
  <c r="DK58" i="13"/>
  <c r="DH59" i="13"/>
  <c r="DK59" i="13"/>
  <c r="DH60" i="13"/>
  <c r="DK60" i="13"/>
  <c r="DH61" i="13"/>
  <c r="DK61" i="13"/>
  <c r="DH62" i="13"/>
  <c r="DK62" i="13"/>
  <c r="DH63" i="13"/>
  <c r="DK63" i="13"/>
  <c r="DH64" i="13"/>
  <c r="DK64" i="13"/>
  <c r="DH65" i="13"/>
  <c r="DM65" i="13" s="1"/>
  <c r="DK65" i="13"/>
  <c r="DH66" i="13"/>
  <c r="DK66" i="13"/>
  <c r="DM66" i="13"/>
  <c r="DH67" i="13"/>
  <c r="DK67" i="13"/>
  <c r="DH68" i="13"/>
  <c r="DK68" i="13"/>
  <c r="DH69" i="13"/>
  <c r="DM69" i="13" s="1"/>
  <c r="DK69" i="13"/>
  <c r="DH70" i="13"/>
  <c r="DK70" i="13"/>
  <c r="DM70" i="13"/>
  <c r="DH71" i="13"/>
  <c r="DK71" i="13"/>
  <c r="DH72" i="13"/>
  <c r="DK72" i="13"/>
  <c r="DH73" i="13"/>
  <c r="DK73" i="13"/>
  <c r="DH74" i="13"/>
  <c r="DK74" i="13"/>
  <c r="DM74" i="13"/>
  <c r="DH75" i="13"/>
  <c r="DK75" i="13"/>
  <c r="DH76" i="13"/>
  <c r="DK76" i="13"/>
  <c r="DH77" i="13"/>
  <c r="DK77" i="13"/>
  <c r="DM77" i="13" s="1"/>
  <c r="DH78" i="13"/>
  <c r="DK78" i="13"/>
  <c r="DH79" i="13"/>
  <c r="DK79" i="13"/>
  <c r="DH80" i="13"/>
  <c r="DK80" i="13"/>
  <c r="DH81" i="13"/>
  <c r="DM81" i="13" s="1"/>
  <c r="DK81" i="13"/>
  <c r="DH82" i="13"/>
  <c r="DM82" i="13" s="1"/>
  <c r="DK82" i="13"/>
  <c r="DH83" i="13"/>
  <c r="DK83" i="13"/>
  <c r="DH84" i="13"/>
  <c r="DK84" i="13"/>
  <c r="DH85" i="13"/>
  <c r="DM85" i="13" s="1"/>
  <c r="DK85" i="13"/>
  <c r="DH86" i="13"/>
  <c r="DK86" i="13"/>
  <c r="DM86" i="13"/>
  <c r="DH87" i="13"/>
  <c r="DK87" i="13"/>
  <c r="DH88" i="13"/>
  <c r="DK88" i="13"/>
  <c r="DH89" i="13"/>
  <c r="DK89" i="13"/>
  <c r="DH90" i="13"/>
  <c r="DK90" i="13"/>
  <c r="DM90" i="13"/>
  <c r="DH91" i="13"/>
  <c r="DK91" i="13"/>
  <c r="DH92" i="13"/>
  <c r="DK92" i="13"/>
  <c r="DH93" i="13"/>
  <c r="DK93" i="13"/>
  <c r="DH94" i="13"/>
  <c r="DK94" i="13"/>
  <c r="DH95" i="13"/>
  <c r="DK95" i="13"/>
  <c r="DH96" i="13"/>
  <c r="DK96" i="13"/>
  <c r="DH97" i="13"/>
  <c r="DK97" i="13"/>
  <c r="DM97" i="13"/>
  <c r="DH98" i="13"/>
  <c r="DM98" i="13" s="1"/>
  <c r="DK98" i="13"/>
  <c r="DH99" i="13"/>
  <c r="DK99" i="13"/>
  <c r="DH100" i="13"/>
  <c r="DK100" i="13"/>
  <c r="DH101" i="13"/>
  <c r="DM101" i="13" s="1"/>
  <c r="DK101" i="13"/>
  <c r="DH102" i="13"/>
  <c r="DM102" i="13" s="1"/>
  <c r="DK102" i="13"/>
  <c r="DH103" i="13"/>
  <c r="DK103" i="13"/>
  <c r="DH104" i="13"/>
  <c r="DK104" i="13"/>
  <c r="DH105" i="13"/>
  <c r="DK105" i="13"/>
  <c r="DH106" i="13"/>
  <c r="DM106" i="13" s="1"/>
  <c r="DK106" i="13"/>
  <c r="DH107" i="13"/>
  <c r="DK107" i="13"/>
  <c r="DK108" i="13"/>
  <c r="DH109" i="13"/>
  <c r="DK109" i="13"/>
  <c r="DH110" i="13"/>
  <c r="DK110" i="13"/>
  <c r="DH111" i="13"/>
  <c r="DK111" i="13"/>
  <c r="DH112" i="13"/>
  <c r="DK112" i="13"/>
  <c r="DM112" i="13"/>
  <c r="DH113" i="13"/>
  <c r="DK113" i="13"/>
  <c r="DH114" i="13"/>
  <c r="DK114" i="13"/>
  <c r="DH115" i="13"/>
  <c r="DK115" i="13"/>
  <c r="DH116" i="13"/>
  <c r="DK116" i="13"/>
  <c r="DH117" i="13"/>
  <c r="DK117" i="13"/>
  <c r="DH118" i="13"/>
  <c r="DK118" i="13"/>
  <c r="DH119" i="13"/>
  <c r="DK119" i="13"/>
  <c r="DM119" i="13"/>
  <c r="DH120" i="13"/>
  <c r="DM120" i="13" s="1"/>
  <c r="DK120" i="13"/>
  <c r="DH121" i="13"/>
  <c r="DK121" i="13"/>
  <c r="DH122" i="13"/>
  <c r="DK122" i="13"/>
  <c r="DH123" i="13"/>
  <c r="DK123" i="13"/>
  <c r="DM123" i="13"/>
  <c r="DH124" i="13"/>
  <c r="DM124" i="13" s="1"/>
  <c r="DK124" i="13"/>
  <c r="DH125" i="13"/>
  <c r="DK125" i="13"/>
  <c r="DH126" i="13"/>
  <c r="DK126" i="13"/>
  <c r="DH127" i="13"/>
  <c r="DK127" i="13"/>
  <c r="DH128" i="13"/>
  <c r="DM128" i="13" s="1"/>
  <c r="DK128" i="13"/>
  <c r="DH129" i="13"/>
  <c r="DK129" i="13"/>
  <c r="DH130" i="13"/>
  <c r="DK130" i="13"/>
  <c r="DH131" i="13"/>
  <c r="DK131" i="13"/>
  <c r="DM131" i="13" s="1"/>
  <c r="DH132" i="13"/>
  <c r="DK132" i="13"/>
  <c r="DH133" i="13"/>
  <c r="DK133" i="13"/>
  <c r="DH134" i="13"/>
  <c r="DK134" i="13"/>
  <c r="DH135" i="13"/>
  <c r="DM135" i="13" s="1"/>
  <c r="DK135" i="13"/>
  <c r="DH136" i="13"/>
  <c r="DK136" i="13"/>
  <c r="DM136" i="13"/>
  <c r="DH137" i="13"/>
  <c r="DK137" i="13"/>
  <c r="DH138" i="13"/>
  <c r="DK138" i="13"/>
  <c r="DH139" i="13"/>
  <c r="DM139" i="13" s="1"/>
  <c r="DK139" i="13"/>
  <c r="DH140" i="13"/>
  <c r="DK140" i="13"/>
  <c r="DM140" i="13"/>
  <c r="DH141" i="13"/>
  <c r="DK141" i="13"/>
  <c r="DH142" i="13"/>
  <c r="DK142" i="13"/>
  <c r="DH143" i="13"/>
  <c r="DK143" i="13"/>
  <c r="DH144" i="13"/>
  <c r="DK144" i="13"/>
  <c r="DM144" i="13"/>
  <c r="DH145" i="13"/>
  <c r="DK145" i="13"/>
  <c r="DH146" i="13"/>
  <c r="DK146" i="13"/>
  <c r="DH147" i="13"/>
  <c r="DK147" i="13"/>
  <c r="DH148" i="13"/>
  <c r="DK148" i="13"/>
  <c r="DH149" i="13"/>
  <c r="DK149" i="13"/>
  <c r="DH150" i="13"/>
  <c r="DK150" i="13"/>
  <c r="DH151" i="13"/>
  <c r="DM151" i="13" s="1"/>
  <c r="DK151" i="13"/>
  <c r="DH152" i="13"/>
  <c r="DM152" i="13" s="1"/>
  <c r="DK152" i="13"/>
  <c r="DH153" i="13"/>
  <c r="DK153" i="13"/>
  <c r="DH154" i="13"/>
  <c r="DK154" i="13"/>
  <c r="DH155" i="13"/>
  <c r="DM155" i="13" s="1"/>
  <c r="DK155" i="13"/>
  <c r="DH156" i="13"/>
  <c r="DM156" i="13" s="1"/>
  <c r="DK156" i="13"/>
  <c r="DH157" i="13"/>
  <c r="DK157" i="13"/>
  <c r="DH158" i="13"/>
  <c r="DK158" i="13"/>
  <c r="DH159" i="13"/>
  <c r="DK159" i="13"/>
  <c r="DH160" i="13"/>
  <c r="DM160" i="13" s="1"/>
  <c r="DK160" i="13"/>
  <c r="DH161" i="13"/>
  <c r="DK161" i="13"/>
  <c r="DH162" i="13"/>
  <c r="DK162" i="13"/>
  <c r="DH163" i="13"/>
  <c r="DK163" i="13"/>
  <c r="DH164" i="13"/>
  <c r="DK164" i="13"/>
  <c r="DH165" i="13"/>
  <c r="DK165" i="13"/>
  <c r="DH166" i="13"/>
  <c r="DK166" i="13"/>
  <c r="DH167" i="13"/>
  <c r="DM167" i="13" s="1"/>
  <c r="DK167" i="13"/>
  <c r="DH168" i="13"/>
  <c r="DM168" i="13" s="1"/>
  <c r="DK168" i="13"/>
  <c r="DH169" i="13"/>
  <c r="DK169" i="13"/>
  <c r="DH170" i="13"/>
  <c r="DK170" i="13"/>
  <c r="DH171" i="13"/>
  <c r="DK171" i="13"/>
  <c r="DH172" i="13"/>
  <c r="DM172" i="13" s="1"/>
  <c r="DK172" i="13"/>
  <c r="DH173" i="13"/>
  <c r="DK173" i="13"/>
  <c r="DH174" i="13"/>
  <c r="DK174" i="13"/>
  <c r="DH175" i="13"/>
  <c r="DK175" i="13"/>
  <c r="DH176" i="13"/>
  <c r="DM176" i="13" s="1"/>
  <c r="DK176" i="13"/>
  <c r="DH177" i="13"/>
  <c r="DK177" i="13"/>
  <c r="DH178" i="13"/>
  <c r="DK178" i="13"/>
  <c r="DH179" i="13"/>
  <c r="DK179" i="13"/>
  <c r="DH180" i="13"/>
  <c r="DK180" i="13"/>
  <c r="DH181" i="13"/>
  <c r="DK181" i="13"/>
  <c r="DH182" i="13"/>
  <c r="DK182" i="13"/>
  <c r="DH183" i="13"/>
  <c r="DM183" i="13" s="1"/>
  <c r="DK183" i="13"/>
  <c r="DH184" i="13"/>
  <c r="DM184" i="13" s="1"/>
  <c r="DK184" i="13"/>
  <c r="DH185" i="13"/>
  <c r="DK185" i="13"/>
  <c r="DH186" i="13"/>
  <c r="DK186" i="13"/>
  <c r="DH187" i="13"/>
  <c r="DK187" i="13"/>
  <c r="DM187" i="13" s="1"/>
  <c r="DH188" i="13"/>
  <c r="DM188" i="13" s="1"/>
  <c r="DK188" i="13"/>
  <c r="DH189" i="13"/>
  <c r="DK189" i="13"/>
  <c r="DH190" i="13"/>
  <c r="DK190" i="13"/>
  <c r="DH191" i="13"/>
  <c r="DK191" i="13"/>
  <c r="DH192" i="13"/>
  <c r="DM192" i="13" s="1"/>
  <c r="DK192" i="13"/>
  <c r="DH193" i="13"/>
  <c r="DK193" i="13"/>
  <c r="DH194" i="13"/>
  <c r="DK194" i="13"/>
  <c r="DH195" i="13"/>
  <c r="DK195" i="13"/>
  <c r="DH196" i="13"/>
  <c r="DK196" i="13"/>
  <c r="DH197" i="13"/>
  <c r="DK197" i="13"/>
  <c r="DH198" i="13"/>
  <c r="DK198" i="13"/>
  <c r="DH199" i="13"/>
  <c r="DM199" i="13" s="1"/>
  <c r="DK199" i="13"/>
  <c r="DH200" i="13"/>
  <c r="DM200" i="13" s="1"/>
  <c r="DK200" i="13"/>
  <c r="DH201" i="13"/>
  <c r="DK201" i="13"/>
  <c r="DH202" i="13"/>
  <c r="DK202" i="13"/>
  <c r="DH203" i="13"/>
  <c r="DM203" i="13" s="1"/>
  <c r="DK203" i="13"/>
  <c r="DH204" i="13"/>
  <c r="DK204" i="13"/>
  <c r="DM204" i="13" s="1"/>
  <c r="DK7" i="13"/>
  <c r="DH7" i="13"/>
  <c r="CP8" i="13"/>
  <c r="DD8" i="13" s="1"/>
  <c r="CS8" i="13"/>
  <c r="CV8" i="13"/>
  <c r="CY8" i="13"/>
  <c r="DB8" i="13"/>
  <c r="CP9" i="13"/>
  <c r="CS9" i="13"/>
  <c r="CV9" i="13"/>
  <c r="CY9" i="13"/>
  <c r="DB9" i="13"/>
  <c r="CP10" i="13"/>
  <c r="CS10" i="13"/>
  <c r="CV10" i="13"/>
  <c r="CY10" i="13"/>
  <c r="DB10" i="13"/>
  <c r="CP11" i="13"/>
  <c r="CS11" i="13"/>
  <c r="CV11" i="13"/>
  <c r="CY11" i="13"/>
  <c r="DB11" i="13"/>
  <c r="CP12" i="13"/>
  <c r="CS12" i="13"/>
  <c r="CV12" i="13"/>
  <c r="CY12" i="13"/>
  <c r="DB12" i="13"/>
  <c r="CP13" i="13"/>
  <c r="DD13" i="13" s="1"/>
  <c r="CS13" i="13"/>
  <c r="CV13" i="13"/>
  <c r="CY13" i="13"/>
  <c r="DB13" i="13"/>
  <c r="CP14" i="13"/>
  <c r="CS14" i="13"/>
  <c r="CV14" i="13"/>
  <c r="CY14" i="13"/>
  <c r="DB14" i="13"/>
  <c r="CP15" i="13"/>
  <c r="CS15" i="13"/>
  <c r="CV15" i="13"/>
  <c r="CY15" i="13"/>
  <c r="DB15" i="13"/>
  <c r="CP16" i="13"/>
  <c r="DD16" i="13" s="1"/>
  <c r="CS16" i="13"/>
  <c r="CV16" i="13"/>
  <c r="CY16" i="13"/>
  <c r="DB16" i="13"/>
  <c r="CP17" i="13"/>
  <c r="CS17" i="13"/>
  <c r="CV17" i="13"/>
  <c r="CY17" i="13"/>
  <c r="DB17" i="13"/>
  <c r="CP18" i="13"/>
  <c r="CS18" i="13"/>
  <c r="CV18" i="13"/>
  <c r="CY18" i="13"/>
  <c r="DB18" i="13"/>
  <c r="CP19" i="13"/>
  <c r="CS19" i="13"/>
  <c r="CV19" i="13"/>
  <c r="CY19" i="13"/>
  <c r="DB19" i="13"/>
  <c r="CP20" i="13"/>
  <c r="CS20" i="13"/>
  <c r="CV20" i="13"/>
  <c r="CY20" i="13"/>
  <c r="DB20" i="13"/>
  <c r="CP21" i="13"/>
  <c r="DD21" i="13" s="1"/>
  <c r="CS21" i="13"/>
  <c r="CV21" i="13"/>
  <c r="CY21" i="13"/>
  <c r="DB21" i="13"/>
  <c r="CP22" i="13"/>
  <c r="CS22" i="13"/>
  <c r="CV22" i="13"/>
  <c r="CY22" i="13"/>
  <c r="DB22" i="13"/>
  <c r="CP23" i="13"/>
  <c r="CS23" i="13"/>
  <c r="CV23" i="13"/>
  <c r="CY23" i="13"/>
  <c r="DB23" i="13"/>
  <c r="CP24" i="13"/>
  <c r="DD24" i="13" s="1"/>
  <c r="CS24" i="13"/>
  <c r="CV24" i="13"/>
  <c r="CY24" i="13"/>
  <c r="DB24" i="13"/>
  <c r="CP25" i="13"/>
  <c r="CS25" i="13"/>
  <c r="CV25" i="13"/>
  <c r="CY25" i="13"/>
  <c r="DB25" i="13"/>
  <c r="CP26" i="13"/>
  <c r="CS26" i="13"/>
  <c r="CV26" i="13"/>
  <c r="CY26" i="13"/>
  <c r="DB26" i="13"/>
  <c r="CP27" i="13"/>
  <c r="CS27" i="13"/>
  <c r="CV27" i="13"/>
  <c r="CY27" i="13"/>
  <c r="DB27" i="13"/>
  <c r="CP28" i="13"/>
  <c r="CS28" i="13"/>
  <c r="CV28" i="13"/>
  <c r="CY28" i="13"/>
  <c r="DB28" i="13"/>
  <c r="CP29" i="13"/>
  <c r="DD29" i="13" s="1"/>
  <c r="CS29" i="13"/>
  <c r="CV29" i="13"/>
  <c r="CY29" i="13"/>
  <c r="DB29" i="13"/>
  <c r="CP30" i="13"/>
  <c r="CS30" i="13"/>
  <c r="CV30" i="13"/>
  <c r="CY30" i="13"/>
  <c r="DB30" i="13"/>
  <c r="DD30" i="13" s="1"/>
  <c r="CP31" i="13"/>
  <c r="CS31" i="13"/>
  <c r="CV31" i="13"/>
  <c r="CY31" i="13"/>
  <c r="DB31" i="13"/>
  <c r="CP32" i="13"/>
  <c r="CS32" i="13"/>
  <c r="CV32" i="13"/>
  <c r="CY32" i="13"/>
  <c r="DB32" i="13"/>
  <c r="DD32" i="13"/>
  <c r="CP33" i="13"/>
  <c r="CS33" i="13"/>
  <c r="CV33" i="13"/>
  <c r="CY33" i="13"/>
  <c r="DB33" i="13"/>
  <c r="CP34" i="13"/>
  <c r="CS34" i="13"/>
  <c r="CV34" i="13"/>
  <c r="CY34" i="13"/>
  <c r="DB34" i="13"/>
  <c r="CP35" i="13"/>
  <c r="CS35" i="13"/>
  <c r="CV35" i="13"/>
  <c r="CY35" i="13"/>
  <c r="DB35" i="13"/>
  <c r="CP36" i="13"/>
  <c r="CS36" i="13"/>
  <c r="CV36" i="13"/>
  <c r="CY36" i="13"/>
  <c r="DB36" i="13"/>
  <c r="CP37" i="13"/>
  <c r="DD37" i="13" s="1"/>
  <c r="CS37" i="13"/>
  <c r="CV37" i="13"/>
  <c r="CY37" i="13"/>
  <c r="DB37" i="13"/>
  <c r="CP38" i="13"/>
  <c r="CS38" i="13"/>
  <c r="CV38" i="13"/>
  <c r="CY38" i="13"/>
  <c r="DB38" i="13"/>
  <c r="CP39" i="13"/>
  <c r="CS39" i="13"/>
  <c r="CV39" i="13"/>
  <c r="CY39" i="13"/>
  <c r="DB39" i="13"/>
  <c r="CP40" i="13"/>
  <c r="DD40" i="13" s="1"/>
  <c r="CS40" i="13"/>
  <c r="CV40" i="13"/>
  <c r="CY40" i="13"/>
  <c r="DB40" i="13"/>
  <c r="CP41" i="13"/>
  <c r="CS41" i="13"/>
  <c r="CV41" i="13"/>
  <c r="CY41" i="13"/>
  <c r="DB41" i="13"/>
  <c r="CP42" i="13"/>
  <c r="CS42" i="13"/>
  <c r="CV42" i="13"/>
  <c r="CY42" i="13"/>
  <c r="DB42" i="13"/>
  <c r="CP43" i="13"/>
  <c r="CS43" i="13"/>
  <c r="CV43" i="13"/>
  <c r="CY43" i="13"/>
  <c r="DB43" i="13"/>
  <c r="CP44" i="13"/>
  <c r="CS44" i="13"/>
  <c r="CV44" i="13"/>
  <c r="CY44" i="13"/>
  <c r="DB44" i="13"/>
  <c r="CP45" i="13"/>
  <c r="DD45" i="13" s="1"/>
  <c r="CS45" i="13"/>
  <c r="CV45" i="13"/>
  <c r="CY45" i="13"/>
  <c r="DB45" i="13"/>
  <c r="CP46" i="13"/>
  <c r="CS46" i="13"/>
  <c r="CV46" i="13"/>
  <c r="CY46" i="13"/>
  <c r="DB46" i="13"/>
  <c r="DD46" i="13" s="1"/>
  <c r="CP47" i="13"/>
  <c r="CS47" i="13"/>
  <c r="CV47" i="13"/>
  <c r="CY47" i="13"/>
  <c r="DB47" i="13"/>
  <c r="CP48" i="13"/>
  <c r="DD48" i="13" s="1"/>
  <c r="CS48" i="13"/>
  <c r="CV48" i="13"/>
  <c r="CY48" i="13"/>
  <c r="DB48" i="13"/>
  <c r="CP49" i="13"/>
  <c r="DD49" i="13" s="1"/>
  <c r="CS49" i="13"/>
  <c r="CV49" i="13"/>
  <c r="CY49" i="13"/>
  <c r="DB49" i="13"/>
  <c r="CP50" i="13"/>
  <c r="CS50" i="13"/>
  <c r="CV50" i="13"/>
  <c r="CY50" i="13"/>
  <c r="DB50" i="13"/>
  <c r="CP51" i="13"/>
  <c r="CS51" i="13"/>
  <c r="CV51" i="13"/>
  <c r="CY51" i="13"/>
  <c r="DB51" i="13"/>
  <c r="CP52" i="13"/>
  <c r="CS52" i="13"/>
  <c r="CV52" i="13"/>
  <c r="CY52" i="13"/>
  <c r="DB52" i="13"/>
  <c r="CP53" i="13"/>
  <c r="DD53" i="13" s="1"/>
  <c r="CS53" i="13"/>
  <c r="CV53" i="13"/>
  <c r="CY53" i="13"/>
  <c r="DB53" i="13"/>
  <c r="CP54" i="13"/>
  <c r="CS54" i="13"/>
  <c r="CV54" i="13"/>
  <c r="CY54" i="13"/>
  <c r="DB54" i="13"/>
  <c r="DD54" i="13" s="1"/>
  <c r="CP55" i="13"/>
  <c r="CS55" i="13"/>
  <c r="CV55" i="13"/>
  <c r="CY55" i="13"/>
  <c r="DB55" i="13"/>
  <c r="CP56" i="13"/>
  <c r="DD56" i="13" s="1"/>
  <c r="CS56" i="13"/>
  <c r="CV56" i="13"/>
  <c r="CY56" i="13"/>
  <c r="DB56" i="13"/>
  <c r="CP57" i="13"/>
  <c r="DD57" i="13" s="1"/>
  <c r="CS57" i="13"/>
  <c r="CV57" i="13"/>
  <c r="CY57" i="13"/>
  <c r="DB57" i="13"/>
  <c r="CP58" i="13"/>
  <c r="CS58" i="13"/>
  <c r="CV58" i="13"/>
  <c r="CY58" i="13"/>
  <c r="DB58" i="13"/>
  <c r="CP59" i="13"/>
  <c r="CS59" i="13"/>
  <c r="CV59" i="13"/>
  <c r="CY59" i="13"/>
  <c r="DB59" i="13"/>
  <c r="CP60" i="13"/>
  <c r="CS60" i="13"/>
  <c r="CV60" i="13"/>
  <c r="CY60" i="13"/>
  <c r="DB60" i="13"/>
  <c r="CP61" i="13"/>
  <c r="CS61" i="13"/>
  <c r="CV61" i="13"/>
  <c r="CY61" i="13"/>
  <c r="DB61" i="13"/>
  <c r="DD61" i="13"/>
  <c r="CP62" i="13"/>
  <c r="CS62" i="13"/>
  <c r="CV62" i="13"/>
  <c r="CY62" i="13"/>
  <c r="DB62" i="13"/>
  <c r="CP63" i="13"/>
  <c r="CS63" i="13"/>
  <c r="CV63" i="13"/>
  <c r="CY63" i="13"/>
  <c r="DB63" i="13"/>
  <c r="CP64" i="13"/>
  <c r="DD64" i="13" s="1"/>
  <c r="CS64" i="13"/>
  <c r="CV64" i="13"/>
  <c r="CY64" i="13"/>
  <c r="DB64" i="13"/>
  <c r="CP65" i="13"/>
  <c r="CS65" i="13"/>
  <c r="CV65" i="13"/>
  <c r="CY65" i="13"/>
  <c r="DB65" i="13"/>
  <c r="DD65" i="13"/>
  <c r="CP66" i="13"/>
  <c r="CS66" i="13"/>
  <c r="CV66" i="13"/>
  <c r="CY66" i="13"/>
  <c r="DB66" i="13"/>
  <c r="CP67" i="13"/>
  <c r="CS67" i="13"/>
  <c r="CV67" i="13"/>
  <c r="CY67" i="13"/>
  <c r="DB67" i="13"/>
  <c r="CP68" i="13"/>
  <c r="CS68" i="13"/>
  <c r="CV68" i="13"/>
  <c r="CY68" i="13"/>
  <c r="DB68" i="13"/>
  <c r="CP69" i="13"/>
  <c r="DD69" i="13" s="1"/>
  <c r="CS69" i="13"/>
  <c r="CV69" i="13"/>
  <c r="CY69" i="13"/>
  <c r="DB69" i="13"/>
  <c r="CP70" i="13"/>
  <c r="CS70" i="13"/>
  <c r="CV70" i="13"/>
  <c r="CY70" i="13"/>
  <c r="DB70" i="13"/>
  <c r="CP71" i="13"/>
  <c r="CS71" i="13"/>
  <c r="CV71" i="13"/>
  <c r="CY71" i="13"/>
  <c r="DB71" i="13"/>
  <c r="CP72" i="13"/>
  <c r="DD72" i="13" s="1"/>
  <c r="CS72" i="13"/>
  <c r="CV72" i="13"/>
  <c r="CY72" i="13"/>
  <c r="DB72" i="13"/>
  <c r="CP73" i="13"/>
  <c r="DD73" i="13" s="1"/>
  <c r="CS73" i="13"/>
  <c r="CV73" i="13"/>
  <c r="CY73" i="13"/>
  <c r="DB73" i="13"/>
  <c r="CP74" i="13"/>
  <c r="CS74" i="13"/>
  <c r="CV74" i="13"/>
  <c r="CY74" i="13"/>
  <c r="DB74" i="13"/>
  <c r="CP75" i="13"/>
  <c r="CS75" i="13"/>
  <c r="CV75" i="13"/>
  <c r="CY75" i="13"/>
  <c r="DB75" i="13"/>
  <c r="CP76" i="13"/>
  <c r="CS76" i="13"/>
  <c r="CV76" i="13"/>
  <c r="CY76" i="13"/>
  <c r="DB76" i="13"/>
  <c r="CP77" i="13"/>
  <c r="DD77" i="13" s="1"/>
  <c r="CS77" i="13"/>
  <c r="CV77" i="13"/>
  <c r="CY77" i="13"/>
  <c r="DB77" i="13"/>
  <c r="CP78" i="13"/>
  <c r="CS78" i="13"/>
  <c r="CV78" i="13"/>
  <c r="CY78" i="13"/>
  <c r="DB78" i="13"/>
  <c r="DD78" i="13" s="1"/>
  <c r="CP79" i="13"/>
  <c r="CS79" i="13"/>
  <c r="CV79" i="13"/>
  <c r="CY79" i="13"/>
  <c r="DB79" i="13"/>
  <c r="CP80" i="13"/>
  <c r="CS80" i="13"/>
  <c r="CV80" i="13"/>
  <c r="CY80" i="13"/>
  <c r="DB80" i="13"/>
  <c r="DD80" i="13"/>
  <c r="CP81" i="13"/>
  <c r="CS81" i="13"/>
  <c r="CV81" i="13"/>
  <c r="CY81" i="13"/>
  <c r="DB81" i="13"/>
  <c r="CP82" i="13"/>
  <c r="CS82" i="13"/>
  <c r="CV82" i="13"/>
  <c r="CY82" i="13"/>
  <c r="DB82" i="13"/>
  <c r="CP83" i="13"/>
  <c r="CS83" i="13"/>
  <c r="CV83" i="13"/>
  <c r="CY83" i="13"/>
  <c r="DB83" i="13"/>
  <c r="CP84" i="13"/>
  <c r="CS84" i="13"/>
  <c r="CV84" i="13"/>
  <c r="CY84" i="13"/>
  <c r="DB84" i="13"/>
  <c r="CP85" i="13"/>
  <c r="DD85" i="13" s="1"/>
  <c r="CS85" i="13"/>
  <c r="CV85" i="13"/>
  <c r="CY85" i="13"/>
  <c r="DB85" i="13"/>
  <c r="CP86" i="13"/>
  <c r="CS86" i="13"/>
  <c r="CV86" i="13"/>
  <c r="CY86" i="13"/>
  <c r="DB86" i="13"/>
  <c r="CP87" i="13"/>
  <c r="CS87" i="13"/>
  <c r="CV87" i="13"/>
  <c r="CY87" i="13"/>
  <c r="DB87" i="13"/>
  <c r="CP88" i="13"/>
  <c r="DD88" i="13" s="1"/>
  <c r="CS88" i="13"/>
  <c r="CV88" i="13"/>
  <c r="CY88" i="13"/>
  <c r="DB88" i="13"/>
  <c r="CP89" i="13"/>
  <c r="CS89" i="13"/>
  <c r="CV89" i="13"/>
  <c r="CY89" i="13"/>
  <c r="DB89" i="13"/>
  <c r="CP90" i="13"/>
  <c r="CS90" i="13"/>
  <c r="CV90" i="13"/>
  <c r="CY90" i="13"/>
  <c r="DB90" i="13"/>
  <c r="CP91" i="13"/>
  <c r="CS91" i="13"/>
  <c r="CV91" i="13"/>
  <c r="CY91" i="13"/>
  <c r="DB91" i="13"/>
  <c r="CP92" i="13"/>
  <c r="CS92" i="13"/>
  <c r="CV92" i="13"/>
  <c r="CY92" i="13"/>
  <c r="DB92" i="13"/>
  <c r="CP93" i="13"/>
  <c r="DD93" i="13" s="1"/>
  <c r="CS93" i="13"/>
  <c r="CV93" i="13"/>
  <c r="CY93" i="13"/>
  <c r="DB93" i="13"/>
  <c r="CP94" i="13"/>
  <c r="CS94" i="13"/>
  <c r="CV94" i="13"/>
  <c r="CY94" i="13"/>
  <c r="DB94" i="13"/>
  <c r="DD94" i="13" s="1"/>
  <c r="CP95" i="13"/>
  <c r="CS95" i="13"/>
  <c r="CV95" i="13"/>
  <c r="CY95" i="13"/>
  <c r="DB95" i="13"/>
  <c r="CP96" i="13"/>
  <c r="DD96" i="13" s="1"/>
  <c r="CS96" i="13"/>
  <c r="CV96" i="13"/>
  <c r="CY96" i="13"/>
  <c r="DB96" i="13"/>
  <c r="CP97" i="13"/>
  <c r="CS97" i="13"/>
  <c r="CV97" i="13"/>
  <c r="CY97" i="13"/>
  <c r="DB97" i="13"/>
  <c r="CP98" i="13"/>
  <c r="CS98" i="13"/>
  <c r="CV98" i="13"/>
  <c r="CY98" i="13"/>
  <c r="DB98" i="13"/>
  <c r="CP99" i="13"/>
  <c r="CS99" i="13"/>
  <c r="CV99" i="13"/>
  <c r="CY99" i="13"/>
  <c r="DB99" i="13"/>
  <c r="CP100" i="13"/>
  <c r="CS100" i="13"/>
  <c r="CV100" i="13"/>
  <c r="CY100" i="13"/>
  <c r="DB100" i="13"/>
  <c r="CP101" i="13"/>
  <c r="CS101" i="13"/>
  <c r="CV101" i="13"/>
  <c r="CY101" i="13"/>
  <c r="DB101" i="13"/>
  <c r="DD101" i="13"/>
  <c r="CP102" i="13"/>
  <c r="CS102" i="13"/>
  <c r="CV102" i="13"/>
  <c r="CY102" i="13"/>
  <c r="DB102" i="13"/>
  <c r="CP103" i="13"/>
  <c r="CS103" i="13"/>
  <c r="CV103" i="13"/>
  <c r="CY103" i="13"/>
  <c r="DB103" i="13"/>
  <c r="CP104" i="13"/>
  <c r="DD104" i="13" s="1"/>
  <c r="CS104" i="13"/>
  <c r="CV104" i="13"/>
  <c r="CY104" i="13"/>
  <c r="DB104" i="13"/>
  <c r="CP105" i="13"/>
  <c r="CS105" i="13"/>
  <c r="CV105" i="13"/>
  <c r="CY105" i="13"/>
  <c r="DB105" i="13"/>
  <c r="CP106" i="13"/>
  <c r="CS106" i="13"/>
  <c r="CV106" i="13"/>
  <c r="CY106" i="13"/>
  <c r="DB106" i="13"/>
  <c r="CP107" i="13"/>
  <c r="CS107" i="13"/>
  <c r="CV107" i="13"/>
  <c r="CY107" i="13"/>
  <c r="DB107" i="13"/>
  <c r="CP108" i="13"/>
  <c r="CS108" i="13"/>
  <c r="CV108" i="13"/>
  <c r="CY108" i="13"/>
  <c r="DB108" i="13"/>
  <c r="CP109" i="13"/>
  <c r="DD109" i="13" s="1"/>
  <c r="CS109" i="13"/>
  <c r="CV109" i="13"/>
  <c r="CY109" i="13"/>
  <c r="DB109" i="13"/>
  <c r="CP110" i="13"/>
  <c r="CS110" i="13"/>
  <c r="CV110" i="13"/>
  <c r="CY110" i="13"/>
  <c r="DB110" i="13"/>
  <c r="CP111" i="13"/>
  <c r="CS111" i="13"/>
  <c r="CV111" i="13"/>
  <c r="CY111" i="13"/>
  <c r="DB111" i="13"/>
  <c r="CP112" i="13"/>
  <c r="DD112" i="13" s="1"/>
  <c r="CS112" i="13"/>
  <c r="CV112" i="13"/>
  <c r="CY112" i="13"/>
  <c r="DB112" i="13"/>
  <c r="CP113" i="13"/>
  <c r="CS113" i="13"/>
  <c r="CV113" i="13"/>
  <c r="CY113" i="13"/>
  <c r="DB113" i="13"/>
  <c r="CP114" i="13"/>
  <c r="CS114" i="13"/>
  <c r="CV114" i="13"/>
  <c r="CY114" i="13"/>
  <c r="DB114" i="13"/>
  <c r="CP115" i="13"/>
  <c r="CS115" i="13"/>
  <c r="CV115" i="13"/>
  <c r="CY115" i="13"/>
  <c r="DB115" i="13"/>
  <c r="CP116" i="13"/>
  <c r="CS116" i="13"/>
  <c r="CV116" i="13"/>
  <c r="CY116" i="13"/>
  <c r="DB116" i="13"/>
  <c r="CP117" i="13"/>
  <c r="DD117" i="13" s="1"/>
  <c r="CS117" i="13"/>
  <c r="CV117" i="13"/>
  <c r="CY117" i="13"/>
  <c r="DB117" i="13"/>
  <c r="CP118" i="13"/>
  <c r="CS118" i="13"/>
  <c r="CV118" i="13"/>
  <c r="CY118" i="13"/>
  <c r="DB118" i="13"/>
  <c r="CP119" i="13"/>
  <c r="CS119" i="13"/>
  <c r="CV119" i="13"/>
  <c r="CY119" i="13"/>
  <c r="DB119" i="13"/>
  <c r="CP120" i="13"/>
  <c r="DD120" i="13" s="1"/>
  <c r="CS120" i="13"/>
  <c r="CV120" i="13"/>
  <c r="CY120" i="13"/>
  <c r="DB120" i="13"/>
  <c r="CP121" i="13"/>
  <c r="CS121" i="13"/>
  <c r="CV121" i="13"/>
  <c r="CY121" i="13"/>
  <c r="DB121" i="13"/>
  <c r="CP122" i="13"/>
  <c r="CS122" i="13"/>
  <c r="CV122" i="13"/>
  <c r="CY122" i="13"/>
  <c r="DB122" i="13"/>
  <c r="CP123" i="13"/>
  <c r="CS123" i="13"/>
  <c r="CV123" i="13"/>
  <c r="CY123" i="13"/>
  <c r="DB123" i="13"/>
  <c r="CP124" i="13"/>
  <c r="CS124" i="13"/>
  <c r="CV124" i="13"/>
  <c r="CY124" i="13"/>
  <c r="DB124" i="13"/>
  <c r="CP125" i="13"/>
  <c r="DD125" i="13" s="1"/>
  <c r="CS125" i="13"/>
  <c r="CV125" i="13"/>
  <c r="CY125" i="13"/>
  <c r="DB125" i="13"/>
  <c r="CP126" i="13"/>
  <c r="CS126" i="13"/>
  <c r="CV126" i="13"/>
  <c r="CY126" i="13"/>
  <c r="DB126" i="13"/>
  <c r="CP127" i="13"/>
  <c r="CS127" i="13"/>
  <c r="CV127" i="13"/>
  <c r="CY127" i="13"/>
  <c r="DB127" i="13"/>
  <c r="CP128" i="13"/>
  <c r="DD128" i="13" s="1"/>
  <c r="CS128" i="13"/>
  <c r="CV128" i="13"/>
  <c r="CY128" i="13"/>
  <c r="DB128" i="13"/>
  <c r="CP129" i="13"/>
  <c r="CS129" i="13"/>
  <c r="CV129" i="13"/>
  <c r="CY129" i="13"/>
  <c r="DB129" i="13"/>
  <c r="CP130" i="13"/>
  <c r="CS130" i="13"/>
  <c r="CV130" i="13"/>
  <c r="CY130" i="13"/>
  <c r="DB130" i="13"/>
  <c r="CP131" i="13"/>
  <c r="CS131" i="13"/>
  <c r="CV131" i="13"/>
  <c r="CY131" i="13"/>
  <c r="DB131" i="13"/>
  <c r="CP132" i="13"/>
  <c r="CS132" i="13"/>
  <c r="CV132" i="13"/>
  <c r="CY132" i="13"/>
  <c r="DB132" i="13"/>
  <c r="CP133" i="13"/>
  <c r="DD133" i="13" s="1"/>
  <c r="CS133" i="13"/>
  <c r="CV133" i="13"/>
  <c r="CY133" i="13"/>
  <c r="DB133" i="13"/>
  <c r="CP134" i="13"/>
  <c r="CS134" i="13"/>
  <c r="CV134" i="13"/>
  <c r="CY134" i="13"/>
  <c r="DB134" i="13"/>
  <c r="CP135" i="13"/>
  <c r="CS135" i="13"/>
  <c r="CV135" i="13"/>
  <c r="CY135" i="13"/>
  <c r="DB135" i="13"/>
  <c r="CP136" i="13"/>
  <c r="CS136" i="13"/>
  <c r="CV136" i="13"/>
  <c r="CY136" i="13"/>
  <c r="DB136" i="13"/>
  <c r="DD136" i="13"/>
  <c r="CP137" i="13"/>
  <c r="CS137" i="13"/>
  <c r="CV137" i="13"/>
  <c r="CY137" i="13"/>
  <c r="DB137" i="13"/>
  <c r="CP138" i="13"/>
  <c r="CS138" i="13"/>
  <c r="CV138" i="13"/>
  <c r="CY138" i="13"/>
  <c r="DB138" i="13"/>
  <c r="CP139" i="13"/>
  <c r="CS139" i="13"/>
  <c r="CV139" i="13"/>
  <c r="CY139" i="13"/>
  <c r="DB139" i="13"/>
  <c r="CP140" i="13"/>
  <c r="CS140" i="13"/>
  <c r="CV140" i="13"/>
  <c r="CY140" i="13"/>
  <c r="DB140" i="13"/>
  <c r="CP141" i="13"/>
  <c r="DD141" i="13" s="1"/>
  <c r="CS141" i="13"/>
  <c r="CV141" i="13"/>
  <c r="CY141" i="13"/>
  <c r="DB141" i="13"/>
  <c r="CP142" i="13"/>
  <c r="CS142" i="13"/>
  <c r="CV142" i="13"/>
  <c r="CY142" i="13"/>
  <c r="DB142" i="13"/>
  <c r="CP143" i="13"/>
  <c r="CS143" i="13"/>
  <c r="CV143" i="13"/>
  <c r="CY143" i="13"/>
  <c r="DB143" i="13"/>
  <c r="CP144" i="13"/>
  <c r="DD144" i="13" s="1"/>
  <c r="CS144" i="13"/>
  <c r="CV144" i="13"/>
  <c r="CY144" i="13"/>
  <c r="DB144" i="13"/>
  <c r="CP145" i="13"/>
  <c r="CS145" i="13"/>
  <c r="CV145" i="13"/>
  <c r="CY145" i="13"/>
  <c r="DB145" i="13"/>
  <c r="CP146" i="13"/>
  <c r="CS146" i="13"/>
  <c r="CV146" i="13"/>
  <c r="CY146" i="13"/>
  <c r="DB146" i="13"/>
  <c r="CP147" i="13"/>
  <c r="CS147" i="13"/>
  <c r="CV147" i="13"/>
  <c r="CY147" i="13"/>
  <c r="DB147" i="13"/>
  <c r="CP148" i="13"/>
  <c r="CS148" i="13"/>
  <c r="CV148" i="13"/>
  <c r="CY148" i="13"/>
  <c r="DB148" i="13"/>
  <c r="CP149" i="13"/>
  <c r="DD149" i="13" s="1"/>
  <c r="CS149" i="13"/>
  <c r="CV149" i="13"/>
  <c r="CY149" i="13"/>
  <c r="DB149" i="13"/>
  <c r="CP150" i="13"/>
  <c r="CS150" i="13"/>
  <c r="CV150" i="13"/>
  <c r="CY150" i="13"/>
  <c r="DB150" i="13"/>
  <c r="DD150" i="13" s="1"/>
  <c r="CP151" i="13"/>
  <c r="CS151" i="13"/>
  <c r="CV151" i="13"/>
  <c r="CY151" i="13"/>
  <c r="DB151" i="13"/>
  <c r="CP152" i="13"/>
  <c r="CS152" i="13"/>
  <c r="CV152" i="13"/>
  <c r="CY152" i="13"/>
  <c r="DB152" i="13"/>
  <c r="DD152" i="13"/>
  <c r="CP153" i="13"/>
  <c r="CS153" i="13"/>
  <c r="CV153" i="13"/>
  <c r="CY153" i="13"/>
  <c r="DB153" i="13"/>
  <c r="CP154" i="13"/>
  <c r="CS154" i="13"/>
  <c r="CV154" i="13"/>
  <c r="CY154" i="13"/>
  <c r="DB154" i="13"/>
  <c r="CP155" i="13"/>
  <c r="CS155" i="13"/>
  <c r="CV155" i="13"/>
  <c r="CY155" i="13"/>
  <c r="DB155" i="13"/>
  <c r="CP156" i="13"/>
  <c r="CS156" i="13"/>
  <c r="CV156" i="13"/>
  <c r="CY156" i="13"/>
  <c r="DB156" i="13"/>
  <c r="CP157" i="13"/>
  <c r="DD157" i="13" s="1"/>
  <c r="CS157" i="13"/>
  <c r="CV157" i="13"/>
  <c r="CY157" i="13"/>
  <c r="DB157" i="13"/>
  <c r="CP158" i="13"/>
  <c r="CS158" i="13"/>
  <c r="CV158" i="13"/>
  <c r="CY158" i="13"/>
  <c r="DB158" i="13"/>
  <c r="DD158" i="13" s="1"/>
  <c r="CP159" i="13"/>
  <c r="CS159" i="13"/>
  <c r="CV159" i="13"/>
  <c r="CY159" i="13"/>
  <c r="DB159" i="13"/>
  <c r="CP160" i="13"/>
  <c r="DD160" i="13" s="1"/>
  <c r="CS160" i="13"/>
  <c r="CV160" i="13"/>
  <c r="CY160" i="13"/>
  <c r="DB160" i="13"/>
  <c r="CP161" i="13"/>
  <c r="CS161" i="13"/>
  <c r="CV161" i="13"/>
  <c r="CY161" i="13"/>
  <c r="DB161" i="13"/>
  <c r="CP162" i="13"/>
  <c r="CS162" i="13"/>
  <c r="CV162" i="13"/>
  <c r="CY162" i="13"/>
  <c r="DB162" i="13"/>
  <c r="CP163" i="13"/>
  <c r="CS163" i="13"/>
  <c r="CV163" i="13"/>
  <c r="CY163" i="13"/>
  <c r="DB163" i="13"/>
  <c r="CP164" i="13"/>
  <c r="CS164" i="13"/>
  <c r="CV164" i="13"/>
  <c r="CY164" i="13"/>
  <c r="DB164" i="13"/>
  <c r="CP165" i="13"/>
  <c r="DD165" i="13" s="1"/>
  <c r="CS165" i="13"/>
  <c r="CV165" i="13"/>
  <c r="CY165" i="13"/>
  <c r="DB165" i="13"/>
  <c r="CP166" i="13"/>
  <c r="CS166" i="13"/>
  <c r="CV166" i="13"/>
  <c r="CY166" i="13"/>
  <c r="DB166" i="13"/>
  <c r="CP167" i="13"/>
  <c r="CS167" i="13"/>
  <c r="CV167" i="13"/>
  <c r="CY167" i="13"/>
  <c r="DB167" i="13"/>
  <c r="CP168" i="13"/>
  <c r="CS168" i="13"/>
  <c r="CV168" i="13"/>
  <c r="CY168" i="13"/>
  <c r="DB168" i="13"/>
  <c r="CP169" i="13"/>
  <c r="CS169" i="13"/>
  <c r="CV169" i="13"/>
  <c r="CY169" i="13"/>
  <c r="DB169" i="13"/>
  <c r="CP170" i="13"/>
  <c r="CS170" i="13"/>
  <c r="CV170" i="13"/>
  <c r="CY170" i="13"/>
  <c r="DB170" i="13"/>
  <c r="CP171" i="13"/>
  <c r="CS171" i="13"/>
  <c r="CV171" i="13"/>
  <c r="CY171" i="13"/>
  <c r="DB171" i="13"/>
  <c r="CP172" i="13"/>
  <c r="CS172" i="13"/>
  <c r="CV172" i="13"/>
  <c r="DB172" i="13"/>
  <c r="CP173" i="13"/>
  <c r="CS173" i="13"/>
  <c r="CV173" i="13"/>
  <c r="CY173" i="13"/>
  <c r="DB173" i="13"/>
  <c r="CP174" i="13"/>
  <c r="CS174" i="13"/>
  <c r="CV174" i="13"/>
  <c r="CY174" i="13"/>
  <c r="DB174" i="13"/>
  <c r="CP175" i="13"/>
  <c r="CS175" i="13"/>
  <c r="CV175" i="13"/>
  <c r="CY175" i="13"/>
  <c r="DB175" i="13"/>
  <c r="CP176" i="13"/>
  <c r="CS176" i="13"/>
  <c r="CV176" i="13"/>
  <c r="CY176" i="13"/>
  <c r="DB176" i="13"/>
  <c r="DD176" i="13"/>
  <c r="CP177" i="13"/>
  <c r="CS177" i="13"/>
  <c r="CV177" i="13"/>
  <c r="CY177" i="13"/>
  <c r="DB177" i="13"/>
  <c r="CP178" i="13"/>
  <c r="CS178" i="13"/>
  <c r="CV178" i="13"/>
  <c r="CY178" i="13"/>
  <c r="DB178" i="13"/>
  <c r="CP179" i="13"/>
  <c r="CS179" i="13"/>
  <c r="CV179" i="13"/>
  <c r="CY179" i="13"/>
  <c r="DB179" i="13"/>
  <c r="CP180" i="13"/>
  <c r="CS180" i="13"/>
  <c r="CV180" i="13"/>
  <c r="CY180" i="13"/>
  <c r="DB180" i="13"/>
  <c r="CP181" i="13"/>
  <c r="CS181" i="13"/>
  <c r="CV181" i="13"/>
  <c r="CY181" i="13"/>
  <c r="DB181" i="13"/>
  <c r="CP182" i="13"/>
  <c r="CS182" i="13"/>
  <c r="CV182" i="13"/>
  <c r="CY182" i="13"/>
  <c r="DB182" i="13"/>
  <c r="CP183" i="13"/>
  <c r="CS183" i="13"/>
  <c r="CV183" i="13"/>
  <c r="CY183" i="13"/>
  <c r="DB183" i="13"/>
  <c r="CP184" i="13"/>
  <c r="DD184" i="13" s="1"/>
  <c r="CS184" i="13"/>
  <c r="CV184" i="13"/>
  <c r="CY184" i="13"/>
  <c r="DB184" i="13"/>
  <c r="CP185" i="13"/>
  <c r="CS185" i="13"/>
  <c r="CV185" i="13"/>
  <c r="CY185" i="13"/>
  <c r="DB185" i="13"/>
  <c r="DD185" i="13" s="1"/>
  <c r="CP186" i="13"/>
  <c r="CS186" i="13"/>
  <c r="CV186" i="13"/>
  <c r="CY186" i="13"/>
  <c r="DB186" i="13"/>
  <c r="CP187" i="13"/>
  <c r="CS187" i="13"/>
  <c r="CV187" i="13"/>
  <c r="CY187" i="13"/>
  <c r="DB187" i="13"/>
  <c r="CP188" i="13"/>
  <c r="CS188" i="13"/>
  <c r="CV188" i="13"/>
  <c r="CY188" i="13"/>
  <c r="DB188" i="13"/>
  <c r="CP189" i="13"/>
  <c r="CS189" i="13"/>
  <c r="CV189" i="13"/>
  <c r="CY189" i="13"/>
  <c r="DB189" i="13"/>
  <c r="CP190" i="13"/>
  <c r="CS190" i="13"/>
  <c r="CV190" i="13"/>
  <c r="CY190" i="13"/>
  <c r="DB190" i="13"/>
  <c r="CP191" i="13"/>
  <c r="CS191" i="13"/>
  <c r="CV191" i="13"/>
  <c r="CY191" i="13"/>
  <c r="DB191" i="13"/>
  <c r="CP192" i="13"/>
  <c r="DD192" i="13" s="1"/>
  <c r="CS192" i="13"/>
  <c r="CV192" i="13"/>
  <c r="CY192" i="13"/>
  <c r="DB192" i="13"/>
  <c r="CP193" i="13"/>
  <c r="CS193" i="13"/>
  <c r="CV193" i="13"/>
  <c r="CY193" i="13"/>
  <c r="DB193" i="13"/>
  <c r="DD193" i="13" s="1"/>
  <c r="CP194" i="13"/>
  <c r="CS194" i="13"/>
  <c r="CV194" i="13"/>
  <c r="CY194" i="13"/>
  <c r="DB194" i="13"/>
  <c r="CP195" i="13"/>
  <c r="CS195" i="13"/>
  <c r="CV195" i="13"/>
  <c r="CY195" i="13"/>
  <c r="DB195" i="13"/>
  <c r="CP196" i="13"/>
  <c r="CS196" i="13"/>
  <c r="CV196" i="13"/>
  <c r="CY196" i="13"/>
  <c r="DB196" i="13"/>
  <c r="CP197" i="13"/>
  <c r="CS197" i="13"/>
  <c r="CV197" i="13"/>
  <c r="CY197" i="13"/>
  <c r="DB197" i="13"/>
  <c r="CP198" i="13"/>
  <c r="CS198" i="13"/>
  <c r="CV198" i="13"/>
  <c r="CY198" i="13"/>
  <c r="DB198" i="13"/>
  <c r="CP199" i="13"/>
  <c r="CS199" i="13"/>
  <c r="CV199" i="13"/>
  <c r="CY199" i="13"/>
  <c r="DB199" i="13"/>
  <c r="CP200" i="13"/>
  <c r="DD200" i="13" s="1"/>
  <c r="CS200" i="13"/>
  <c r="CV200" i="13"/>
  <c r="CY200" i="13"/>
  <c r="DB200" i="13"/>
  <c r="CP201" i="13"/>
  <c r="CS201" i="13"/>
  <c r="CV201" i="13"/>
  <c r="CY201" i="13"/>
  <c r="DB201" i="13"/>
  <c r="DD201" i="13" s="1"/>
  <c r="CP202" i="13"/>
  <c r="CS202" i="13"/>
  <c r="CV202" i="13"/>
  <c r="CY202" i="13"/>
  <c r="DB202" i="13"/>
  <c r="CP203" i="13"/>
  <c r="CS203" i="13"/>
  <c r="CV203" i="13"/>
  <c r="CY203" i="13"/>
  <c r="DB203" i="13"/>
  <c r="CP204" i="13"/>
  <c r="CS204" i="13"/>
  <c r="CV204" i="13"/>
  <c r="CY204" i="13"/>
  <c r="DB204" i="13"/>
  <c r="DB7" i="13"/>
  <c r="CY7" i="13"/>
  <c r="CV7" i="13"/>
  <c r="CS7" i="13"/>
  <c r="CP7" i="13"/>
  <c r="BR8" i="13"/>
  <c r="CL8" i="13" s="1"/>
  <c r="BU8" i="13"/>
  <c r="BX8" i="13"/>
  <c r="CA8" i="13"/>
  <c r="CD8" i="13"/>
  <c r="CG8" i="13"/>
  <c r="CJ8" i="13"/>
  <c r="BR9" i="13"/>
  <c r="CL9" i="13" s="1"/>
  <c r="BU9" i="13"/>
  <c r="BX9" i="13"/>
  <c r="CA9" i="13"/>
  <c r="CD9" i="13"/>
  <c r="CG9" i="13"/>
  <c r="CJ9" i="13"/>
  <c r="BR10" i="13"/>
  <c r="BU10" i="13"/>
  <c r="BX10" i="13"/>
  <c r="CA10" i="13"/>
  <c r="CD10" i="13"/>
  <c r="CG10" i="13"/>
  <c r="CJ10" i="13"/>
  <c r="CL10" i="13"/>
  <c r="BR11" i="13"/>
  <c r="CL11" i="13" s="1"/>
  <c r="BU11" i="13"/>
  <c r="BX11" i="13"/>
  <c r="CA11" i="13"/>
  <c r="CD11" i="13"/>
  <c r="CG11" i="13"/>
  <c r="CJ11" i="13"/>
  <c r="BR12" i="13"/>
  <c r="CL12" i="13" s="1"/>
  <c r="BU12" i="13"/>
  <c r="BX12" i="13"/>
  <c r="CA12" i="13"/>
  <c r="CD12" i="13"/>
  <c r="CG12" i="13"/>
  <c r="CJ12" i="13"/>
  <c r="BR13" i="13"/>
  <c r="CL13" i="13" s="1"/>
  <c r="BU13" i="13"/>
  <c r="BX13" i="13"/>
  <c r="CA13" i="13"/>
  <c r="CD13" i="13"/>
  <c r="CG13" i="13"/>
  <c r="CJ13" i="13"/>
  <c r="BR14" i="13"/>
  <c r="CL14" i="13" s="1"/>
  <c r="BU14" i="13"/>
  <c r="BX14" i="13"/>
  <c r="CA14" i="13"/>
  <c r="CD14" i="13"/>
  <c r="CG14" i="13"/>
  <c r="CJ14" i="13"/>
  <c r="BR15" i="13"/>
  <c r="CL15" i="13" s="1"/>
  <c r="BU15" i="13"/>
  <c r="BX15" i="13"/>
  <c r="CA15" i="13"/>
  <c r="CD15" i="13"/>
  <c r="CG15" i="13"/>
  <c r="CJ15" i="13"/>
  <c r="BR16" i="13"/>
  <c r="CL16" i="13" s="1"/>
  <c r="BU16" i="13"/>
  <c r="BX16" i="13"/>
  <c r="CA16" i="13"/>
  <c r="CD16" i="13"/>
  <c r="CG16" i="13"/>
  <c r="CJ16" i="13"/>
  <c r="BR17" i="13"/>
  <c r="CL17" i="13" s="1"/>
  <c r="BU17" i="13"/>
  <c r="BX17" i="13"/>
  <c r="CA17" i="13"/>
  <c r="CD17" i="13"/>
  <c r="CG17" i="13"/>
  <c r="CJ17" i="13"/>
  <c r="BR18" i="13"/>
  <c r="CL18" i="13" s="1"/>
  <c r="BU18" i="13"/>
  <c r="BX18" i="13"/>
  <c r="CA18" i="13"/>
  <c r="CD18" i="13"/>
  <c r="CG18" i="13"/>
  <c r="CJ18" i="13"/>
  <c r="BR19" i="13"/>
  <c r="CL19" i="13" s="1"/>
  <c r="BU19" i="13"/>
  <c r="BX19" i="13"/>
  <c r="CA19" i="13"/>
  <c r="CD19" i="13"/>
  <c r="CG19" i="13"/>
  <c r="CJ19" i="13"/>
  <c r="BR20" i="13"/>
  <c r="CL20" i="13" s="1"/>
  <c r="BU20" i="13"/>
  <c r="BX20" i="13"/>
  <c r="CA20" i="13"/>
  <c r="CD20" i="13"/>
  <c r="CG20" i="13"/>
  <c r="CJ20" i="13"/>
  <c r="BR21" i="13"/>
  <c r="CL21" i="13" s="1"/>
  <c r="BU21" i="13"/>
  <c r="BX21" i="13"/>
  <c r="CA21" i="13"/>
  <c r="CD21" i="13"/>
  <c r="CG21" i="13"/>
  <c r="CJ21" i="13"/>
  <c r="BR22" i="13"/>
  <c r="CL22" i="13" s="1"/>
  <c r="BU22" i="13"/>
  <c r="BX22" i="13"/>
  <c r="CA22" i="13"/>
  <c r="CD22" i="13"/>
  <c r="CG22" i="13"/>
  <c r="CJ22" i="13"/>
  <c r="BR23" i="13"/>
  <c r="BU23" i="13"/>
  <c r="BX23" i="13"/>
  <c r="CA23" i="13"/>
  <c r="CD23" i="13"/>
  <c r="CG23" i="13"/>
  <c r="CJ23" i="13"/>
  <c r="CL23" i="13"/>
  <c r="BR24" i="13"/>
  <c r="CL24" i="13" s="1"/>
  <c r="BU24" i="13"/>
  <c r="BX24" i="13"/>
  <c r="CA24" i="13"/>
  <c r="CD24" i="13"/>
  <c r="CG24" i="13"/>
  <c r="CJ24" i="13"/>
  <c r="BR25" i="13"/>
  <c r="CL25" i="13" s="1"/>
  <c r="BU25" i="13"/>
  <c r="BX25" i="13"/>
  <c r="CA25" i="13"/>
  <c r="CD25" i="13"/>
  <c r="CG25" i="13"/>
  <c r="CJ25" i="13"/>
  <c r="BR26" i="13"/>
  <c r="CL26" i="13" s="1"/>
  <c r="BU26" i="13"/>
  <c r="BX26" i="13"/>
  <c r="CA26" i="13"/>
  <c r="CD26" i="13"/>
  <c r="CG26" i="13"/>
  <c r="CJ26" i="13"/>
  <c r="BR27" i="13"/>
  <c r="CL27" i="13" s="1"/>
  <c r="BU27" i="13"/>
  <c r="BX27" i="13"/>
  <c r="CA27" i="13"/>
  <c r="CD27" i="13"/>
  <c r="CG27" i="13"/>
  <c r="CJ27" i="13"/>
  <c r="BR28" i="13"/>
  <c r="CL28" i="13" s="1"/>
  <c r="BU28" i="13"/>
  <c r="BX28" i="13"/>
  <c r="CA28" i="13"/>
  <c r="CD28" i="13"/>
  <c r="CG28" i="13"/>
  <c r="CJ28" i="13"/>
  <c r="BR29" i="13"/>
  <c r="CL29" i="13" s="1"/>
  <c r="BU29" i="13"/>
  <c r="BX29" i="13"/>
  <c r="CA29" i="13"/>
  <c r="CD29" i="13"/>
  <c r="CG29" i="13"/>
  <c r="CJ29" i="13"/>
  <c r="BR30" i="13"/>
  <c r="CL30" i="13" s="1"/>
  <c r="BU30" i="13"/>
  <c r="BX30" i="13"/>
  <c r="CA30" i="13"/>
  <c r="CD30" i="13"/>
  <c r="CG30" i="13"/>
  <c r="CJ30" i="13"/>
  <c r="BR31" i="13"/>
  <c r="BU31" i="13"/>
  <c r="BX31" i="13"/>
  <c r="CA31" i="13"/>
  <c r="CD31" i="13"/>
  <c r="CG31" i="13"/>
  <c r="CJ31" i="13"/>
  <c r="CL31" i="13"/>
  <c r="BR32" i="13"/>
  <c r="CL32" i="13" s="1"/>
  <c r="BU32" i="13"/>
  <c r="BX32" i="13"/>
  <c r="CA32" i="13"/>
  <c r="CD32" i="13"/>
  <c r="CG32" i="13"/>
  <c r="CJ32" i="13"/>
  <c r="BR33" i="13"/>
  <c r="CL33" i="13" s="1"/>
  <c r="BU33" i="13"/>
  <c r="BX33" i="13"/>
  <c r="CA33" i="13"/>
  <c r="CD33" i="13"/>
  <c r="CG33" i="13"/>
  <c r="CJ33" i="13"/>
  <c r="BR34" i="13"/>
  <c r="CL34" i="13" s="1"/>
  <c r="BU34" i="13"/>
  <c r="BX34" i="13"/>
  <c r="CA34" i="13"/>
  <c r="CD34" i="13"/>
  <c r="CG34" i="13"/>
  <c r="CJ34" i="13"/>
  <c r="BR35" i="13"/>
  <c r="BU35" i="13"/>
  <c r="BX35" i="13"/>
  <c r="CA35" i="13"/>
  <c r="CD35" i="13"/>
  <c r="CG35" i="13"/>
  <c r="CJ35" i="13"/>
  <c r="CL35" i="13"/>
  <c r="BR36" i="13"/>
  <c r="CL36" i="13" s="1"/>
  <c r="BU36" i="13"/>
  <c r="BX36" i="13"/>
  <c r="CA36" i="13"/>
  <c r="CD36" i="13"/>
  <c r="CG36" i="13"/>
  <c r="CJ36" i="13"/>
  <c r="BR37" i="13"/>
  <c r="CL37" i="13" s="1"/>
  <c r="BU37" i="13"/>
  <c r="BX37" i="13"/>
  <c r="CA37" i="13"/>
  <c r="CD37" i="13"/>
  <c r="CG37" i="13"/>
  <c r="CJ37" i="13"/>
  <c r="BR38" i="13"/>
  <c r="CL38" i="13" s="1"/>
  <c r="BU38" i="13"/>
  <c r="BX38" i="13"/>
  <c r="CA38" i="13"/>
  <c r="CD38" i="13"/>
  <c r="CG38" i="13"/>
  <c r="CJ38" i="13"/>
  <c r="BR39" i="13"/>
  <c r="CL39" i="13" s="1"/>
  <c r="BU39" i="13"/>
  <c r="BX39" i="13"/>
  <c r="CA39" i="13"/>
  <c r="CD39" i="13"/>
  <c r="CG39" i="13"/>
  <c r="CJ39" i="13"/>
  <c r="BR40" i="13"/>
  <c r="CL40" i="13" s="1"/>
  <c r="BU40" i="13"/>
  <c r="BX40" i="13"/>
  <c r="CA40" i="13"/>
  <c r="CD40" i="13"/>
  <c r="CG40" i="13"/>
  <c r="CJ40" i="13"/>
  <c r="BR41" i="13"/>
  <c r="CL41" i="13" s="1"/>
  <c r="BU41" i="13"/>
  <c r="BX41" i="13"/>
  <c r="CA41" i="13"/>
  <c r="CD41" i="13"/>
  <c r="CG41" i="13"/>
  <c r="CJ41" i="13"/>
  <c r="BR42" i="13"/>
  <c r="CL42" i="13" s="1"/>
  <c r="BU42" i="13"/>
  <c r="BX42" i="13"/>
  <c r="CA42" i="13"/>
  <c r="CD42" i="13"/>
  <c r="CG42" i="13"/>
  <c r="CJ42" i="13"/>
  <c r="BR43" i="13"/>
  <c r="CL43" i="13" s="1"/>
  <c r="BU43" i="13"/>
  <c r="BX43" i="13"/>
  <c r="CA43" i="13"/>
  <c r="CD43" i="13"/>
  <c r="CG43" i="13"/>
  <c r="CJ43" i="13"/>
  <c r="BR44" i="13"/>
  <c r="CL44" i="13" s="1"/>
  <c r="BU44" i="13"/>
  <c r="BX44" i="13"/>
  <c r="CA44" i="13"/>
  <c r="CD44" i="13"/>
  <c r="CG44" i="13"/>
  <c r="CJ44" i="13"/>
  <c r="BR45" i="13"/>
  <c r="CL45" i="13" s="1"/>
  <c r="BU45" i="13"/>
  <c r="BX45" i="13"/>
  <c r="CA45" i="13"/>
  <c r="CD45" i="13"/>
  <c r="CG45" i="13"/>
  <c r="CJ45" i="13"/>
  <c r="BR46" i="13"/>
  <c r="CL46" i="13" s="1"/>
  <c r="BU46" i="13"/>
  <c r="BX46" i="13"/>
  <c r="CA46" i="13"/>
  <c r="CD46" i="13"/>
  <c r="CG46" i="13"/>
  <c r="CJ46" i="13"/>
  <c r="BR47" i="13"/>
  <c r="CL47" i="13" s="1"/>
  <c r="BU47" i="13"/>
  <c r="BX47" i="13"/>
  <c r="CA47" i="13"/>
  <c r="CD47" i="13"/>
  <c r="CG47" i="13"/>
  <c r="CJ47" i="13"/>
  <c r="BR48" i="13"/>
  <c r="CL48" i="13" s="1"/>
  <c r="BU48" i="13"/>
  <c r="BX48" i="13"/>
  <c r="CA48" i="13"/>
  <c r="CD48" i="13"/>
  <c r="CG48" i="13"/>
  <c r="CJ48" i="13"/>
  <c r="BR49" i="13"/>
  <c r="BU49" i="13"/>
  <c r="BX49" i="13"/>
  <c r="CA49" i="13"/>
  <c r="CD49" i="13"/>
  <c r="CG49" i="13"/>
  <c r="CJ49" i="13"/>
  <c r="CL49" i="13"/>
  <c r="BR50" i="13"/>
  <c r="CL50" i="13" s="1"/>
  <c r="BU50" i="13"/>
  <c r="BX50" i="13"/>
  <c r="CA50" i="13"/>
  <c r="CD50" i="13"/>
  <c r="CG50" i="13"/>
  <c r="CJ50" i="13"/>
  <c r="BR51" i="13"/>
  <c r="CL51" i="13" s="1"/>
  <c r="BU51" i="13"/>
  <c r="BX51" i="13"/>
  <c r="CA51" i="13"/>
  <c r="CD51" i="13"/>
  <c r="CG51" i="13"/>
  <c r="CJ51" i="13"/>
  <c r="BR52" i="13"/>
  <c r="CL52" i="13" s="1"/>
  <c r="BU52" i="13"/>
  <c r="BX52" i="13"/>
  <c r="CA52" i="13"/>
  <c r="CD52" i="13"/>
  <c r="CG52" i="13"/>
  <c r="CJ52" i="13"/>
  <c r="BR53" i="13"/>
  <c r="BU53" i="13"/>
  <c r="BX53" i="13"/>
  <c r="CA53" i="13"/>
  <c r="CD53" i="13"/>
  <c r="CG53" i="13"/>
  <c r="CJ53" i="13"/>
  <c r="CL53" i="13"/>
  <c r="BR54" i="13"/>
  <c r="CL54" i="13" s="1"/>
  <c r="BU54" i="13"/>
  <c r="BX54" i="13"/>
  <c r="CA54" i="13"/>
  <c r="CD54" i="13"/>
  <c r="CG54" i="13"/>
  <c r="CJ54" i="13"/>
  <c r="BR55" i="13"/>
  <c r="CL55" i="13" s="1"/>
  <c r="BU55" i="13"/>
  <c r="BX55" i="13"/>
  <c r="CA55" i="13"/>
  <c r="CD55" i="13"/>
  <c r="CG55" i="13"/>
  <c r="CJ55" i="13"/>
  <c r="BR56" i="13"/>
  <c r="CL56" i="13" s="1"/>
  <c r="BU56" i="13"/>
  <c r="BX56" i="13"/>
  <c r="CA56" i="13"/>
  <c r="CD56" i="13"/>
  <c r="CG56" i="13"/>
  <c r="CJ56" i="13"/>
  <c r="BR57" i="13"/>
  <c r="CL57" i="13" s="1"/>
  <c r="BU57" i="13"/>
  <c r="BX57" i="13"/>
  <c r="CA57" i="13"/>
  <c r="CD57" i="13"/>
  <c r="CG57" i="13"/>
  <c r="CJ57" i="13"/>
  <c r="BR58" i="13"/>
  <c r="CL58" i="13" s="1"/>
  <c r="BU58" i="13"/>
  <c r="BX58" i="13"/>
  <c r="CA58" i="13"/>
  <c r="CD58" i="13"/>
  <c r="CG58" i="13"/>
  <c r="CJ58" i="13"/>
  <c r="BR59" i="13"/>
  <c r="CL59" i="13" s="1"/>
  <c r="BU59" i="13"/>
  <c r="BX59" i="13"/>
  <c r="CA59" i="13"/>
  <c r="CD59" i="13"/>
  <c r="CG59" i="13"/>
  <c r="CJ59" i="13"/>
  <c r="BR60" i="13"/>
  <c r="CL60" i="13" s="1"/>
  <c r="BU60" i="13"/>
  <c r="BX60" i="13"/>
  <c r="CA60" i="13"/>
  <c r="CD60" i="13"/>
  <c r="CG60" i="13"/>
  <c r="CJ60" i="13"/>
  <c r="BR61" i="13"/>
  <c r="CL61" i="13" s="1"/>
  <c r="BU61" i="13"/>
  <c r="BX61" i="13"/>
  <c r="CA61" i="13"/>
  <c r="CD61" i="13"/>
  <c r="CG61" i="13"/>
  <c r="CJ61" i="13"/>
  <c r="BR62" i="13"/>
  <c r="CL62" i="13" s="1"/>
  <c r="BU62" i="13"/>
  <c r="BX62" i="13"/>
  <c r="CA62" i="13"/>
  <c r="CD62" i="13"/>
  <c r="CG62" i="13"/>
  <c r="CJ62" i="13"/>
  <c r="BR63" i="13"/>
  <c r="CL63" i="13" s="1"/>
  <c r="BU63" i="13"/>
  <c r="BX63" i="13"/>
  <c r="CA63" i="13"/>
  <c r="CD63" i="13"/>
  <c r="CG63" i="13"/>
  <c r="CJ63" i="13"/>
  <c r="BR64" i="13"/>
  <c r="CL64" i="13" s="1"/>
  <c r="BU64" i="13"/>
  <c r="BX64" i="13"/>
  <c r="CA64" i="13"/>
  <c r="CD64" i="13"/>
  <c r="CG64" i="13"/>
  <c r="CJ64" i="13"/>
  <c r="BR65" i="13"/>
  <c r="BU65" i="13"/>
  <c r="BX65" i="13"/>
  <c r="CA65" i="13"/>
  <c r="CD65" i="13"/>
  <c r="CG65" i="13"/>
  <c r="CJ65" i="13"/>
  <c r="CL65" i="13"/>
  <c r="BR66" i="13"/>
  <c r="CL66" i="13" s="1"/>
  <c r="BU66" i="13"/>
  <c r="BX66" i="13"/>
  <c r="CA66" i="13"/>
  <c r="CD66" i="13"/>
  <c r="CG66" i="13"/>
  <c r="CJ66" i="13"/>
  <c r="BR67" i="13"/>
  <c r="CL67" i="13" s="1"/>
  <c r="BU67" i="13"/>
  <c r="BX67" i="13"/>
  <c r="CA67" i="13"/>
  <c r="CD67" i="13"/>
  <c r="CG67" i="13"/>
  <c r="CJ67" i="13"/>
  <c r="BR68" i="13"/>
  <c r="CL68" i="13" s="1"/>
  <c r="BU68" i="13"/>
  <c r="BX68" i="13"/>
  <c r="CA68" i="13"/>
  <c r="CD68" i="13"/>
  <c r="CG68" i="13"/>
  <c r="CJ68" i="13"/>
  <c r="BR69" i="13"/>
  <c r="CL69" i="13" s="1"/>
  <c r="BU69" i="13"/>
  <c r="BX69" i="13"/>
  <c r="CA69" i="13"/>
  <c r="CD69" i="13"/>
  <c r="CG69" i="13"/>
  <c r="CJ69" i="13"/>
  <c r="BR70" i="13"/>
  <c r="CL70" i="13" s="1"/>
  <c r="BU70" i="13"/>
  <c r="BX70" i="13"/>
  <c r="CA70" i="13"/>
  <c r="CD70" i="13"/>
  <c r="CG70" i="13"/>
  <c r="CJ70" i="13"/>
  <c r="BR71" i="13"/>
  <c r="CL71" i="13" s="1"/>
  <c r="BU71" i="13"/>
  <c r="BX71" i="13"/>
  <c r="CA71" i="13"/>
  <c r="CD71" i="13"/>
  <c r="CG71" i="13"/>
  <c r="CJ71" i="13"/>
  <c r="BR72" i="13"/>
  <c r="CL72" i="13" s="1"/>
  <c r="BU72" i="13"/>
  <c r="BX72" i="13"/>
  <c r="CA72" i="13"/>
  <c r="CD72" i="13"/>
  <c r="CG72" i="13"/>
  <c r="CJ72" i="13"/>
  <c r="BR73" i="13"/>
  <c r="BU73" i="13"/>
  <c r="BX73" i="13"/>
  <c r="CA73" i="13"/>
  <c r="CD73" i="13"/>
  <c r="CG73" i="13"/>
  <c r="CJ73" i="13"/>
  <c r="CL73" i="13"/>
  <c r="BR74" i="13"/>
  <c r="CL74" i="13" s="1"/>
  <c r="BU74" i="13"/>
  <c r="BX74" i="13"/>
  <c r="CA74" i="13"/>
  <c r="CD74" i="13"/>
  <c r="CG74" i="13"/>
  <c r="CJ74" i="13"/>
  <c r="BR75" i="13"/>
  <c r="CL75" i="13" s="1"/>
  <c r="BU75" i="13"/>
  <c r="BX75" i="13"/>
  <c r="CA75" i="13"/>
  <c r="CD75" i="13"/>
  <c r="CG75" i="13"/>
  <c r="CJ75" i="13"/>
  <c r="BR76" i="13"/>
  <c r="CL76" i="13" s="1"/>
  <c r="BU76" i="13"/>
  <c r="BX76" i="13"/>
  <c r="CA76" i="13"/>
  <c r="CD76" i="13"/>
  <c r="CG76" i="13"/>
  <c r="CJ76" i="13"/>
  <c r="BR77" i="13"/>
  <c r="CL77" i="13" s="1"/>
  <c r="BU77" i="13"/>
  <c r="BX77" i="13"/>
  <c r="CA77" i="13"/>
  <c r="CD77" i="13"/>
  <c r="CG77" i="13"/>
  <c r="CJ77" i="13"/>
  <c r="BR78" i="13"/>
  <c r="CL78" i="13" s="1"/>
  <c r="BU78" i="13"/>
  <c r="BX78" i="13"/>
  <c r="CA78" i="13"/>
  <c r="CD78" i="13"/>
  <c r="CG78" i="13"/>
  <c r="CJ78" i="13"/>
  <c r="BR79" i="13"/>
  <c r="CL79" i="13" s="1"/>
  <c r="BU79" i="13"/>
  <c r="BX79" i="13"/>
  <c r="CA79" i="13"/>
  <c r="CD79" i="13"/>
  <c r="CG79" i="13"/>
  <c r="CJ79" i="13"/>
  <c r="BR80" i="13"/>
  <c r="CL80" i="13" s="1"/>
  <c r="BU80" i="13"/>
  <c r="BX80" i="13"/>
  <c r="CA80" i="13"/>
  <c r="CD80" i="13"/>
  <c r="CG80" i="13"/>
  <c r="CJ80" i="13"/>
  <c r="BR81" i="13"/>
  <c r="BU81" i="13"/>
  <c r="BX81" i="13"/>
  <c r="CA81" i="13"/>
  <c r="CD81" i="13"/>
  <c r="CG81" i="13"/>
  <c r="CJ81" i="13"/>
  <c r="CL81" i="13"/>
  <c r="BR82" i="13"/>
  <c r="CL82" i="13" s="1"/>
  <c r="BU82" i="13"/>
  <c r="BX82" i="13"/>
  <c r="CA82" i="13"/>
  <c r="CD82" i="13"/>
  <c r="CG82" i="13"/>
  <c r="CJ82" i="13"/>
  <c r="BR83" i="13"/>
  <c r="CL83" i="13" s="1"/>
  <c r="BU83" i="13"/>
  <c r="BX83" i="13"/>
  <c r="CA83" i="13"/>
  <c r="CD83" i="13"/>
  <c r="CG83" i="13"/>
  <c r="CJ83" i="13"/>
  <c r="BR84" i="13"/>
  <c r="CL84" i="13" s="1"/>
  <c r="BU84" i="13"/>
  <c r="BX84" i="13"/>
  <c r="CA84" i="13"/>
  <c r="CD84" i="13"/>
  <c r="CG84" i="13"/>
  <c r="CJ84" i="13"/>
  <c r="BR85" i="13"/>
  <c r="BU85" i="13"/>
  <c r="BX85" i="13"/>
  <c r="CA85" i="13"/>
  <c r="CD85" i="13"/>
  <c r="CG85" i="13"/>
  <c r="CJ85" i="13"/>
  <c r="CL85" i="13"/>
  <c r="BR86" i="13"/>
  <c r="CL86" i="13" s="1"/>
  <c r="BU86" i="13"/>
  <c r="BX86" i="13"/>
  <c r="CA86" i="13"/>
  <c r="CD86" i="13"/>
  <c r="CG86" i="13"/>
  <c r="CJ86" i="13"/>
  <c r="BR87" i="13"/>
  <c r="CL87" i="13" s="1"/>
  <c r="BU87" i="13"/>
  <c r="BX87" i="13"/>
  <c r="CA87" i="13"/>
  <c r="CD87" i="13"/>
  <c r="CG87" i="13"/>
  <c r="CJ87" i="13"/>
  <c r="BR88" i="13"/>
  <c r="CL88" i="13" s="1"/>
  <c r="BU88" i="13"/>
  <c r="BX88" i="13"/>
  <c r="CA88" i="13"/>
  <c r="CD88" i="13"/>
  <c r="CG88" i="13"/>
  <c r="CJ88" i="13"/>
  <c r="BR89" i="13"/>
  <c r="CL89" i="13" s="1"/>
  <c r="BU89" i="13"/>
  <c r="BX89" i="13"/>
  <c r="CA89" i="13"/>
  <c r="CD89" i="13"/>
  <c r="CG89" i="13"/>
  <c r="CJ89" i="13"/>
  <c r="BR90" i="13"/>
  <c r="CL90" i="13" s="1"/>
  <c r="BU90" i="13"/>
  <c r="BX90" i="13"/>
  <c r="CA90" i="13"/>
  <c r="CD90" i="13"/>
  <c r="CG90" i="13"/>
  <c r="CJ90" i="13"/>
  <c r="BR91" i="13"/>
  <c r="CL91" i="13" s="1"/>
  <c r="BU91" i="13"/>
  <c r="BX91" i="13"/>
  <c r="CA91" i="13"/>
  <c r="CD91" i="13"/>
  <c r="CG91" i="13"/>
  <c r="CJ91" i="13"/>
  <c r="BR92" i="13"/>
  <c r="CL92" i="13" s="1"/>
  <c r="BU92" i="13"/>
  <c r="BX92" i="13"/>
  <c r="CA92" i="13"/>
  <c r="CD92" i="13"/>
  <c r="CG92" i="13"/>
  <c r="CJ92" i="13"/>
  <c r="BR93" i="13"/>
  <c r="CL93" i="13" s="1"/>
  <c r="BU93" i="13"/>
  <c r="BX93" i="13"/>
  <c r="CA93" i="13"/>
  <c r="CD93" i="13"/>
  <c r="CG93" i="13"/>
  <c r="CJ93" i="13"/>
  <c r="BR94" i="13"/>
  <c r="BU94" i="13"/>
  <c r="BX94" i="13"/>
  <c r="CA94" i="13"/>
  <c r="CD94" i="13"/>
  <c r="CG94" i="13"/>
  <c r="CJ94" i="13"/>
  <c r="CL94" i="13"/>
  <c r="BR95" i="13"/>
  <c r="CL95" i="13" s="1"/>
  <c r="BU95" i="13"/>
  <c r="BX95" i="13"/>
  <c r="CA95" i="13"/>
  <c r="CD95" i="13"/>
  <c r="CG95" i="13"/>
  <c r="CJ95" i="13"/>
  <c r="BR96" i="13"/>
  <c r="BU96" i="13"/>
  <c r="BX96" i="13"/>
  <c r="CA96" i="13"/>
  <c r="CD96" i="13"/>
  <c r="CG96" i="13"/>
  <c r="CJ96" i="13"/>
  <c r="CL96" i="13"/>
  <c r="BR97" i="13"/>
  <c r="CL97" i="13" s="1"/>
  <c r="BU97" i="13"/>
  <c r="BX97" i="13"/>
  <c r="CA97" i="13"/>
  <c r="CD97" i="13"/>
  <c r="CG97" i="13"/>
  <c r="CJ97" i="13"/>
  <c r="BR98" i="13"/>
  <c r="CL98" i="13" s="1"/>
  <c r="BU98" i="13"/>
  <c r="BX98" i="13"/>
  <c r="CA98" i="13"/>
  <c r="CD98" i="13"/>
  <c r="CG98" i="13"/>
  <c r="CJ98" i="13"/>
  <c r="BR99" i="13"/>
  <c r="CL99" i="13" s="1"/>
  <c r="BU99" i="13"/>
  <c r="BX99" i="13"/>
  <c r="CA99" i="13"/>
  <c r="CD99" i="13"/>
  <c r="CG99" i="13"/>
  <c r="CJ99" i="13"/>
  <c r="BR100" i="13"/>
  <c r="CL100" i="13" s="1"/>
  <c r="BU100" i="13"/>
  <c r="BX100" i="13"/>
  <c r="CA100" i="13"/>
  <c r="CD100" i="13"/>
  <c r="CG100" i="13"/>
  <c r="CJ100" i="13"/>
  <c r="BR101" i="13"/>
  <c r="CL101" i="13" s="1"/>
  <c r="BU101" i="13"/>
  <c r="BX101" i="13"/>
  <c r="CA101" i="13"/>
  <c r="CD101" i="13"/>
  <c r="CG101" i="13"/>
  <c r="CJ101" i="13"/>
  <c r="BR102" i="13"/>
  <c r="CL102" i="13" s="1"/>
  <c r="BU102" i="13"/>
  <c r="BX102" i="13"/>
  <c r="CA102" i="13"/>
  <c r="CD102" i="13"/>
  <c r="CG102" i="13"/>
  <c r="CJ102" i="13"/>
  <c r="BR103" i="13"/>
  <c r="CL103" i="13" s="1"/>
  <c r="BU103" i="13"/>
  <c r="BX103" i="13"/>
  <c r="CA103" i="13"/>
  <c r="CD103" i="13"/>
  <c r="CG103" i="13"/>
  <c r="CJ103" i="13"/>
  <c r="BR104" i="13"/>
  <c r="CL104" i="13" s="1"/>
  <c r="BU104" i="13"/>
  <c r="BX104" i="13"/>
  <c r="CA104" i="13"/>
  <c r="CD104" i="13"/>
  <c r="CG104" i="13"/>
  <c r="CJ104" i="13"/>
  <c r="BR105" i="13"/>
  <c r="CL105" i="13" s="1"/>
  <c r="BU105" i="13"/>
  <c r="BX105" i="13"/>
  <c r="CA105" i="13"/>
  <c r="CD105" i="13"/>
  <c r="CG105" i="13"/>
  <c r="CJ105" i="13"/>
  <c r="BR106" i="13"/>
  <c r="BU106" i="13"/>
  <c r="BX106" i="13"/>
  <c r="CA106" i="13"/>
  <c r="CD106" i="13"/>
  <c r="CG106" i="13"/>
  <c r="CJ106" i="13"/>
  <c r="CL106" i="13"/>
  <c r="BR107" i="13"/>
  <c r="CL107" i="13" s="1"/>
  <c r="BU107" i="13"/>
  <c r="BX107" i="13"/>
  <c r="CA107" i="13"/>
  <c r="CD107" i="13"/>
  <c r="CG107" i="13"/>
  <c r="CJ107" i="13"/>
  <c r="BR108" i="13"/>
  <c r="CL108" i="13" s="1"/>
  <c r="BU108" i="13"/>
  <c r="BX108" i="13"/>
  <c r="CA108" i="13"/>
  <c r="CD108" i="13"/>
  <c r="CG108" i="13"/>
  <c r="CJ108" i="13"/>
  <c r="BR109" i="13"/>
  <c r="CL109" i="13" s="1"/>
  <c r="BU109" i="13"/>
  <c r="BX109" i="13"/>
  <c r="CA109" i="13"/>
  <c r="CD109" i="13"/>
  <c r="CG109" i="13"/>
  <c r="CJ109" i="13"/>
  <c r="BR110" i="13"/>
  <c r="BU110" i="13"/>
  <c r="BX110" i="13"/>
  <c r="CA110" i="13"/>
  <c r="CD110" i="13"/>
  <c r="CG110" i="13"/>
  <c r="CJ110" i="13"/>
  <c r="CL110" i="13"/>
  <c r="BR111" i="13"/>
  <c r="CL111" i="13" s="1"/>
  <c r="BU111" i="13"/>
  <c r="BX111" i="13"/>
  <c r="CA111" i="13"/>
  <c r="CD111" i="13"/>
  <c r="CG111" i="13"/>
  <c r="CJ111" i="13"/>
  <c r="BR112" i="13"/>
  <c r="CL112" i="13" s="1"/>
  <c r="BU112" i="13"/>
  <c r="BX112" i="13"/>
  <c r="CA112" i="13"/>
  <c r="CD112" i="13"/>
  <c r="CG112" i="13"/>
  <c r="CJ112" i="13"/>
  <c r="BR113" i="13"/>
  <c r="CL113" i="13" s="1"/>
  <c r="BU113" i="13"/>
  <c r="BX113" i="13"/>
  <c r="CA113" i="13"/>
  <c r="CD113" i="13"/>
  <c r="CG113" i="13"/>
  <c r="CJ113" i="13"/>
  <c r="BR114" i="13"/>
  <c r="BU114" i="13"/>
  <c r="BX114" i="13"/>
  <c r="CA114" i="13"/>
  <c r="CD114" i="13"/>
  <c r="CG114" i="13"/>
  <c r="CJ114" i="13"/>
  <c r="CL114" i="13"/>
  <c r="BR115" i="13"/>
  <c r="CL115" i="13" s="1"/>
  <c r="BU115" i="13"/>
  <c r="BX115" i="13"/>
  <c r="CA115" i="13"/>
  <c r="CD115" i="13"/>
  <c r="CG115" i="13"/>
  <c r="CJ115" i="13"/>
  <c r="BR116" i="13"/>
  <c r="CL116" i="13" s="1"/>
  <c r="BU116" i="13"/>
  <c r="BX116" i="13"/>
  <c r="CA116" i="13"/>
  <c r="CD116" i="13"/>
  <c r="CG116" i="13"/>
  <c r="CJ116" i="13"/>
  <c r="BR117" i="13"/>
  <c r="CL117" i="13" s="1"/>
  <c r="BU117" i="13"/>
  <c r="BX117" i="13"/>
  <c r="CA117" i="13"/>
  <c r="CD117" i="13"/>
  <c r="CG117" i="13"/>
  <c r="CJ117" i="13"/>
  <c r="BR118" i="13"/>
  <c r="CL118" i="13" s="1"/>
  <c r="BU118" i="13"/>
  <c r="BX118" i="13"/>
  <c r="CA118" i="13"/>
  <c r="CD118" i="13"/>
  <c r="CG118" i="13"/>
  <c r="CJ118" i="13"/>
  <c r="BR119" i="13"/>
  <c r="CL119" i="13" s="1"/>
  <c r="BU119" i="13"/>
  <c r="BX119" i="13"/>
  <c r="CA119" i="13"/>
  <c r="CD119" i="13"/>
  <c r="CG119" i="13"/>
  <c r="CJ119" i="13"/>
  <c r="BR120" i="13"/>
  <c r="CL120" i="13" s="1"/>
  <c r="BU120" i="13"/>
  <c r="BX120" i="13"/>
  <c r="CA120" i="13"/>
  <c r="CD120" i="13"/>
  <c r="CG120" i="13"/>
  <c r="CJ120" i="13"/>
  <c r="BR121" i="13"/>
  <c r="CL121" i="13" s="1"/>
  <c r="BU121" i="13"/>
  <c r="BX121" i="13"/>
  <c r="CA121" i="13"/>
  <c r="CD121" i="13"/>
  <c r="CG121" i="13"/>
  <c r="CJ121" i="13"/>
  <c r="BR122" i="13"/>
  <c r="CL122" i="13" s="1"/>
  <c r="BU122" i="13"/>
  <c r="BX122" i="13"/>
  <c r="CA122" i="13"/>
  <c r="CD122" i="13"/>
  <c r="CG122" i="13"/>
  <c r="CJ122" i="13"/>
  <c r="BR123" i="13"/>
  <c r="CL123" i="13" s="1"/>
  <c r="BU123" i="13"/>
  <c r="BX123" i="13"/>
  <c r="CA123" i="13"/>
  <c r="CD123" i="13"/>
  <c r="CG123" i="13"/>
  <c r="CJ123" i="13"/>
  <c r="BR124" i="13"/>
  <c r="BU124" i="13"/>
  <c r="BX124" i="13"/>
  <c r="CA124" i="13"/>
  <c r="CD124" i="13"/>
  <c r="CG124" i="13"/>
  <c r="CJ124" i="13"/>
  <c r="CL124" i="13"/>
  <c r="BR125" i="13"/>
  <c r="CL125" i="13" s="1"/>
  <c r="BU125" i="13"/>
  <c r="BX125" i="13"/>
  <c r="CA125" i="13"/>
  <c r="CD125" i="13"/>
  <c r="CG125" i="13"/>
  <c r="CJ125" i="13"/>
  <c r="BR126" i="13"/>
  <c r="CL126" i="13" s="1"/>
  <c r="BU126" i="13"/>
  <c r="BX126" i="13"/>
  <c r="CA126" i="13"/>
  <c r="CD126" i="13"/>
  <c r="CG126" i="13"/>
  <c r="CJ126" i="13"/>
  <c r="BR127" i="13"/>
  <c r="CL127" i="13" s="1"/>
  <c r="BU127" i="13"/>
  <c r="BX127" i="13"/>
  <c r="CA127" i="13"/>
  <c r="CD127" i="13"/>
  <c r="CG127" i="13"/>
  <c r="CJ127" i="13"/>
  <c r="BR128" i="13"/>
  <c r="CL128" i="13" s="1"/>
  <c r="BU128" i="13"/>
  <c r="BX128" i="13"/>
  <c r="CA128" i="13"/>
  <c r="CD128" i="13"/>
  <c r="CG128" i="13"/>
  <c r="CJ128" i="13"/>
  <c r="BR129" i="13"/>
  <c r="CL129" i="13" s="1"/>
  <c r="BU129" i="13"/>
  <c r="BX129" i="13"/>
  <c r="CA129" i="13"/>
  <c r="CD129" i="13"/>
  <c r="CG129" i="13"/>
  <c r="CJ129" i="13"/>
  <c r="BR130" i="13"/>
  <c r="CL130" i="13" s="1"/>
  <c r="BU130" i="13"/>
  <c r="BX130" i="13"/>
  <c r="CA130" i="13"/>
  <c r="CD130" i="13"/>
  <c r="CG130" i="13"/>
  <c r="CJ130" i="13"/>
  <c r="BR131" i="13"/>
  <c r="BU131" i="13"/>
  <c r="BX131" i="13"/>
  <c r="CA131" i="13"/>
  <c r="CD131" i="13"/>
  <c r="CG131" i="13"/>
  <c r="CJ131" i="13"/>
  <c r="CL131" i="13"/>
  <c r="BR132" i="13"/>
  <c r="CL132" i="13" s="1"/>
  <c r="BU132" i="13"/>
  <c r="BX132" i="13"/>
  <c r="CA132" i="13"/>
  <c r="CD132" i="13"/>
  <c r="CG132" i="13"/>
  <c r="CJ132" i="13"/>
  <c r="BR133" i="13"/>
  <c r="CL133" i="13" s="1"/>
  <c r="BU133" i="13"/>
  <c r="BX133" i="13"/>
  <c r="CA133" i="13"/>
  <c r="CD133" i="13"/>
  <c r="CG133" i="13"/>
  <c r="CJ133" i="13"/>
  <c r="BR134" i="13"/>
  <c r="CL134" i="13" s="1"/>
  <c r="BU134" i="13"/>
  <c r="BX134" i="13"/>
  <c r="CA134" i="13"/>
  <c r="CD134" i="13"/>
  <c r="CG134" i="13"/>
  <c r="CJ134" i="13"/>
  <c r="BR135" i="13"/>
  <c r="BU135" i="13"/>
  <c r="BX135" i="13"/>
  <c r="CA135" i="13"/>
  <c r="CD135" i="13"/>
  <c r="CG135" i="13"/>
  <c r="CJ135" i="13"/>
  <c r="CL135" i="13"/>
  <c r="BR136" i="13"/>
  <c r="CL136" i="13" s="1"/>
  <c r="BU136" i="13"/>
  <c r="BX136" i="13"/>
  <c r="CA136" i="13"/>
  <c r="CD136" i="13"/>
  <c r="CG136" i="13"/>
  <c r="CJ136" i="13"/>
  <c r="BR137" i="13"/>
  <c r="CL137" i="13" s="1"/>
  <c r="BU137" i="13"/>
  <c r="BX137" i="13"/>
  <c r="CA137" i="13"/>
  <c r="CD137" i="13"/>
  <c r="CG137" i="13"/>
  <c r="CJ137" i="13"/>
  <c r="BR138" i="13"/>
  <c r="CL138" i="13" s="1"/>
  <c r="BU138" i="13"/>
  <c r="BX138" i="13"/>
  <c r="CA138" i="13"/>
  <c r="CD138" i="13"/>
  <c r="CG138" i="13"/>
  <c r="CJ138" i="13"/>
  <c r="BR139" i="13"/>
  <c r="BU139" i="13"/>
  <c r="BX139" i="13"/>
  <c r="CA139" i="13"/>
  <c r="CD139" i="13"/>
  <c r="CG139" i="13"/>
  <c r="CJ139" i="13"/>
  <c r="CL139" i="13"/>
  <c r="BR140" i="13"/>
  <c r="CL140" i="13" s="1"/>
  <c r="BU140" i="13"/>
  <c r="BX140" i="13"/>
  <c r="CA140" i="13"/>
  <c r="CD140" i="13"/>
  <c r="CG140" i="13"/>
  <c r="CJ140" i="13"/>
  <c r="BR141" i="13"/>
  <c r="CL141" i="13" s="1"/>
  <c r="BU141" i="13"/>
  <c r="BX141" i="13"/>
  <c r="CA141" i="13"/>
  <c r="CD141" i="13"/>
  <c r="CG141" i="13"/>
  <c r="CJ141" i="13"/>
  <c r="BR142" i="13"/>
  <c r="CL142" i="13" s="1"/>
  <c r="BU142" i="13"/>
  <c r="BX142" i="13"/>
  <c r="CA142" i="13"/>
  <c r="CD142" i="13"/>
  <c r="CG142" i="13"/>
  <c r="CJ142" i="13"/>
  <c r="BR143" i="13"/>
  <c r="CL143" i="13" s="1"/>
  <c r="BU143" i="13"/>
  <c r="BX143" i="13"/>
  <c r="CA143" i="13"/>
  <c r="CD143" i="13"/>
  <c r="CG143" i="13"/>
  <c r="CJ143" i="13"/>
  <c r="BR144" i="13"/>
  <c r="CL144" i="13" s="1"/>
  <c r="BU144" i="13"/>
  <c r="BX144" i="13"/>
  <c r="CA144" i="13"/>
  <c r="CD144" i="13"/>
  <c r="CG144" i="13"/>
  <c r="CJ144" i="13"/>
  <c r="BR145" i="13"/>
  <c r="CL145" i="13" s="1"/>
  <c r="BU145" i="13"/>
  <c r="BX145" i="13"/>
  <c r="CA145" i="13"/>
  <c r="CD145" i="13"/>
  <c r="CG145" i="13"/>
  <c r="CJ145" i="13"/>
  <c r="BR146" i="13"/>
  <c r="CL146" i="13" s="1"/>
  <c r="BU146" i="13"/>
  <c r="BX146" i="13"/>
  <c r="CA146" i="13"/>
  <c r="CD146" i="13"/>
  <c r="CG146" i="13"/>
  <c r="CJ146" i="13"/>
  <c r="BR147" i="13"/>
  <c r="CL147" i="13" s="1"/>
  <c r="BU147" i="13"/>
  <c r="BX147" i="13"/>
  <c r="CA147" i="13"/>
  <c r="CD147" i="13"/>
  <c r="CG147" i="13"/>
  <c r="CJ147" i="13"/>
  <c r="BR148" i="13"/>
  <c r="CL148" i="13" s="1"/>
  <c r="BU148" i="13"/>
  <c r="BX148" i="13"/>
  <c r="CA148" i="13"/>
  <c r="CD148" i="13"/>
  <c r="CG148" i="13"/>
  <c r="CJ148" i="13"/>
  <c r="BR149" i="13"/>
  <c r="CL149" i="13" s="1"/>
  <c r="BU149" i="13"/>
  <c r="BX149" i="13"/>
  <c r="CA149" i="13"/>
  <c r="CD149" i="13"/>
  <c r="CG149" i="13"/>
  <c r="CJ149" i="13"/>
  <c r="BR150" i="13"/>
  <c r="CL150" i="13" s="1"/>
  <c r="BU150" i="13"/>
  <c r="BX150" i="13"/>
  <c r="CA150" i="13"/>
  <c r="CD150" i="13"/>
  <c r="CG150" i="13"/>
  <c r="CJ150" i="13"/>
  <c r="BR151" i="13"/>
  <c r="CL151" i="13" s="1"/>
  <c r="BU151" i="13"/>
  <c r="BX151" i="13"/>
  <c r="CA151" i="13"/>
  <c r="CD151" i="13"/>
  <c r="CG151" i="13"/>
  <c r="CJ151" i="13"/>
  <c r="BR152" i="13"/>
  <c r="CL152" i="13" s="1"/>
  <c r="BU152" i="13"/>
  <c r="BX152" i="13"/>
  <c r="CA152" i="13"/>
  <c r="CD152" i="13"/>
  <c r="CG152" i="13"/>
  <c r="CJ152" i="13"/>
  <c r="BR153" i="13"/>
  <c r="CL153" i="13" s="1"/>
  <c r="BU153" i="13"/>
  <c r="BX153" i="13"/>
  <c r="CA153" i="13"/>
  <c r="CD153" i="13"/>
  <c r="CG153" i="13"/>
  <c r="CJ153" i="13"/>
  <c r="BR154" i="13"/>
  <c r="CL154" i="13" s="1"/>
  <c r="BU154" i="13"/>
  <c r="BX154" i="13"/>
  <c r="CA154" i="13"/>
  <c r="CD154" i="13"/>
  <c r="CG154" i="13"/>
  <c r="CJ154" i="13"/>
  <c r="BR155" i="13"/>
  <c r="CL155" i="13" s="1"/>
  <c r="BU155" i="13"/>
  <c r="BX155" i="13"/>
  <c r="CA155" i="13"/>
  <c r="CD155" i="13"/>
  <c r="CG155" i="13"/>
  <c r="CJ155" i="13"/>
  <c r="BR156" i="13"/>
  <c r="CL156" i="13" s="1"/>
  <c r="BU156" i="13"/>
  <c r="BX156" i="13"/>
  <c r="CA156" i="13"/>
  <c r="CD156" i="13"/>
  <c r="CG156" i="13"/>
  <c r="CJ156" i="13"/>
  <c r="BR157" i="13"/>
  <c r="CL157" i="13" s="1"/>
  <c r="BU157" i="13"/>
  <c r="BX157" i="13"/>
  <c r="CA157" i="13"/>
  <c r="CD157" i="13"/>
  <c r="CG157" i="13"/>
  <c r="CJ157" i="13"/>
  <c r="BR158" i="13"/>
  <c r="CL158" i="13" s="1"/>
  <c r="BU158" i="13"/>
  <c r="BX158" i="13"/>
  <c r="CA158" i="13"/>
  <c r="CD158" i="13"/>
  <c r="CG158" i="13"/>
  <c r="CJ158" i="13"/>
  <c r="BR159" i="13"/>
  <c r="BU159" i="13"/>
  <c r="BX159" i="13"/>
  <c r="CA159" i="13"/>
  <c r="CD159" i="13"/>
  <c r="CG159" i="13"/>
  <c r="CJ159" i="13"/>
  <c r="CL159" i="13"/>
  <c r="BR160" i="13"/>
  <c r="CL160" i="13" s="1"/>
  <c r="BU160" i="13"/>
  <c r="BX160" i="13"/>
  <c r="CA160" i="13"/>
  <c r="CD160" i="13"/>
  <c r="CG160" i="13"/>
  <c r="CJ160" i="13"/>
  <c r="BR161" i="13"/>
  <c r="CL161" i="13" s="1"/>
  <c r="BU161" i="13"/>
  <c r="BX161" i="13"/>
  <c r="CA161" i="13"/>
  <c r="CD161" i="13"/>
  <c r="CG161" i="13"/>
  <c r="CJ161" i="13"/>
  <c r="BR162" i="13"/>
  <c r="CL162" i="13" s="1"/>
  <c r="BU162" i="13"/>
  <c r="BX162" i="13"/>
  <c r="CA162" i="13"/>
  <c r="CD162" i="13"/>
  <c r="CG162" i="13"/>
  <c r="CJ162" i="13"/>
  <c r="BR163" i="13"/>
  <c r="CL163" i="13" s="1"/>
  <c r="BU163" i="13"/>
  <c r="BX163" i="13"/>
  <c r="CA163" i="13"/>
  <c r="CD163" i="13"/>
  <c r="CG163" i="13"/>
  <c r="CJ163" i="13"/>
  <c r="BR164" i="13"/>
  <c r="CL164" i="13" s="1"/>
  <c r="BU164" i="13"/>
  <c r="BX164" i="13"/>
  <c r="CA164" i="13"/>
  <c r="CD164" i="13"/>
  <c r="CG164" i="13"/>
  <c r="CJ164" i="13"/>
  <c r="BR165" i="13"/>
  <c r="CL165" i="13" s="1"/>
  <c r="BU165" i="13"/>
  <c r="BX165" i="13"/>
  <c r="CA165" i="13"/>
  <c r="CD165" i="13"/>
  <c r="CG165" i="13"/>
  <c r="CJ165" i="13"/>
  <c r="BR166" i="13"/>
  <c r="CL166" i="13" s="1"/>
  <c r="BU166" i="13"/>
  <c r="BX166" i="13"/>
  <c r="CA166" i="13"/>
  <c r="CD166" i="13"/>
  <c r="CG166" i="13"/>
  <c r="CJ166" i="13"/>
  <c r="BR167" i="13"/>
  <c r="CL167" i="13" s="1"/>
  <c r="BU167" i="13"/>
  <c r="BX167" i="13"/>
  <c r="CA167" i="13"/>
  <c r="CD167" i="13"/>
  <c r="CG167" i="13"/>
  <c r="CJ167" i="13"/>
  <c r="BR168" i="13"/>
  <c r="CL168" i="13" s="1"/>
  <c r="BU168" i="13"/>
  <c r="BX168" i="13"/>
  <c r="CA168" i="13"/>
  <c r="CD168" i="13"/>
  <c r="CG168" i="13"/>
  <c r="CJ168" i="13"/>
  <c r="BR169" i="13"/>
  <c r="CL169" i="13" s="1"/>
  <c r="BU169" i="13"/>
  <c r="BX169" i="13"/>
  <c r="CA169" i="13"/>
  <c r="CD169" i="13"/>
  <c r="CG169" i="13"/>
  <c r="CJ169" i="13"/>
  <c r="BR170" i="13"/>
  <c r="CL170" i="13" s="1"/>
  <c r="BU170" i="13"/>
  <c r="BX170" i="13"/>
  <c r="CA170" i="13"/>
  <c r="CD170" i="13"/>
  <c r="CG170" i="13"/>
  <c r="CJ170" i="13"/>
  <c r="BR171" i="13"/>
  <c r="CL171" i="13" s="1"/>
  <c r="BU171" i="13"/>
  <c r="BX171" i="13"/>
  <c r="CA171" i="13"/>
  <c r="CD171" i="13"/>
  <c r="CG171" i="13"/>
  <c r="CJ171" i="13"/>
  <c r="BR172" i="13"/>
  <c r="CL172" i="13" s="1"/>
  <c r="BU172" i="13"/>
  <c r="BX172" i="13"/>
  <c r="CA172" i="13"/>
  <c r="CD172" i="13"/>
  <c r="CG172" i="13"/>
  <c r="CJ172" i="13"/>
  <c r="BR173" i="13"/>
  <c r="CL173" i="13" s="1"/>
  <c r="BU173" i="13"/>
  <c r="BX173" i="13"/>
  <c r="CA173" i="13"/>
  <c r="CD173" i="13"/>
  <c r="CG173" i="13"/>
  <c r="CJ173" i="13"/>
  <c r="BR174" i="13"/>
  <c r="BU174" i="13"/>
  <c r="BX174" i="13"/>
  <c r="CA174" i="13"/>
  <c r="CD174" i="13"/>
  <c r="CG174" i="13"/>
  <c r="CJ174" i="13"/>
  <c r="CL174" i="13"/>
  <c r="BR175" i="13"/>
  <c r="CL175" i="13" s="1"/>
  <c r="BU175" i="13"/>
  <c r="BX175" i="13"/>
  <c r="CA175" i="13"/>
  <c r="CD175" i="13"/>
  <c r="CG175" i="13"/>
  <c r="CJ175" i="13"/>
  <c r="BR176" i="13"/>
  <c r="BU176" i="13"/>
  <c r="BX176" i="13"/>
  <c r="CA176" i="13"/>
  <c r="CD176" i="13"/>
  <c r="CG176" i="13"/>
  <c r="CJ176" i="13"/>
  <c r="CL176" i="13"/>
  <c r="BR177" i="13"/>
  <c r="CL177" i="13" s="1"/>
  <c r="BU177" i="13"/>
  <c r="BX177" i="13"/>
  <c r="CA177" i="13"/>
  <c r="CD177" i="13"/>
  <c r="CG177" i="13"/>
  <c r="CJ177" i="13"/>
  <c r="BR178" i="13"/>
  <c r="CL178" i="13" s="1"/>
  <c r="BU178" i="13"/>
  <c r="BX178" i="13"/>
  <c r="CA178" i="13"/>
  <c r="CD178" i="13"/>
  <c r="CG178" i="13"/>
  <c r="CJ178" i="13"/>
  <c r="BR179" i="13"/>
  <c r="CL179" i="13" s="1"/>
  <c r="BU179" i="13"/>
  <c r="BX179" i="13"/>
  <c r="CA179" i="13"/>
  <c r="CD179" i="13"/>
  <c r="CG179" i="13"/>
  <c r="CJ179" i="13"/>
  <c r="BR180" i="13"/>
  <c r="BU180" i="13"/>
  <c r="BX180" i="13"/>
  <c r="CA180" i="13"/>
  <c r="CD180" i="13"/>
  <c r="CG180" i="13"/>
  <c r="CJ180" i="13"/>
  <c r="CL180" i="13"/>
  <c r="BR181" i="13"/>
  <c r="CL181" i="13" s="1"/>
  <c r="BU181" i="13"/>
  <c r="BX181" i="13"/>
  <c r="CA181" i="13"/>
  <c r="CD181" i="13"/>
  <c r="CG181" i="13"/>
  <c r="CJ181" i="13"/>
  <c r="BR182" i="13"/>
  <c r="CL182" i="13" s="1"/>
  <c r="BU182" i="13"/>
  <c r="BX182" i="13"/>
  <c r="CA182" i="13"/>
  <c r="CD182" i="13"/>
  <c r="CG182" i="13"/>
  <c r="CJ182" i="13"/>
  <c r="BR183" i="13"/>
  <c r="CL183" i="13" s="1"/>
  <c r="BU183" i="13"/>
  <c r="BX183" i="13"/>
  <c r="CA183" i="13"/>
  <c r="CD183" i="13"/>
  <c r="CG183" i="13"/>
  <c r="CJ183" i="13"/>
  <c r="BR184" i="13"/>
  <c r="BU184" i="13"/>
  <c r="BX184" i="13"/>
  <c r="CA184" i="13"/>
  <c r="CD184" i="13"/>
  <c r="CG184" i="13"/>
  <c r="CJ184" i="13"/>
  <c r="CL184" i="13"/>
  <c r="BR185" i="13"/>
  <c r="CL185" i="13" s="1"/>
  <c r="BU185" i="13"/>
  <c r="BX185" i="13"/>
  <c r="CA185" i="13"/>
  <c r="CD185" i="13"/>
  <c r="CG185" i="13"/>
  <c r="CJ185" i="13"/>
  <c r="BR186" i="13"/>
  <c r="CL186" i="13" s="1"/>
  <c r="BU186" i="13"/>
  <c r="BX186" i="13"/>
  <c r="CA186" i="13"/>
  <c r="CD186" i="13"/>
  <c r="CG186" i="13"/>
  <c r="CJ186" i="13"/>
  <c r="BR187" i="13"/>
  <c r="CL187" i="13" s="1"/>
  <c r="BU187" i="13"/>
  <c r="BX187" i="13"/>
  <c r="CA187" i="13"/>
  <c r="CD187" i="13"/>
  <c r="CG187" i="13"/>
  <c r="CJ187" i="13"/>
  <c r="BR188" i="13"/>
  <c r="CL188" i="13" s="1"/>
  <c r="BU188" i="13"/>
  <c r="BX188" i="13"/>
  <c r="CA188" i="13"/>
  <c r="CD188" i="13"/>
  <c r="CG188" i="13"/>
  <c r="CJ188" i="13"/>
  <c r="BR189" i="13"/>
  <c r="CL189" i="13" s="1"/>
  <c r="BU189" i="13"/>
  <c r="BX189" i="13"/>
  <c r="CA189" i="13"/>
  <c r="CD189" i="13"/>
  <c r="CG189" i="13"/>
  <c r="CJ189" i="13"/>
  <c r="BR190" i="13"/>
  <c r="CL190" i="13" s="1"/>
  <c r="BU190" i="13"/>
  <c r="BX190" i="13"/>
  <c r="CA190" i="13"/>
  <c r="CD190" i="13"/>
  <c r="CG190" i="13"/>
  <c r="CJ190" i="13"/>
  <c r="BR191" i="13"/>
  <c r="CL191" i="13" s="1"/>
  <c r="BU191" i="13"/>
  <c r="BX191" i="13"/>
  <c r="CA191" i="13"/>
  <c r="CD191" i="13"/>
  <c r="CG191" i="13"/>
  <c r="CJ191" i="13"/>
  <c r="BR192" i="13"/>
  <c r="CL192" i="13" s="1"/>
  <c r="BU192" i="13"/>
  <c r="BX192" i="13"/>
  <c r="CA192" i="13"/>
  <c r="CD192" i="13"/>
  <c r="CG192" i="13"/>
  <c r="CJ192" i="13"/>
  <c r="BR193" i="13"/>
  <c r="CL193" i="13" s="1"/>
  <c r="BU193" i="13"/>
  <c r="BX193" i="13"/>
  <c r="CA193" i="13"/>
  <c r="CD193" i="13"/>
  <c r="CG193" i="13"/>
  <c r="CJ193" i="13"/>
  <c r="BR194" i="13"/>
  <c r="CL194" i="13" s="1"/>
  <c r="BU194" i="13"/>
  <c r="BX194" i="13"/>
  <c r="CA194" i="13"/>
  <c r="CD194" i="13"/>
  <c r="CG194" i="13"/>
  <c r="CJ194" i="13"/>
  <c r="BR195" i="13"/>
  <c r="CL195" i="13" s="1"/>
  <c r="BU195" i="13"/>
  <c r="BX195" i="13"/>
  <c r="CA195" i="13"/>
  <c r="CD195" i="13"/>
  <c r="CG195" i="13"/>
  <c r="CJ195" i="13"/>
  <c r="BR196" i="13"/>
  <c r="CL196" i="13" s="1"/>
  <c r="BU196" i="13"/>
  <c r="BX196" i="13"/>
  <c r="CA196" i="13"/>
  <c r="CD196" i="13"/>
  <c r="CG196" i="13"/>
  <c r="CJ196" i="13"/>
  <c r="BR197" i="13"/>
  <c r="CL197" i="13" s="1"/>
  <c r="BU197" i="13"/>
  <c r="BX197" i="13"/>
  <c r="CA197" i="13"/>
  <c r="CD197" i="13"/>
  <c r="CG197" i="13"/>
  <c r="CJ197" i="13"/>
  <c r="BR198" i="13"/>
  <c r="CL198" i="13" s="1"/>
  <c r="BU198" i="13"/>
  <c r="BX198" i="13"/>
  <c r="CA198" i="13"/>
  <c r="CD198" i="13"/>
  <c r="CG198" i="13"/>
  <c r="CJ198" i="13"/>
  <c r="BR199" i="13"/>
  <c r="BU199" i="13"/>
  <c r="BX199" i="13"/>
  <c r="CA199" i="13"/>
  <c r="CD199" i="13"/>
  <c r="CG199" i="13"/>
  <c r="CJ199" i="13"/>
  <c r="CL199" i="13"/>
  <c r="BR200" i="13"/>
  <c r="CL200" i="13" s="1"/>
  <c r="BU200" i="13"/>
  <c r="BX200" i="13"/>
  <c r="CA200" i="13"/>
  <c r="CD200" i="13"/>
  <c r="CG200" i="13"/>
  <c r="CJ200" i="13"/>
  <c r="BR201" i="13"/>
  <c r="BU201" i="13"/>
  <c r="BX201" i="13"/>
  <c r="CA201" i="13"/>
  <c r="CD201" i="13"/>
  <c r="CG201" i="13"/>
  <c r="CJ201" i="13"/>
  <c r="CL201" i="13"/>
  <c r="BR202" i="13"/>
  <c r="CL202" i="13" s="1"/>
  <c r="BU202" i="13"/>
  <c r="BX202" i="13"/>
  <c r="CA202" i="13"/>
  <c r="CD202" i="13"/>
  <c r="CG202" i="13"/>
  <c r="CJ202" i="13"/>
  <c r="BR203" i="13"/>
  <c r="CL203" i="13" s="1"/>
  <c r="BU203" i="13"/>
  <c r="BX203" i="13"/>
  <c r="CA203" i="13"/>
  <c r="CD203" i="13"/>
  <c r="CG203" i="13"/>
  <c r="CJ203" i="13"/>
  <c r="BR204" i="13"/>
  <c r="CL204" i="13" s="1"/>
  <c r="BU204" i="13"/>
  <c r="BX204" i="13"/>
  <c r="CA204" i="13"/>
  <c r="CD204" i="13"/>
  <c r="CG204" i="13"/>
  <c r="CJ204" i="13"/>
  <c r="CJ7" i="13"/>
  <c r="CG7" i="13"/>
  <c r="CD7" i="13"/>
  <c r="CA7" i="13"/>
  <c r="BX7" i="13"/>
  <c r="BU7" i="13"/>
  <c r="BR7" i="13"/>
  <c r="CL7" i="13" s="1"/>
  <c r="BL8" i="13"/>
  <c r="BN8" i="13"/>
  <c r="BL9" i="13"/>
  <c r="BN9" i="13"/>
  <c r="BL10" i="13"/>
  <c r="BN10" i="13"/>
  <c r="BL11" i="13"/>
  <c r="BN11" i="13"/>
  <c r="BL12" i="13"/>
  <c r="BN12" i="13"/>
  <c r="BL13" i="13"/>
  <c r="BN13" i="13"/>
  <c r="BL14" i="13"/>
  <c r="BN14" i="13"/>
  <c r="BL15" i="13"/>
  <c r="BN15" i="13"/>
  <c r="BL16" i="13"/>
  <c r="BN16" i="13"/>
  <c r="BL17" i="13"/>
  <c r="BN17" i="13"/>
  <c r="BL18" i="13"/>
  <c r="BN18" i="13"/>
  <c r="BL19" i="13"/>
  <c r="BN19" i="13"/>
  <c r="BL20" i="13"/>
  <c r="BN20" i="13"/>
  <c r="BL21" i="13"/>
  <c r="BN21" i="13"/>
  <c r="BL22" i="13"/>
  <c r="BN22" i="13"/>
  <c r="BL23" i="13"/>
  <c r="BN23" i="13"/>
  <c r="BL24" i="13"/>
  <c r="BN24" i="13"/>
  <c r="BL25" i="13"/>
  <c r="BN25" i="13"/>
  <c r="BL26" i="13"/>
  <c r="BN26" i="13"/>
  <c r="BL27" i="13"/>
  <c r="BN27" i="13"/>
  <c r="BL28" i="13"/>
  <c r="BN28" i="13"/>
  <c r="BL29" i="13"/>
  <c r="BN29" i="13"/>
  <c r="BL30" i="13"/>
  <c r="BN30" i="13"/>
  <c r="BL31" i="13"/>
  <c r="BN31" i="13"/>
  <c r="BL32" i="13"/>
  <c r="BN32" i="13"/>
  <c r="BL33" i="13"/>
  <c r="BN33" i="13"/>
  <c r="BL34" i="13"/>
  <c r="BN34" i="13"/>
  <c r="BL35" i="13"/>
  <c r="BN35" i="13"/>
  <c r="BL36" i="13"/>
  <c r="BN36" i="13"/>
  <c r="BL37" i="13"/>
  <c r="BN37" i="13"/>
  <c r="BL38" i="13"/>
  <c r="BN38" i="13"/>
  <c r="BL39" i="13"/>
  <c r="BN39" i="13"/>
  <c r="BL40" i="13"/>
  <c r="BN40" i="13"/>
  <c r="BL41" i="13"/>
  <c r="BN41" i="13"/>
  <c r="BL42" i="13"/>
  <c r="BN42" i="13"/>
  <c r="BL43" i="13"/>
  <c r="BN43" i="13"/>
  <c r="BL44" i="13"/>
  <c r="BN44" i="13"/>
  <c r="BL45" i="13"/>
  <c r="BN45" i="13"/>
  <c r="BL46" i="13"/>
  <c r="BN46" i="13"/>
  <c r="BL47" i="13"/>
  <c r="BN47" i="13"/>
  <c r="BL48" i="13"/>
  <c r="BN48" i="13"/>
  <c r="BL49" i="13"/>
  <c r="BN49" i="13"/>
  <c r="BL50" i="13"/>
  <c r="BN50" i="13"/>
  <c r="BL51" i="13"/>
  <c r="BN51" i="13"/>
  <c r="BL52" i="13"/>
  <c r="BN52" i="13"/>
  <c r="BL53" i="13"/>
  <c r="BN53" i="13"/>
  <c r="BL54" i="13"/>
  <c r="BN54" i="13"/>
  <c r="BL55" i="13"/>
  <c r="BN55" i="13"/>
  <c r="BL56" i="13"/>
  <c r="BN56" i="13"/>
  <c r="BL57" i="13"/>
  <c r="BN57" i="13"/>
  <c r="BL58" i="13"/>
  <c r="BN58" i="13"/>
  <c r="BL59" i="13"/>
  <c r="BN59" i="13"/>
  <c r="BL60" i="13"/>
  <c r="BN60" i="13"/>
  <c r="BL61" i="13"/>
  <c r="BN61" i="13"/>
  <c r="BL62" i="13"/>
  <c r="BN62" i="13"/>
  <c r="BL63" i="13"/>
  <c r="BN63" i="13"/>
  <c r="BL64" i="13"/>
  <c r="BN64" i="13"/>
  <c r="BL65" i="13"/>
  <c r="BN65" i="13"/>
  <c r="BL66" i="13"/>
  <c r="BN66" i="13"/>
  <c r="BL67" i="13"/>
  <c r="BN67" i="13"/>
  <c r="BL68" i="13"/>
  <c r="BN68" i="13"/>
  <c r="BL69" i="13"/>
  <c r="BN69" i="13"/>
  <c r="BL70" i="13"/>
  <c r="BN70" i="13"/>
  <c r="BL71" i="13"/>
  <c r="BN71" i="13"/>
  <c r="BL72" i="13"/>
  <c r="BN72" i="13"/>
  <c r="BL73" i="13"/>
  <c r="BN73" i="13"/>
  <c r="BL74" i="13"/>
  <c r="BN74" i="13"/>
  <c r="BL75" i="13"/>
  <c r="BN75" i="13"/>
  <c r="BL76" i="13"/>
  <c r="BN76" i="13"/>
  <c r="BL77" i="13"/>
  <c r="BN77" i="13"/>
  <c r="BL78" i="13"/>
  <c r="BN78" i="13"/>
  <c r="BL79" i="13"/>
  <c r="BN79" i="13"/>
  <c r="BL80" i="13"/>
  <c r="BN80" i="13"/>
  <c r="BL81" i="13"/>
  <c r="BN81" i="13"/>
  <c r="BL82" i="13"/>
  <c r="BN82" i="13"/>
  <c r="BL83" i="13"/>
  <c r="BN83" i="13"/>
  <c r="BL84" i="13"/>
  <c r="BN84" i="13"/>
  <c r="BL85" i="13"/>
  <c r="BN85" i="13"/>
  <c r="BL86" i="13"/>
  <c r="BN86" i="13"/>
  <c r="BL87" i="13"/>
  <c r="BN87" i="13"/>
  <c r="BL88" i="13"/>
  <c r="BN88" i="13"/>
  <c r="BL89" i="13"/>
  <c r="BN89" i="13"/>
  <c r="BL90" i="13"/>
  <c r="BN90" i="13"/>
  <c r="BL91" i="13"/>
  <c r="BN91" i="13"/>
  <c r="BL92" i="13"/>
  <c r="BN92" i="13"/>
  <c r="BL93" i="13"/>
  <c r="BN93" i="13"/>
  <c r="BL94" i="13"/>
  <c r="BN94" i="13"/>
  <c r="BL95" i="13"/>
  <c r="BN95" i="13"/>
  <c r="BL96" i="13"/>
  <c r="BN96" i="13"/>
  <c r="BL97" i="13"/>
  <c r="BN97" i="13"/>
  <c r="BL98" i="13"/>
  <c r="BN98" i="13"/>
  <c r="BL99" i="13"/>
  <c r="BN99" i="13"/>
  <c r="BL100" i="13"/>
  <c r="BN100" i="13"/>
  <c r="BL101" i="13"/>
  <c r="BN101" i="13"/>
  <c r="BL102" i="13"/>
  <c r="BN102" i="13"/>
  <c r="BL103" i="13"/>
  <c r="BN103" i="13"/>
  <c r="BL104" i="13"/>
  <c r="BN104" i="13"/>
  <c r="BL105" i="13"/>
  <c r="BN105" i="13"/>
  <c r="BL106" i="13"/>
  <c r="BN106" i="13"/>
  <c r="BL107" i="13"/>
  <c r="BN107" i="13"/>
  <c r="BL108" i="13"/>
  <c r="BN108" i="13"/>
  <c r="BL109" i="13"/>
  <c r="BN109" i="13"/>
  <c r="BL110" i="13"/>
  <c r="BN110" i="13"/>
  <c r="BL111" i="13"/>
  <c r="BN111" i="13"/>
  <c r="BL112" i="13"/>
  <c r="BN112" i="13"/>
  <c r="BL113" i="13"/>
  <c r="BN113" i="13"/>
  <c r="BL114" i="13"/>
  <c r="BN114" i="13"/>
  <c r="BL115" i="13"/>
  <c r="BN115" i="13"/>
  <c r="BL116" i="13"/>
  <c r="BN116" i="13"/>
  <c r="BL117" i="13"/>
  <c r="BN117" i="13"/>
  <c r="BL118" i="13"/>
  <c r="BN118" i="13"/>
  <c r="BL119" i="13"/>
  <c r="BN119" i="13"/>
  <c r="BL120" i="13"/>
  <c r="BN120" i="13"/>
  <c r="BL121" i="13"/>
  <c r="BN121" i="13"/>
  <c r="BL122" i="13"/>
  <c r="BN122" i="13"/>
  <c r="BL123" i="13"/>
  <c r="BN123" i="13"/>
  <c r="BL124" i="13"/>
  <c r="BN124" i="13"/>
  <c r="BL125" i="13"/>
  <c r="BN125" i="13"/>
  <c r="BL126" i="13"/>
  <c r="BN126" i="13"/>
  <c r="BL127" i="13"/>
  <c r="BN127" i="13"/>
  <c r="BL128" i="13"/>
  <c r="BN128" i="13"/>
  <c r="BL129" i="13"/>
  <c r="BN129" i="13"/>
  <c r="BL130" i="13"/>
  <c r="BN130" i="13"/>
  <c r="BL131" i="13"/>
  <c r="BN131" i="13"/>
  <c r="BL132" i="13"/>
  <c r="BN132" i="13"/>
  <c r="BL133" i="13"/>
  <c r="BN133" i="13"/>
  <c r="BL134" i="13"/>
  <c r="BN134" i="13"/>
  <c r="BL135" i="13"/>
  <c r="BN135" i="13"/>
  <c r="BL136" i="13"/>
  <c r="BN136" i="13"/>
  <c r="BL137" i="13"/>
  <c r="BN137" i="13"/>
  <c r="BL138" i="13"/>
  <c r="BN138" i="13"/>
  <c r="BL139" i="13"/>
  <c r="BN139" i="13"/>
  <c r="BL140" i="13"/>
  <c r="BN140" i="13"/>
  <c r="BL141" i="13"/>
  <c r="BN141" i="13"/>
  <c r="BL142" i="13"/>
  <c r="BN142" i="13"/>
  <c r="BL143" i="13"/>
  <c r="BN143" i="13"/>
  <c r="BL144" i="13"/>
  <c r="BN144" i="13"/>
  <c r="BL145" i="13"/>
  <c r="BN145" i="13"/>
  <c r="BL146" i="13"/>
  <c r="BN146" i="13"/>
  <c r="BL147" i="13"/>
  <c r="BN147" i="13"/>
  <c r="BL148" i="13"/>
  <c r="BN148" i="13"/>
  <c r="BL149" i="13"/>
  <c r="BN149" i="13"/>
  <c r="BL150" i="13"/>
  <c r="BN150" i="13"/>
  <c r="BL151" i="13"/>
  <c r="BN151" i="13"/>
  <c r="BL152" i="13"/>
  <c r="BN152" i="13"/>
  <c r="BL153" i="13"/>
  <c r="BN153" i="13"/>
  <c r="BL154" i="13"/>
  <c r="BN154" i="13"/>
  <c r="BL155" i="13"/>
  <c r="BN155" i="13"/>
  <c r="BL156" i="13"/>
  <c r="BN156" i="13"/>
  <c r="BL157" i="13"/>
  <c r="BN157" i="13"/>
  <c r="BL158" i="13"/>
  <c r="BN158" i="13"/>
  <c r="BL159" i="13"/>
  <c r="BN159" i="13"/>
  <c r="BL160" i="13"/>
  <c r="BN160" i="13"/>
  <c r="BL161" i="13"/>
  <c r="BN161" i="13"/>
  <c r="BL162" i="13"/>
  <c r="BN162" i="13"/>
  <c r="BL163" i="13"/>
  <c r="BN163" i="13"/>
  <c r="BL164" i="13"/>
  <c r="BN164" i="13"/>
  <c r="BL165" i="13"/>
  <c r="BN165" i="13"/>
  <c r="BL166" i="13"/>
  <c r="BN166" i="13"/>
  <c r="BL167" i="13"/>
  <c r="BN167" i="13"/>
  <c r="BL168" i="13"/>
  <c r="BN168" i="13"/>
  <c r="BL169" i="13"/>
  <c r="BN169" i="13"/>
  <c r="BL170" i="13"/>
  <c r="BN170" i="13"/>
  <c r="BL171" i="13"/>
  <c r="BN171" i="13"/>
  <c r="BL172" i="13"/>
  <c r="BN172" i="13"/>
  <c r="BL173" i="13"/>
  <c r="BN173" i="13"/>
  <c r="BL174" i="13"/>
  <c r="BN174" i="13"/>
  <c r="BL175" i="13"/>
  <c r="BN175" i="13"/>
  <c r="BL176" i="13"/>
  <c r="BN176" i="13"/>
  <c r="BL177" i="13"/>
  <c r="BN177" i="13"/>
  <c r="BL178" i="13"/>
  <c r="BN178" i="13"/>
  <c r="BL179" i="13"/>
  <c r="BN179" i="13"/>
  <c r="BL180" i="13"/>
  <c r="BN180" i="13"/>
  <c r="BL181" i="13"/>
  <c r="BN181" i="13"/>
  <c r="BL182" i="13"/>
  <c r="BN182" i="13"/>
  <c r="BL183" i="13"/>
  <c r="BN183" i="13"/>
  <c r="BL184" i="13"/>
  <c r="BN184" i="13"/>
  <c r="BL185" i="13"/>
  <c r="BN185" i="13"/>
  <c r="BL186" i="13"/>
  <c r="BN186" i="13"/>
  <c r="BL187" i="13"/>
  <c r="BN187" i="13"/>
  <c r="BL188" i="13"/>
  <c r="BN188" i="13"/>
  <c r="BL189" i="13"/>
  <c r="BN189" i="13"/>
  <c r="BL190" i="13"/>
  <c r="BN190" i="13"/>
  <c r="BL191" i="13"/>
  <c r="BN191" i="13"/>
  <c r="BL192" i="13"/>
  <c r="BN192" i="13"/>
  <c r="BL193" i="13"/>
  <c r="BN193" i="13"/>
  <c r="BL194" i="13"/>
  <c r="BN194" i="13"/>
  <c r="BL195" i="13"/>
  <c r="BN195" i="13"/>
  <c r="BL196" i="13"/>
  <c r="BN196" i="13"/>
  <c r="BL197" i="13"/>
  <c r="BN197" i="13"/>
  <c r="BL198" i="13"/>
  <c r="BN198" i="13"/>
  <c r="BL199" i="13"/>
  <c r="BN199" i="13"/>
  <c r="BL200" i="13"/>
  <c r="BN200" i="13"/>
  <c r="BL201" i="13"/>
  <c r="BN201" i="13"/>
  <c r="BL202" i="13"/>
  <c r="BN202" i="13"/>
  <c r="BL203" i="13"/>
  <c r="BN203" i="13"/>
  <c r="BL204" i="13"/>
  <c r="BN204" i="13"/>
  <c r="BL7" i="13"/>
  <c r="BN7" i="13" s="1"/>
  <c r="V8" i="13"/>
  <c r="BH8" i="13" s="1"/>
  <c r="Y8" i="13"/>
  <c r="AB8" i="13"/>
  <c r="AE8" i="13"/>
  <c r="AH8" i="13"/>
  <c r="AK8" i="13"/>
  <c r="AN8" i="13"/>
  <c r="AQ8" i="13"/>
  <c r="AT8" i="13"/>
  <c r="AW8" i="13"/>
  <c r="AZ8" i="13"/>
  <c r="BC8" i="13"/>
  <c r="BF8" i="13"/>
  <c r="V9" i="13"/>
  <c r="BH9" i="13" s="1"/>
  <c r="Y9" i="13"/>
  <c r="AB9" i="13"/>
  <c r="AE9" i="13"/>
  <c r="AH9" i="13"/>
  <c r="AK9" i="13"/>
  <c r="AN9" i="13"/>
  <c r="AQ9" i="13"/>
  <c r="AT9" i="13"/>
  <c r="AW9" i="13"/>
  <c r="AZ9" i="13"/>
  <c r="BC9" i="13"/>
  <c r="BF9" i="13"/>
  <c r="V10" i="13"/>
  <c r="BH10" i="13" s="1"/>
  <c r="Y10" i="13"/>
  <c r="AB10" i="13"/>
  <c r="AE10" i="13"/>
  <c r="AH10" i="13"/>
  <c r="AK10" i="13"/>
  <c r="AN10" i="13"/>
  <c r="AQ10" i="13"/>
  <c r="AT10" i="13"/>
  <c r="AW10" i="13"/>
  <c r="AZ10" i="13"/>
  <c r="BC10" i="13"/>
  <c r="BF10" i="13"/>
  <c r="V11" i="13"/>
  <c r="BH11" i="13" s="1"/>
  <c r="Y11" i="13"/>
  <c r="AB11" i="13"/>
  <c r="AE11" i="13"/>
  <c r="AH11" i="13"/>
  <c r="AK11" i="13"/>
  <c r="AN11" i="13"/>
  <c r="AQ11" i="13"/>
  <c r="AT11" i="13"/>
  <c r="AW11" i="13"/>
  <c r="AZ11" i="13"/>
  <c r="BC11" i="13"/>
  <c r="BF11" i="13"/>
  <c r="V12" i="13"/>
  <c r="BH12" i="13" s="1"/>
  <c r="Y12" i="13"/>
  <c r="AB12" i="13"/>
  <c r="AE12" i="13"/>
  <c r="AH12" i="13"/>
  <c r="AK12" i="13"/>
  <c r="AN12" i="13"/>
  <c r="AQ12" i="13"/>
  <c r="AT12" i="13"/>
  <c r="AW12" i="13"/>
  <c r="AZ12" i="13"/>
  <c r="BC12" i="13"/>
  <c r="BF12" i="13"/>
  <c r="V13" i="13"/>
  <c r="BH13" i="13" s="1"/>
  <c r="Y13" i="13"/>
  <c r="AB13" i="13"/>
  <c r="AE13" i="13"/>
  <c r="AH13" i="13"/>
  <c r="AK13" i="13"/>
  <c r="AN13" i="13"/>
  <c r="AQ13" i="13"/>
  <c r="AT13" i="13"/>
  <c r="AW13" i="13"/>
  <c r="AZ13" i="13"/>
  <c r="BC13" i="13"/>
  <c r="BF13" i="13"/>
  <c r="V14" i="13"/>
  <c r="BH14" i="13" s="1"/>
  <c r="Y14" i="13"/>
  <c r="AB14" i="13"/>
  <c r="AE14" i="13"/>
  <c r="AH14" i="13"/>
  <c r="AK14" i="13"/>
  <c r="AN14" i="13"/>
  <c r="AQ14" i="13"/>
  <c r="AT14" i="13"/>
  <c r="AW14" i="13"/>
  <c r="AZ14" i="13"/>
  <c r="BC14" i="13"/>
  <c r="BF14" i="13"/>
  <c r="V15" i="13"/>
  <c r="BH15" i="13" s="1"/>
  <c r="Y15" i="13"/>
  <c r="AB15" i="13"/>
  <c r="AE15" i="13"/>
  <c r="AH15" i="13"/>
  <c r="AK15" i="13"/>
  <c r="AN15" i="13"/>
  <c r="AQ15" i="13"/>
  <c r="AT15" i="13"/>
  <c r="AW15" i="13"/>
  <c r="AZ15" i="13"/>
  <c r="BC15" i="13"/>
  <c r="BF15" i="13"/>
  <c r="V16" i="13"/>
  <c r="BH16" i="13" s="1"/>
  <c r="Y16" i="13"/>
  <c r="AB16" i="13"/>
  <c r="AE16" i="13"/>
  <c r="AH16" i="13"/>
  <c r="AK16" i="13"/>
  <c r="AN16" i="13"/>
  <c r="AQ16" i="13"/>
  <c r="AT16" i="13"/>
  <c r="AW16" i="13"/>
  <c r="AZ16" i="13"/>
  <c r="BC16" i="13"/>
  <c r="BF16" i="13"/>
  <c r="V17" i="13"/>
  <c r="BH17" i="13" s="1"/>
  <c r="Y17" i="13"/>
  <c r="AB17" i="13"/>
  <c r="AE17" i="13"/>
  <c r="AH17" i="13"/>
  <c r="AK17" i="13"/>
  <c r="AN17" i="13"/>
  <c r="AQ17" i="13"/>
  <c r="AT17" i="13"/>
  <c r="AW17" i="13"/>
  <c r="AZ17" i="13"/>
  <c r="BC17" i="13"/>
  <c r="BF17" i="13"/>
  <c r="V18" i="13"/>
  <c r="BH18" i="13" s="1"/>
  <c r="Y18" i="13"/>
  <c r="AB18" i="13"/>
  <c r="AE18" i="13"/>
  <c r="AH18" i="13"/>
  <c r="AK18" i="13"/>
  <c r="AN18" i="13"/>
  <c r="AQ18" i="13"/>
  <c r="AT18" i="13"/>
  <c r="AW18" i="13"/>
  <c r="AZ18" i="13"/>
  <c r="BC18" i="13"/>
  <c r="BF18" i="13"/>
  <c r="V19" i="13"/>
  <c r="BH19" i="13" s="1"/>
  <c r="Y19" i="13"/>
  <c r="AB19" i="13"/>
  <c r="AE19" i="13"/>
  <c r="AH19" i="13"/>
  <c r="AK19" i="13"/>
  <c r="AN19" i="13"/>
  <c r="AQ19" i="13"/>
  <c r="AT19" i="13"/>
  <c r="AW19" i="13"/>
  <c r="AZ19" i="13"/>
  <c r="BC19" i="13"/>
  <c r="BF19" i="13"/>
  <c r="V20" i="13"/>
  <c r="BH20" i="13" s="1"/>
  <c r="Y20" i="13"/>
  <c r="AB20" i="13"/>
  <c r="AE20" i="13"/>
  <c r="AH20" i="13"/>
  <c r="AK20" i="13"/>
  <c r="AN20" i="13"/>
  <c r="AQ20" i="13"/>
  <c r="AT20" i="13"/>
  <c r="AW20" i="13"/>
  <c r="AZ20" i="13"/>
  <c r="BC20" i="13"/>
  <c r="BF20" i="13"/>
  <c r="V21" i="13"/>
  <c r="BH21" i="13" s="1"/>
  <c r="Y21" i="13"/>
  <c r="AB21" i="13"/>
  <c r="AE21" i="13"/>
  <c r="AH21" i="13"/>
  <c r="AK21" i="13"/>
  <c r="AN21" i="13"/>
  <c r="AQ21" i="13"/>
  <c r="AT21" i="13"/>
  <c r="AW21" i="13"/>
  <c r="AZ21" i="13"/>
  <c r="BC21" i="13"/>
  <c r="BF21" i="13"/>
  <c r="V22" i="13"/>
  <c r="BH22" i="13" s="1"/>
  <c r="Y22" i="13"/>
  <c r="AB22" i="13"/>
  <c r="AE22" i="13"/>
  <c r="AH22" i="13"/>
  <c r="AK22" i="13"/>
  <c r="AN22" i="13"/>
  <c r="AQ22" i="13"/>
  <c r="AT22" i="13"/>
  <c r="AW22" i="13"/>
  <c r="AZ22" i="13"/>
  <c r="BC22" i="13"/>
  <c r="BF22" i="13"/>
  <c r="V23" i="13"/>
  <c r="BH23" i="13" s="1"/>
  <c r="Y23" i="13"/>
  <c r="AB23" i="13"/>
  <c r="AE23" i="13"/>
  <c r="AH23" i="13"/>
  <c r="AK23" i="13"/>
  <c r="AN23" i="13"/>
  <c r="AQ23" i="13"/>
  <c r="AT23" i="13"/>
  <c r="AW23" i="13"/>
  <c r="AZ23" i="13"/>
  <c r="BC23" i="13"/>
  <c r="BF23" i="13"/>
  <c r="V24" i="13"/>
  <c r="BH24" i="13" s="1"/>
  <c r="Y24" i="13"/>
  <c r="AB24" i="13"/>
  <c r="AE24" i="13"/>
  <c r="AH24" i="13"/>
  <c r="AK24" i="13"/>
  <c r="AN24" i="13"/>
  <c r="AQ24" i="13"/>
  <c r="AT24" i="13"/>
  <c r="AW24" i="13"/>
  <c r="AZ24" i="13"/>
  <c r="BC24" i="13"/>
  <c r="BF24" i="13"/>
  <c r="V25" i="13"/>
  <c r="BH25" i="13" s="1"/>
  <c r="Y25" i="13"/>
  <c r="AB25" i="13"/>
  <c r="AE25" i="13"/>
  <c r="AH25" i="13"/>
  <c r="AK25" i="13"/>
  <c r="AN25" i="13"/>
  <c r="AQ25" i="13"/>
  <c r="AT25" i="13"/>
  <c r="AW25" i="13"/>
  <c r="AZ25" i="13"/>
  <c r="BC25" i="13"/>
  <c r="BF25" i="13"/>
  <c r="V26" i="13"/>
  <c r="BH26" i="13" s="1"/>
  <c r="Y26" i="13"/>
  <c r="AB26" i="13"/>
  <c r="AE26" i="13"/>
  <c r="AH26" i="13"/>
  <c r="AK26" i="13"/>
  <c r="AN26" i="13"/>
  <c r="AQ26" i="13"/>
  <c r="AT26" i="13"/>
  <c r="AW26" i="13"/>
  <c r="AZ26" i="13"/>
  <c r="BC26" i="13"/>
  <c r="BF26" i="13"/>
  <c r="V27" i="13"/>
  <c r="BH27" i="13" s="1"/>
  <c r="Y27" i="13"/>
  <c r="AB27" i="13"/>
  <c r="AE27" i="13"/>
  <c r="AH27" i="13"/>
  <c r="AK27" i="13"/>
  <c r="AN27" i="13"/>
  <c r="AQ27" i="13"/>
  <c r="AT27" i="13"/>
  <c r="AW27" i="13"/>
  <c r="AZ27" i="13"/>
  <c r="BC27" i="13"/>
  <c r="BF27" i="13"/>
  <c r="V28" i="13"/>
  <c r="BH28" i="13" s="1"/>
  <c r="Y28" i="13"/>
  <c r="AB28" i="13"/>
  <c r="AE28" i="13"/>
  <c r="AH28" i="13"/>
  <c r="AK28" i="13"/>
  <c r="AN28" i="13"/>
  <c r="AQ28" i="13"/>
  <c r="AT28" i="13"/>
  <c r="AW28" i="13"/>
  <c r="AZ28" i="13"/>
  <c r="BC28" i="13"/>
  <c r="BF28" i="13"/>
  <c r="V29" i="13"/>
  <c r="BH29" i="13" s="1"/>
  <c r="Y29" i="13"/>
  <c r="AB29" i="13"/>
  <c r="AE29" i="13"/>
  <c r="AH29" i="13"/>
  <c r="AK29" i="13"/>
  <c r="AN29" i="13"/>
  <c r="AQ29" i="13"/>
  <c r="AT29" i="13"/>
  <c r="AW29" i="13"/>
  <c r="AZ29" i="13"/>
  <c r="BC29" i="13"/>
  <c r="BF29" i="13"/>
  <c r="V30" i="13"/>
  <c r="BH30" i="13" s="1"/>
  <c r="Y30" i="13"/>
  <c r="AB30" i="13"/>
  <c r="AE30" i="13"/>
  <c r="AH30" i="13"/>
  <c r="AK30" i="13"/>
  <c r="AN30" i="13"/>
  <c r="AQ30" i="13"/>
  <c r="AT30" i="13"/>
  <c r="AW30" i="13"/>
  <c r="AZ30" i="13"/>
  <c r="BC30" i="13"/>
  <c r="BF30" i="13"/>
  <c r="V31" i="13"/>
  <c r="BH31" i="13" s="1"/>
  <c r="Y31" i="13"/>
  <c r="AB31" i="13"/>
  <c r="AE31" i="13"/>
  <c r="AH31" i="13"/>
  <c r="AK31" i="13"/>
  <c r="AN31" i="13"/>
  <c r="AQ31" i="13"/>
  <c r="AT31" i="13"/>
  <c r="AW31" i="13"/>
  <c r="AZ31" i="13"/>
  <c r="BC31" i="13"/>
  <c r="BF31" i="13"/>
  <c r="V32" i="13"/>
  <c r="BH32" i="13" s="1"/>
  <c r="Y32" i="13"/>
  <c r="AB32" i="13"/>
  <c r="AE32" i="13"/>
  <c r="AH32" i="13"/>
  <c r="AK32" i="13"/>
  <c r="AN32" i="13"/>
  <c r="AQ32" i="13"/>
  <c r="AT32" i="13"/>
  <c r="AW32" i="13"/>
  <c r="AZ32" i="13"/>
  <c r="BC32" i="13"/>
  <c r="BF32" i="13"/>
  <c r="V33" i="13"/>
  <c r="BH33" i="13" s="1"/>
  <c r="Y33" i="13"/>
  <c r="AB33" i="13"/>
  <c r="AE33" i="13"/>
  <c r="AH33" i="13"/>
  <c r="AK33" i="13"/>
  <c r="AN33" i="13"/>
  <c r="AQ33" i="13"/>
  <c r="AT33" i="13"/>
  <c r="AW33" i="13"/>
  <c r="AZ33" i="13"/>
  <c r="BC33" i="13"/>
  <c r="BF33" i="13"/>
  <c r="V34" i="13"/>
  <c r="BH34" i="13" s="1"/>
  <c r="Y34" i="13"/>
  <c r="AB34" i="13"/>
  <c r="AE34" i="13"/>
  <c r="AH34" i="13"/>
  <c r="AK34" i="13"/>
  <c r="AN34" i="13"/>
  <c r="AQ34" i="13"/>
  <c r="AT34" i="13"/>
  <c r="AW34" i="13"/>
  <c r="AZ34" i="13"/>
  <c r="BC34" i="13"/>
  <c r="BF34" i="13"/>
  <c r="V35" i="13"/>
  <c r="BH35" i="13" s="1"/>
  <c r="Y35" i="13"/>
  <c r="AB35" i="13"/>
  <c r="AE35" i="13"/>
  <c r="AH35" i="13"/>
  <c r="AK35" i="13"/>
  <c r="AN35" i="13"/>
  <c r="AQ35" i="13"/>
  <c r="AT35" i="13"/>
  <c r="AW35" i="13"/>
  <c r="AZ35" i="13"/>
  <c r="BC35" i="13"/>
  <c r="BF35" i="13"/>
  <c r="V36" i="13"/>
  <c r="BH36" i="13" s="1"/>
  <c r="Y36" i="13"/>
  <c r="AB36" i="13"/>
  <c r="AE36" i="13"/>
  <c r="AH36" i="13"/>
  <c r="AK36" i="13"/>
  <c r="AN36" i="13"/>
  <c r="AQ36" i="13"/>
  <c r="AT36" i="13"/>
  <c r="AW36" i="13"/>
  <c r="AZ36" i="13"/>
  <c r="BC36" i="13"/>
  <c r="BF36" i="13"/>
  <c r="V37" i="13"/>
  <c r="BH37" i="13" s="1"/>
  <c r="Y37" i="13"/>
  <c r="AB37" i="13"/>
  <c r="AE37" i="13"/>
  <c r="AH37" i="13"/>
  <c r="AK37" i="13"/>
  <c r="AN37" i="13"/>
  <c r="AQ37" i="13"/>
  <c r="AT37" i="13"/>
  <c r="AW37" i="13"/>
  <c r="AZ37" i="13"/>
  <c r="BC37" i="13"/>
  <c r="BF37" i="13"/>
  <c r="V38" i="13"/>
  <c r="BH38" i="13" s="1"/>
  <c r="Y38" i="13"/>
  <c r="AB38" i="13"/>
  <c r="AE38" i="13"/>
  <c r="AH38" i="13"/>
  <c r="AK38" i="13"/>
  <c r="AN38" i="13"/>
  <c r="AQ38" i="13"/>
  <c r="AT38" i="13"/>
  <c r="AW38" i="13"/>
  <c r="AZ38" i="13"/>
  <c r="BC38" i="13"/>
  <c r="BF38" i="13"/>
  <c r="V39" i="13"/>
  <c r="BH39" i="13" s="1"/>
  <c r="Y39" i="13"/>
  <c r="AB39" i="13"/>
  <c r="AE39" i="13"/>
  <c r="AH39" i="13"/>
  <c r="AK39" i="13"/>
  <c r="AN39" i="13"/>
  <c r="AQ39" i="13"/>
  <c r="AT39" i="13"/>
  <c r="AW39" i="13"/>
  <c r="AZ39" i="13"/>
  <c r="BC39" i="13"/>
  <c r="BF39" i="13"/>
  <c r="V40" i="13"/>
  <c r="BH40" i="13" s="1"/>
  <c r="Y40" i="13"/>
  <c r="AB40" i="13"/>
  <c r="AE40" i="13"/>
  <c r="AH40" i="13"/>
  <c r="AK40" i="13"/>
  <c r="AN40" i="13"/>
  <c r="AQ40" i="13"/>
  <c r="AT40" i="13"/>
  <c r="AW40" i="13"/>
  <c r="AZ40" i="13"/>
  <c r="BC40" i="13"/>
  <c r="BF40" i="13"/>
  <c r="V41" i="13"/>
  <c r="BH41" i="13" s="1"/>
  <c r="Y41" i="13"/>
  <c r="AB41" i="13"/>
  <c r="AE41" i="13"/>
  <c r="AH41" i="13"/>
  <c r="AK41" i="13"/>
  <c r="AN41" i="13"/>
  <c r="AQ41" i="13"/>
  <c r="AT41" i="13"/>
  <c r="AW41" i="13"/>
  <c r="AZ41" i="13"/>
  <c r="BC41" i="13"/>
  <c r="BF41" i="13"/>
  <c r="V42" i="13"/>
  <c r="BH42" i="13" s="1"/>
  <c r="Y42" i="13"/>
  <c r="AB42" i="13"/>
  <c r="AE42" i="13"/>
  <c r="AH42" i="13"/>
  <c r="AK42" i="13"/>
  <c r="AN42" i="13"/>
  <c r="AQ42" i="13"/>
  <c r="AT42" i="13"/>
  <c r="AW42" i="13"/>
  <c r="AZ42" i="13"/>
  <c r="BC42" i="13"/>
  <c r="BF42" i="13"/>
  <c r="V43" i="13"/>
  <c r="BH43" i="13" s="1"/>
  <c r="Y43" i="13"/>
  <c r="AB43" i="13"/>
  <c r="AE43" i="13"/>
  <c r="AH43" i="13"/>
  <c r="AK43" i="13"/>
  <c r="AN43" i="13"/>
  <c r="AQ43" i="13"/>
  <c r="AT43" i="13"/>
  <c r="AW43" i="13"/>
  <c r="AZ43" i="13"/>
  <c r="BC43" i="13"/>
  <c r="BF43" i="13"/>
  <c r="V44" i="13"/>
  <c r="BH44" i="13" s="1"/>
  <c r="Y44" i="13"/>
  <c r="AB44" i="13"/>
  <c r="AE44" i="13"/>
  <c r="AH44" i="13"/>
  <c r="AK44" i="13"/>
  <c r="AN44" i="13"/>
  <c r="AQ44" i="13"/>
  <c r="AT44" i="13"/>
  <c r="AW44" i="13"/>
  <c r="AZ44" i="13"/>
  <c r="BC44" i="13"/>
  <c r="BF44" i="13"/>
  <c r="V45" i="13"/>
  <c r="BH45" i="13" s="1"/>
  <c r="Y45" i="13"/>
  <c r="AB45" i="13"/>
  <c r="AE45" i="13"/>
  <c r="AH45" i="13"/>
  <c r="AK45" i="13"/>
  <c r="AN45" i="13"/>
  <c r="AQ45" i="13"/>
  <c r="AT45" i="13"/>
  <c r="AW45" i="13"/>
  <c r="AZ45" i="13"/>
  <c r="BC45" i="13"/>
  <c r="BF45" i="13"/>
  <c r="V46" i="13"/>
  <c r="BH46" i="13" s="1"/>
  <c r="Y46" i="13"/>
  <c r="AB46" i="13"/>
  <c r="AE46" i="13"/>
  <c r="AH46" i="13"/>
  <c r="AK46" i="13"/>
  <c r="AN46" i="13"/>
  <c r="AQ46" i="13"/>
  <c r="AT46" i="13"/>
  <c r="AW46" i="13"/>
  <c r="AZ46" i="13"/>
  <c r="BC46" i="13"/>
  <c r="BF46" i="13"/>
  <c r="V47" i="13"/>
  <c r="BH47" i="13" s="1"/>
  <c r="Y47" i="13"/>
  <c r="AB47" i="13"/>
  <c r="AE47" i="13"/>
  <c r="AH47" i="13"/>
  <c r="AK47" i="13"/>
  <c r="AN47" i="13"/>
  <c r="AQ47" i="13"/>
  <c r="AT47" i="13"/>
  <c r="AW47" i="13"/>
  <c r="AZ47" i="13"/>
  <c r="BC47" i="13"/>
  <c r="BF47" i="13"/>
  <c r="V48" i="13"/>
  <c r="BH48" i="13" s="1"/>
  <c r="Y48" i="13"/>
  <c r="AB48" i="13"/>
  <c r="AE48" i="13"/>
  <c r="AH48" i="13"/>
  <c r="AK48" i="13"/>
  <c r="AN48" i="13"/>
  <c r="AQ48" i="13"/>
  <c r="AT48" i="13"/>
  <c r="AW48" i="13"/>
  <c r="AZ48" i="13"/>
  <c r="BC48" i="13"/>
  <c r="BF48" i="13"/>
  <c r="V49" i="13"/>
  <c r="BH49" i="13" s="1"/>
  <c r="Y49" i="13"/>
  <c r="AB49" i="13"/>
  <c r="AE49" i="13"/>
  <c r="AH49" i="13"/>
  <c r="AK49" i="13"/>
  <c r="AN49" i="13"/>
  <c r="AQ49" i="13"/>
  <c r="AT49" i="13"/>
  <c r="AW49" i="13"/>
  <c r="AZ49" i="13"/>
  <c r="BC49" i="13"/>
  <c r="BF49" i="13"/>
  <c r="V50" i="13"/>
  <c r="BH50" i="13" s="1"/>
  <c r="Y50" i="13"/>
  <c r="AB50" i="13"/>
  <c r="AE50" i="13"/>
  <c r="AH50" i="13"/>
  <c r="AK50" i="13"/>
  <c r="AN50" i="13"/>
  <c r="AQ50" i="13"/>
  <c r="AT50" i="13"/>
  <c r="AW50" i="13"/>
  <c r="AZ50" i="13"/>
  <c r="BC50" i="13"/>
  <c r="BF50" i="13"/>
  <c r="V51" i="13"/>
  <c r="BH51" i="13" s="1"/>
  <c r="Y51" i="13"/>
  <c r="AB51" i="13"/>
  <c r="AE51" i="13"/>
  <c r="AH51" i="13"/>
  <c r="AK51" i="13"/>
  <c r="AN51" i="13"/>
  <c r="AQ51" i="13"/>
  <c r="AT51" i="13"/>
  <c r="AW51" i="13"/>
  <c r="AZ51" i="13"/>
  <c r="BC51" i="13"/>
  <c r="BF51" i="13"/>
  <c r="V52" i="13"/>
  <c r="BH52" i="13" s="1"/>
  <c r="Y52" i="13"/>
  <c r="AB52" i="13"/>
  <c r="AE52" i="13"/>
  <c r="AH52" i="13"/>
  <c r="AK52" i="13"/>
  <c r="AN52" i="13"/>
  <c r="AQ52" i="13"/>
  <c r="AT52" i="13"/>
  <c r="AW52" i="13"/>
  <c r="AZ52" i="13"/>
  <c r="BC52" i="13"/>
  <c r="BF52" i="13"/>
  <c r="V53" i="13"/>
  <c r="BH53" i="13" s="1"/>
  <c r="Y53" i="13"/>
  <c r="AB53" i="13"/>
  <c r="AE53" i="13"/>
  <c r="AH53" i="13"/>
  <c r="AK53" i="13"/>
  <c r="AN53" i="13"/>
  <c r="AQ53" i="13"/>
  <c r="AT53" i="13"/>
  <c r="AW53" i="13"/>
  <c r="AZ53" i="13"/>
  <c r="BC53" i="13"/>
  <c r="BF53" i="13"/>
  <c r="V54" i="13"/>
  <c r="BH54" i="13" s="1"/>
  <c r="Y54" i="13"/>
  <c r="AB54" i="13"/>
  <c r="AE54" i="13"/>
  <c r="AH54" i="13"/>
  <c r="AK54" i="13"/>
  <c r="AN54" i="13"/>
  <c r="AQ54" i="13"/>
  <c r="AT54" i="13"/>
  <c r="AW54" i="13"/>
  <c r="AZ54" i="13"/>
  <c r="BC54" i="13"/>
  <c r="BF54" i="13"/>
  <c r="V55" i="13"/>
  <c r="BH55" i="13" s="1"/>
  <c r="Y55" i="13"/>
  <c r="AB55" i="13"/>
  <c r="AE55" i="13"/>
  <c r="AH55" i="13"/>
  <c r="AK55" i="13"/>
  <c r="AN55" i="13"/>
  <c r="AQ55" i="13"/>
  <c r="AT55" i="13"/>
  <c r="AW55" i="13"/>
  <c r="AZ55" i="13"/>
  <c r="BC55" i="13"/>
  <c r="BF55" i="13"/>
  <c r="V56" i="13"/>
  <c r="BH56" i="13" s="1"/>
  <c r="Y56" i="13"/>
  <c r="AB56" i="13"/>
  <c r="AE56" i="13"/>
  <c r="AH56" i="13"/>
  <c r="AK56" i="13"/>
  <c r="AN56" i="13"/>
  <c r="AQ56" i="13"/>
  <c r="AT56" i="13"/>
  <c r="AW56" i="13"/>
  <c r="AZ56" i="13"/>
  <c r="BC56" i="13"/>
  <c r="BF56" i="13"/>
  <c r="V57" i="13"/>
  <c r="BH57" i="13" s="1"/>
  <c r="Y57" i="13"/>
  <c r="AB57" i="13"/>
  <c r="AE57" i="13"/>
  <c r="AH57" i="13"/>
  <c r="AK57" i="13"/>
  <c r="AN57" i="13"/>
  <c r="AQ57" i="13"/>
  <c r="AT57" i="13"/>
  <c r="AW57" i="13"/>
  <c r="AZ57" i="13"/>
  <c r="BC57" i="13"/>
  <c r="BF57" i="13"/>
  <c r="V58" i="13"/>
  <c r="BH58" i="13" s="1"/>
  <c r="Y58" i="13"/>
  <c r="AB58" i="13"/>
  <c r="AE58" i="13"/>
  <c r="AH58" i="13"/>
  <c r="AK58" i="13"/>
  <c r="AN58" i="13"/>
  <c r="AQ58" i="13"/>
  <c r="AT58" i="13"/>
  <c r="AW58" i="13"/>
  <c r="AZ58" i="13"/>
  <c r="BC58" i="13"/>
  <c r="BF58" i="13"/>
  <c r="V59" i="13"/>
  <c r="BH59" i="13" s="1"/>
  <c r="Y59" i="13"/>
  <c r="AB59" i="13"/>
  <c r="AE59" i="13"/>
  <c r="AH59" i="13"/>
  <c r="AK59" i="13"/>
  <c r="AN59" i="13"/>
  <c r="AQ59" i="13"/>
  <c r="AT59" i="13"/>
  <c r="AW59" i="13"/>
  <c r="AZ59" i="13"/>
  <c r="BC59" i="13"/>
  <c r="BF59" i="13"/>
  <c r="V60" i="13"/>
  <c r="BH60" i="13" s="1"/>
  <c r="Y60" i="13"/>
  <c r="AB60" i="13"/>
  <c r="AE60" i="13"/>
  <c r="AH60" i="13"/>
  <c r="AK60" i="13"/>
  <c r="AN60" i="13"/>
  <c r="AQ60" i="13"/>
  <c r="AT60" i="13"/>
  <c r="AW60" i="13"/>
  <c r="AZ60" i="13"/>
  <c r="BC60" i="13"/>
  <c r="BF60" i="13"/>
  <c r="V61" i="13"/>
  <c r="BH61" i="13" s="1"/>
  <c r="Y61" i="13"/>
  <c r="AB61" i="13"/>
  <c r="AE61" i="13"/>
  <c r="AH61" i="13"/>
  <c r="AK61" i="13"/>
  <c r="AN61" i="13"/>
  <c r="AQ61" i="13"/>
  <c r="AT61" i="13"/>
  <c r="AW61" i="13"/>
  <c r="AZ61" i="13"/>
  <c r="BC61" i="13"/>
  <c r="BF61" i="13"/>
  <c r="V62" i="13"/>
  <c r="BH62" i="13" s="1"/>
  <c r="Y62" i="13"/>
  <c r="AB62" i="13"/>
  <c r="AE62" i="13"/>
  <c r="AH62" i="13"/>
  <c r="AK62" i="13"/>
  <c r="AN62" i="13"/>
  <c r="AQ62" i="13"/>
  <c r="AT62" i="13"/>
  <c r="AW62" i="13"/>
  <c r="AZ62" i="13"/>
  <c r="BC62" i="13"/>
  <c r="BF62" i="13"/>
  <c r="V63" i="13"/>
  <c r="BH63" i="13" s="1"/>
  <c r="Y63" i="13"/>
  <c r="AB63" i="13"/>
  <c r="AE63" i="13"/>
  <c r="AH63" i="13"/>
  <c r="AK63" i="13"/>
  <c r="AN63" i="13"/>
  <c r="AQ63" i="13"/>
  <c r="AT63" i="13"/>
  <c r="AW63" i="13"/>
  <c r="AZ63" i="13"/>
  <c r="BC63" i="13"/>
  <c r="BF63" i="13"/>
  <c r="V64" i="13"/>
  <c r="BH64" i="13" s="1"/>
  <c r="Y64" i="13"/>
  <c r="AB64" i="13"/>
  <c r="AE64" i="13"/>
  <c r="AH64" i="13"/>
  <c r="AK64" i="13"/>
  <c r="AN64" i="13"/>
  <c r="AQ64" i="13"/>
  <c r="AT64" i="13"/>
  <c r="AW64" i="13"/>
  <c r="AZ64" i="13"/>
  <c r="BC64" i="13"/>
  <c r="BF64" i="13"/>
  <c r="V65" i="13"/>
  <c r="BH65" i="13" s="1"/>
  <c r="Y65" i="13"/>
  <c r="AB65" i="13"/>
  <c r="AE65" i="13"/>
  <c r="AH65" i="13"/>
  <c r="AK65" i="13"/>
  <c r="AN65" i="13"/>
  <c r="AQ65" i="13"/>
  <c r="AT65" i="13"/>
  <c r="AW65" i="13"/>
  <c r="AZ65" i="13"/>
  <c r="BC65" i="13"/>
  <c r="BF65" i="13"/>
  <c r="V66" i="13"/>
  <c r="BH66" i="13" s="1"/>
  <c r="Y66" i="13"/>
  <c r="AB66" i="13"/>
  <c r="AE66" i="13"/>
  <c r="AH66" i="13"/>
  <c r="AK66" i="13"/>
  <c r="AN66" i="13"/>
  <c r="AQ66" i="13"/>
  <c r="AT66" i="13"/>
  <c r="AW66" i="13"/>
  <c r="AZ66" i="13"/>
  <c r="BC66" i="13"/>
  <c r="BF66" i="13"/>
  <c r="V67" i="13"/>
  <c r="BH67" i="13" s="1"/>
  <c r="Y67" i="13"/>
  <c r="AB67" i="13"/>
  <c r="AE67" i="13"/>
  <c r="AH67" i="13"/>
  <c r="AK67" i="13"/>
  <c r="AN67" i="13"/>
  <c r="AQ67" i="13"/>
  <c r="AT67" i="13"/>
  <c r="AW67" i="13"/>
  <c r="AZ67" i="13"/>
  <c r="BC67" i="13"/>
  <c r="BF67" i="13"/>
  <c r="V68" i="13"/>
  <c r="BH68" i="13" s="1"/>
  <c r="Y68" i="13"/>
  <c r="AB68" i="13"/>
  <c r="AE68" i="13"/>
  <c r="AH68" i="13"/>
  <c r="AK68" i="13"/>
  <c r="AN68" i="13"/>
  <c r="AQ68" i="13"/>
  <c r="AT68" i="13"/>
  <c r="AW68" i="13"/>
  <c r="AZ68" i="13"/>
  <c r="BC68" i="13"/>
  <c r="BF68" i="13"/>
  <c r="V69" i="13"/>
  <c r="BH69" i="13" s="1"/>
  <c r="Y69" i="13"/>
  <c r="AB69" i="13"/>
  <c r="AE69" i="13"/>
  <c r="AH69" i="13"/>
  <c r="AK69" i="13"/>
  <c r="AN69" i="13"/>
  <c r="AQ69" i="13"/>
  <c r="AT69" i="13"/>
  <c r="AW69" i="13"/>
  <c r="AZ69" i="13"/>
  <c r="BC69" i="13"/>
  <c r="BF69" i="13"/>
  <c r="V70" i="13"/>
  <c r="BH70" i="13" s="1"/>
  <c r="Y70" i="13"/>
  <c r="AB70" i="13"/>
  <c r="AE70" i="13"/>
  <c r="AH70" i="13"/>
  <c r="AK70" i="13"/>
  <c r="AN70" i="13"/>
  <c r="AQ70" i="13"/>
  <c r="AT70" i="13"/>
  <c r="AW70" i="13"/>
  <c r="AZ70" i="13"/>
  <c r="BC70" i="13"/>
  <c r="BF70" i="13"/>
  <c r="V71" i="13"/>
  <c r="BH71" i="13" s="1"/>
  <c r="Y71" i="13"/>
  <c r="AB71" i="13"/>
  <c r="AE71" i="13"/>
  <c r="AH71" i="13"/>
  <c r="AK71" i="13"/>
  <c r="AN71" i="13"/>
  <c r="AQ71" i="13"/>
  <c r="AT71" i="13"/>
  <c r="AW71" i="13"/>
  <c r="AZ71" i="13"/>
  <c r="BC71" i="13"/>
  <c r="BF71" i="13"/>
  <c r="V72" i="13"/>
  <c r="BH72" i="13" s="1"/>
  <c r="Y72" i="13"/>
  <c r="AB72" i="13"/>
  <c r="AE72" i="13"/>
  <c r="AH72" i="13"/>
  <c r="AK72" i="13"/>
  <c r="AN72" i="13"/>
  <c r="AQ72" i="13"/>
  <c r="AT72" i="13"/>
  <c r="AW72" i="13"/>
  <c r="AZ72" i="13"/>
  <c r="BC72" i="13"/>
  <c r="BF72" i="13"/>
  <c r="V73" i="13"/>
  <c r="BH73" i="13" s="1"/>
  <c r="Y73" i="13"/>
  <c r="AB73" i="13"/>
  <c r="AE73" i="13"/>
  <c r="AH73" i="13"/>
  <c r="AK73" i="13"/>
  <c r="AN73" i="13"/>
  <c r="AQ73" i="13"/>
  <c r="AT73" i="13"/>
  <c r="AW73" i="13"/>
  <c r="AZ73" i="13"/>
  <c r="BC73" i="13"/>
  <c r="BF73" i="13"/>
  <c r="V74" i="13"/>
  <c r="BH74" i="13" s="1"/>
  <c r="Y74" i="13"/>
  <c r="AB74" i="13"/>
  <c r="AE74" i="13"/>
  <c r="AH74" i="13"/>
  <c r="AK74" i="13"/>
  <c r="AN74" i="13"/>
  <c r="AQ74" i="13"/>
  <c r="AT74" i="13"/>
  <c r="AW74" i="13"/>
  <c r="AZ74" i="13"/>
  <c r="BC74" i="13"/>
  <c r="BF74" i="13"/>
  <c r="V75" i="13"/>
  <c r="BH75" i="13" s="1"/>
  <c r="Y75" i="13"/>
  <c r="AB75" i="13"/>
  <c r="AE75" i="13"/>
  <c r="AH75" i="13"/>
  <c r="AK75" i="13"/>
  <c r="AN75" i="13"/>
  <c r="AQ75" i="13"/>
  <c r="AT75" i="13"/>
  <c r="AW75" i="13"/>
  <c r="AZ75" i="13"/>
  <c r="BC75" i="13"/>
  <c r="BF75" i="13"/>
  <c r="V76" i="13"/>
  <c r="BH76" i="13" s="1"/>
  <c r="Y76" i="13"/>
  <c r="AB76" i="13"/>
  <c r="AE76" i="13"/>
  <c r="AH76" i="13"/>
  <c r="AK76" i="13"/>
  <c r="AN76" i="13"/>
  <c r="AQ76" i="13"/>
  <c r="AT76" i="13"/>
  <c r="AW76" i="13"/>
  <c r="AZ76" i="13"/>
  <c r="BC76" i="13"/>
  <c r="BF76" i="13"/>
  <c r="V77" i="13"/>
  <c r="BH77" i="13" s="1"/>
  <c r="Y77" i="13"/>
  <c r="AB77" i="13"/>
  <c r="AE77" i="13"/>
  <c r="AH77" i="13"/>
  <c r="AK77" i="13"/>
  <c r="AN77" i="13"/>
  <c r="AQ77" i="13"/>
  <c r="AT77" i="13"/>
  <c r="AW77" i="13"/>
  <c r="AZ77" i="13"/>
  <c r="BC77" i="13"/>
  <c r="BF77" i="13"/>
  <c r="V78" i="13"/>
  <c r="BH78" i="13" s="1"/>
  <c r="Y78" i="13"/>
  <c r="AB78" i="13"/>
  <c r="AE78" i="13"/>
  <c r="AH78" i="13"/>
  <c r="AK78" i="13"/>
  <c r="AN78" i="13"/>
  <c r="AQ78" i="13"/>
  <c r="AT78" i="13"/>
  <c r="AW78" i="13"/>
  <c r="AZ78" i="13"/>
  <c r="BC78" i="13"/>
  <c r="BF78" i="13"/>
  <c r="V79" i="13"/>
  <c r="BH79" i="13" s="1"/>
  <c r="Y79" i="13"/>
  <c r="AB79" i="13"/>
  <c r="AE79" i="13"/>
  <c r="AH79" i="13"/>
  <c r="AK79" i="13"/>
  <c r="AN79" i="13"/>
  <c r="AQ79" i="13"/>
  <c r="AT79" i="13"/>
  <c r="AW79" i="13"/>
  <c r="AZ79" i="13"/>
  <c r="BC79" i="13"/>
  <c r="BF79" i="13"/>
  <c r="V80" i="13"/>
  <c r="BH80" i="13" s="1"/>
  <c r="Y80" i="13"/>
  <c r="AB80" i="13"/>
  <c r="AE80" i="13"/>
  <c r="AH80" i="13"/>
  <c r="AK80" i="13"/>
  <c r="AN80" i="13"/>
  <c r="AQ80" i="13"/>
  <c r="AT80" i="13"/>
  <c r="AW80" i="13"/>
  <c r="AZ80" i="13"/>
  <c r="BC80" i="13"/>
  <c r="BF80" i="13"/>
  <c r="V81" i="13"/>
  <c r="BH81" i="13" s="1"/>
  <c r="Y81" i="13"/>
  <c r="AB81" i="13"/>
  <c r="AE81" i="13"/>
  <c r="AH81" i="13"/>
  <c r="AK81" i="13"/>
  <c r="AN81" i="13"/>
  <c r="AQ81" i="13"/>
  <c r="AT81" i="13"/>
  <c r="AW81" i="13"/>
  <c r="AZ81" i="13"/>
  <c r="BC81" i="13"/>
  <c r="BF81" i="13"/>
  <c r="V82" i="13"/>
  <c r="BH82" i="13" s="1"/>
  <c r="Y82" i="13"/>
  <c r="AB82" i="13"/>
  <c r="AE82" i="13"/>
  <c r="AH82" i="13"/>
  <c r="AK82" i="13"/>
  <c r="AN82" i="13"/>
  <c r="AQ82" i="13"/>
  <c r="AT82" i="13"/>
  <c r="AW82" i="13"/>
  <c r="AZ82" i="13"/>
  <c r="BC82" i="13"/>
  <c r="BF82" i="13"/>
  <c r="V83" i="13"/>
  <c r="BH83" i="13" s="1"/>
  <c r="Y83" i="13"/>
  <c r="AB83" i="13"/>
  <c r="AE83" i="13"/>
  <c r="AH83" i="13"/>
  <c r="AK83" i="13"/>
  <c r="AN83" i="13"/>
  <c r="AQ83" i="13"/>
  <c r="AT83" i="13"/>
  <c r="AW83" i="13"/>
  <c r="AZ83" i="13"/>
  <c r="BC83" i="13"/>
  <c r="BF83" i="13"/>
  <c r="V84" i="13"/>
  <c r="BH84" i="13" s="1"/>
  <c r="Y84" i="13"/>
  <c r="AB84" i="13"/>
  <c r="AE84" i="13"/>
  <c r="AH84" i="13"/>
  <c r="AK84" i="13"/>
  <c r="AN84" i="13"/>
  <c r="AQ84" i="13"/>
  <c r="AT84" i="13"/>
  <c r="AW84" i="13"/>
  <c r="AZ84" i="13"/>
  <c r="BC84" i="13"/>
  <c r="BF84" i="13"/>
  <c r="V85" i="13"/>
  <c r="BH85" i="13" s="1"/>
  <c r="Y85" i="13"/>
  <c r="AB85" i="13"/>
  <c r="AE85" i="13"/>
  <c r="AH85" i="13"/>
  <c r="AK85" i="13"/>
  <c r="AN85" i="13"/>
  <c r="AQ85" i="13"/>
  <c r="AT85" i="13"/>
  <c r="AW85" i="13"/>
  <c r="AZ85" i="13"/>
  <c r="BC85" i="13"/>
  <c r="BF85" i="13"/>
  <c r="V86" i="13"/>
  <c r="BH86" i="13" s="1"/>
  <c r="Y86" i="13"/>
  <c r="AB86" i="13"/>
  <c r="AE86" i="13"/>
  <c r="AH86" i="13"/>
  <c r="AK86" i="13"/>
  <c r="AN86" i="13"/>
  <c r="AQ86" i="13"/>
  <c r="AT86" i="13"/>
  <c r="AW86" i="13"/>
  <c r="AZ86" i="13"/>
  <c r="BC86" i="13"/>
  <c r="BF86" i="13"/>
  <c r="V87" i="13"/>
  <c r="BH87" i="13" s="1"/>
  <c r="Y87" i="13"/>
  <c r="AB87" i="13"/>
  <c r="AE87" i="13"/>
  <c r="AH87" i="13"/>
  <c r="AK87" i="13"/>
  <c r="AN87" i="13"/>
  <c r="AQ87" i="13"/>
  <c r="AT87" i="13"/>
  <c r="AW87" i="13"/>
  <c r="AZ87" i="13"/>
  <c r="BC87" i="13"/>
  <c r="BF87" i="13"/>
  <c r="V88" i="13"/>
  <c r="BH88" i="13" s="1"/>
  <c r="Y88" i="13"/>
  <c r="AB88" i="13"/>
  <c r="AE88" i="13"/>
  <c r="AH88" i="13"/>
  <c r="AK88" i="13"/>
  <c r="AN88" i="13"/>
  <c r="AQ88" i="13"/>
  <c r="AT88" i="13"/>
  <c r="AW88" i="13"/>
  <c r="AZ88" i="13"/>
  <c r="BC88" i="13"/>
  <c r="BF88" i="13"/>
  <c r="V89" i="13"/>
  <c r="BH89" i="13" s="1"/>
  <c r="Y89" i="13"/>
  <c r="AB89" i="13"/>
  <c r="AE89" i="13"/>
  <c r="AH89" i="13"/>
  <c r="AK89" i="13"/>
  <c r="AN89" i="13"/>
  <c r="AQ89" i="13"/>
  <c r="AT89" i="13"/>
  <c r="AW89" i="13"/>
  <c r="AZ89" i="13"/>
  <c r="BC89" i="13"/>
  <c r="BF89" i="13"/>
  <c r="V90" i="13"/>
  <c r="BH90" i="13" s="1"/>
  <c r="Y90" i="13"/>
  <c r="AB90" i="13"/>
  <c r="AE90" i="13"/>
  <c r="AH90" i="13"/>
  <c r="AK90" i="13"/>
  <c r="AN90" i="13"/>
  <c r="AQ90" i="13"/>
  <c r="AT90" i="13"/>
  <c r="AW90" i="13"/>
  <c r="AZ90" i="13"/>
  <c r="BC90" i="13"/>
  <c r="BF90" i="13"/>
  <c r="V91" i="13"/>
  <c r="BH91" i="13" s="1"/>
  <c r="Y91" i="13"/>
  <c r="AB91" i="13"/>
  <c r="AE91" i="13"/>
  <c r="AH91" i="13"/>
  <c r="AK91" i="13"/>
  <c r="AN91" i="13"/>
  <c r="AQ91" i="13"/>
  <c r="AT91" i="13"/>
  <c r="AW91" i="13"/>
  <c r="AZ91" i="13"/>
  <c r="BC91" i="13"/>
  <c r="BF91" i="13"/>
  <c r="V92" i="13"/>
  <c r="BH92" i="13" s="1"/>
  <c r="Y92" i="13"/>
  <c r="AB92" i="13"/>
  <c r="AE92" i="13"/>
  <c r="AH92" i="13"/>
  <c r="AK92" i="13"/>
  <c r="AN92" i="13"/>
  <c r="AQ92" i="13"/>
  <c r="AT92" i="13"/>
  <c r="AW92" i="13"/>
  <c r="AZ92" i="13"/>
  <c r="BC92" i="13"/>
  <c r="BF92" i="13"/>
  <c r="V93" i="13"/>
  <c r="BH93" i="13" s="1"/>
  <c r="Y93" i="13"/>
  <c r="AB93" i="13"/>
  <c r="AE93" i="13"/>
  <c r="AH93" i="13"/>
  <c r="AK93" i="13"/>
  <c r="AN93" i="13"/>
  <c r="AQ93" i="13"/>
  <c r="AT93" i="13"/>
  <c r="AW93" i="13"/>
  <c r="AZ93" i="13"/>
  <c r="BC93" i="13"/>
  <c r="BF93" i="13"/>
  <c r="V94" i="13"/>
  <c r="BH94" i="13" s="1"/>
  <c r="Y94" i="13"/>
  <c r="AB94" i="13"/>
  <c r="AE94" i="13"/>
  <c r="AH94" i="13"/>
  <c r="AK94" i="13"/>
  <c r="AN94" i="13"/>
  <c r="AQ94" i="13"/>
  <c r="AT94" i="13"/>
  <c r="AW94" i="13"/>
  <c r="AZ94" i="13"/>
  <c r="BC94" i="13"/>
  <c r="BF94" i="13"/>
  <c r="V95" i="13"/>
  <c r="BH95" i="13" s="1"/>
  <c r="Y95" i="13"/>
  <c r="AB95" i="13"/>
  <c r="AE95" i="13"/>
  <c r="AH95" i="13"/>
  <c r="AK95" i="13"/>
  <c r="AN95" i="13"/>
  <c r="AQ95" i="13"/>
  <c r="AT95" i="13"/>
  <c r="AW95" i="13"/>
  <c r="AZ95" i="13"/>
  <c r="BC95" i="13"/>
  <c r="BF95" i="13"/>
  <c r="V96" i="13"/>
  <c r="BH96" i="13" s="1"/>
  <c r="Y96" i="13"/>
  <c r="AB96" i="13"/>
  <c r="AE96" i="13"/>
  <c r="AH96" i="13"/>
  <c r="AK96" i="13"/>
  <c r="AN96" i="13"/>
  <c r="AQ96" i="13"/>
  <c r="AT96" i="13"/>
  <c r="AW96" i="13"/>
  <c r="AZ96" i="13"/>
  <c r="BC96" i="13"/>
  <c r="BF96" i="13"/>
  <c r="V97" i="13"/>
  <c r="BH97" i="13" s="1"/>
  <c r="Y97" i="13"/>
  <c r="AB97" i="13"/>
  <c r="AE97" i="13"/>
  <c r="AH97" i="13"/>
  <c r="AK97" i="13"/>
  <c r="AN97" i="13"/>
  <c r="AQ97" i="13"/>
  <c r="AT97" i="13"/>
  <c r="AW97" i="13"/>
  <c r="AZ97" i="13"/>
  <c r="BC97" i="13"/>
  <c r="BF97" i="13"/>
  <c r="V98" i="13"/>
  <c r="BH98" i="13" s="1"/>
  <c r="Y98" i="13"/>
  <c r="AB98" i="13"/>
  <c r="AE98" i="13"/>
  <c r="AH98" i="13"/>
  <c r="AK98" i="13"/>
  <c r="AN98" i="13"/>
  <c r="AQ98" i="13"/>
  <c r="AT98" i="13"/>
  <c r="AW98" i="13"/>
  <c r="AZ98" i="13"/>
  <c r="BC98" i="13"/>
  <c r="BF98" i="13"/>
  <c r="V99" i="13"/>
  <c r="BH99" i="13" s="1"/>
  <c r="Y99" i="13"/>
  <c r="AB99" i="13"/>
  <c r="AE99" i="13"/>
  <c r="AH99" i="13"/>
  <c r="AK99" i="13"/>
  <c r="AN99" i="13"/>
  <c r="AQ99" i="13"/>
  <c r="AT99" i="13"/>
  <c r="AW99" i="13"/>
  <c r="AZ99" i="13"/>
  <c r="BC99" i="13"/>
  <c r="BF99" i="13"/>
  <c r="V100" i="13"/>
  <c r="BH100" i="13" s="1"/>
  <c r="Y100" i="13"/>
  <c r="AB100" i="13"/>
  <c r="AE100" i="13"/>
  <c r="AH100" i="13"/>
  <c r="AK100" i="13"/>
  <c r="AN100" i="13"/>
  <c r="AQ100" i="13"/>
  <c r="AT100" i="13"/>
  <c r="AW100" i="13"/>
  <c r="AZ100" i="13"/>
  <c r="BC100" i="13"/>
  <c r="BF100" i="13"/>
  <c r="V101" i="13"/>
  <c r="BH101" i="13" s="1"/>
  <c r="Y101" i="13"/>
  <c r="AB101" i="13"/>
  <c r="AE101" i="13"/>
  <c r="AH101" i="13"/>
  <c r="AK101" i="13"/>
  <c r="AN101" i="13"/>
  <c r="AQ101" i="13"/>
  <c r="AT101" i="13"/>
  <c r="AW101" i="13"/>
  <c r="AZ101" i="13"/>
  <c r="BC101" i="13"/>
  <c r="BF101" i="13"/>
  <c r="V102" i="13"/>
  <c r="BH102" i="13" s="1"/>
  <c r="Y102" i="13"/>
  <c r="AB102" i="13"/>
  <c r="AE102" i="13"/>
  <c r="AH102" i="13"/>
  <c r="AK102" i="13"/>
  <c r="AN102" i="13"/>
  <c r="AQ102" i="13"/>
  <c r="AT102" i="13"/>
  <c r="AW102" i="13"/>
  <c r="AZ102" i="13"/>
  <c r="BC102" i="13"/>
  <c r="BF102" i="13"/>
  <c r="V103" i="13"/>
  <c r="BH103" i="13" s="1"/>
  <c r="Y103" i="13"/>
  <c r="AB103" i="13"/>
  <c r="AE103" i="13"/>
  <c r="AH103" i="13"/>
  <c r="AK103" i="13"/>
  <c r="AN103" i="13"/>
  <c r="AQ103" i="13"/>
  <c r="AT103" i="13"/>
  <c r="AW103" i="13"/>
  <c r="AZ103" i="13"/>
  <c r="BC103" i="13"/>
  <c r="BF103" i="13"/>
  <c r="V104" i="13"/>
  <c r="BH104" i="13" s="1"/>
  <c r="Y104" i="13"/>
  <c r="AB104" i="13"/>
  <c r="AE104" i="13"/>
  <c r="AH104" i="13"/>
  <c r="AK104" i="13"/>
  <c r="AN104" i="13"/>
  <c r="AQ104" i="13"/>
  <c r="AT104" i="13"/>
  <c r="AW104" i="13"/>
  <c r="AZ104" i="13"/>
  <c r="BC104" i="13"/>
  <c r="BF104" i="13"/>
  <c r="V105" i="13"/>
  <c r="BH105" i="13" s="1"/>
  <c r="Y105" i="13"/>
  <c r="AB105" i="13"/>
  <c r="AE105" i="13"/>
  <c r="AH105" i="13"/>
  <c r="AK105" i="13"/>
  <c r="AN105" i="13"/>
  <c r="AQ105" i="13"/>
  <c r="AT105" i="13"/>
  <c r="AW105" i="13"/>
  <c r="AZ105" i="13"/>
  <c r="BC105" i="13"/>
  <c r="BF105" i="13"/>
  <c r="V106" i="13"/>
  <c r="BH106" i="13" s="1"/>
  <c r="Y106" i="13"/>
  <c r="AB106" i="13"/>
  <c r="AE106" i="13"/>
  <c r="AH106" i="13"/>
  <c r="AK106" i="13"/>
  <c r="AN106" i="13"/>
  <c r="AQ106" i="13"/>
  <c r="AT106" i="13"/>
  <c r="AW106" i="13"/>
  <c r="AZ106" i="13"/>
  <c r="BC106" i="13"/>
  <c r="BF106" i="13"/>
  <c r="V107" i="13"/>
  <c r="BH107" i="13" s="1"/>
  <c r="Y107" i="13"/>
  <c r="AB107" i="13"/>
  <c r="AE107" i="13"/>
  <c r="AH107" i="13"/>
  <c r="AK107" i="13"/>
  <c r="AN107" i="13"/>
  <c r="AQ107" i="13"/>
  <c r="AT107" i="13"/>
  <c r="AW107" i="13"/>
  <c r="AZ107" i="13"/>
  <c r="BC107" i="13"/>
  <c r="BF107" i="13"/>
  <c r="V108" i="13"/>
  <c r="BH108" i="13" s="1"/>
  <c r="Y108" i="13"/>
  <c r="AB108" i="13"/>
  <c r="AE108" i="13"/>
  <c r="AH108" i="13"/>
  <c r="AK108" i="13"/>
  <c r="AN108" i="13"/>
  <c r="AQ108" i="13"/>
  <c r="AT108" i="13"/>
  <c r="AW108" i="13"/>
  <c r="AZ108" i="13"/>
  <c r="BC108" i="13"/>
  <c r="BF108" i="13"/>
  <c r="V109" i="13"/>
  <c r="BH109" i="13" s="1"/>
  <c r="Y109" i="13"/>
  <c r="AB109" i="13"/>
  <c r="AE109" i="13"/>
  <c r="AH109" i="13"/>
  <c r="AK109" i="13"/>
  <c r="AN109" i="13"/>
  <c r="AQ109" i="13"/>
  <c r="AT109" i="13"/>
  <c r="AW109" i="13"/>
  <c r="AZ109" i="13"/>
  <c r="BC109" i="13"/>
  <c r="BF109" i="13"/>
  <c r="V110" i="13"/>
  <c r="BH110" i="13" s="1"/>
  <c r="Y110" i="13"/>
  <c r="AB110" i="13"/>
  <c r="AE110" i="13"/>
  <c r="AH110" i="13"/>
  <c r="AK110" i="13"/>
  <c r="AN110" i="13"/>
  <c r="AQ110" i="13"/>
  <c r="AT110" i="13"/>
  <c r="AW110" i="13"/>
  <c r="AZ110" i="13"/>
  <c r="BC110" i="13"/>
  <c r="BF110" i="13"/>
  <c r="V111" i="13"/>
  <c r="BH111" i="13" s="1"/>
  <c r="Y111" i="13"/>
  <c r="AB111" i="13"/>
  <c r="AE111" i="13"/>
  <c r="AH111" i="13"/>
  <c r="AK111" i="13"/>
  <c r="AN111" i="13"/>
  <c r="AQ111" i="13"/>
  <c r="AT111" i="13"/>
  <c r="AW111" i="13"/>
  <c r="AZ111" i="13"/>
  <c r="BC111" i="13"/>
  <c r="BF111" i="13"/>
  <c r="V112" i="13"/>
  <c r="BH112" i="13" s="1"/>
  <c r="Y112" i="13"/>
  <c r="AB112" i="13"/>
  <c r="AE112" i="13"/>
  <c r="AH112" i="13"/>
  <c r="AK112" i="13"/>
  <c r="AN112" i="13"/>
  <c r="AQ112" i="13"/>
  <c r="AT112" i="13"/>
  <c r="AW112" i="13"/>
  <c r="AZ112" i="13"/>
  <c r="BC112" i="13"/>
  <c r="BF112" i="13"/>
  <c r="V113" i="13"/>
  <c r="BH113" i="13" s="1"/>
  <c r="Y113" i="13"/>
  <c r="AB113" i="13"/>
  <c r="AE113" i="13"/>
  <c r="AH113" i="13"/>
  <c r="AK113" i="13"/>
  <c r="AN113" i="13"/>
  <c r="AQ113" i="13"/>
  <c r="AT113" i="13"/>
  <c r="AW113" i="13"/>
  <c r="AZ113" i="13"/>
  <c r="BC113" i="13"/>
  <c r="BF113" i="13"/>
  <c r="V114" i="13"/>
  <c r="BH114" i="13" s="1"/>
  <c r="Y114" i="13"/>
  <c r="AB114" i="13"/>
  <c r="AE114" i="13"/>
  <c r="AH114" i="13"/>
  <c r="AK114" i="13"/>
  <c r="AN114" i="13"/>
  <c r="AQ114" i="13"/>
  <c r="AT114" i="13"/>
  <c r="AW114" i="13"/>
  <c r="AZ114" i="13"/>
  <c r="BC114" i="13"/>
  <c r="BF114" i="13"/>
  <c r="V115" i="13"/>
  <c r="BH115" i="13" s="1"/>
  <c r="Y115" i="13"/>
  <c r="AB115" i="13"/>
  <c r="AE115" i="13"/>
  <c r="AH115" i="13"/>
  <c r="AK115" i="13"/>
  <c r="AN115" i="13"/>
  <c r="AQ115" i="13"/>
  <c r="AT115" i="13"/>
  <c r="AW115" i="13"/>
  <c r="AZ115" i="13"/>
  <c r="BC115" i="13"/>
  <c r="BF115" i="13"/>
  <c r="V116" i="13"/>
  <c r="BH116" i="13" s="1"/>
  <c r="Y116" i="13"/>
  <c r="AB116" i="13"/>
  <c r="AE116" i="13"/>
  <c r="AH116" i="13"/>
  <c r="AK116" i="13"/>
  <c r="AN116" i="13"/>
  <c r="AQ116" i="13"/>
  <c r="AT116" i="13"/>
  <c r="AW116" i="13"/>
  <c r="AZ116" i="13"/>
  <c r="BC116" i="13"/>
  <c r="BF116" i="13"/>
  <c r="V117" i="13"/>
  <c r="BH117" i="13" s="1"/>
  <c r="Y117" i="13"/>
  <c r="AB117" i="13"/>
  <c r="AE117" i="13"/>
  <c r="AH117" i="13"/>
  <c r="AK117" i="13"/>
  <c r="AN117" i="13"/>
  <c r="AQ117" i="13"/>
  <c r="AT117" i="13"/>
  <c r="AW117" i="13"/>
  <c r="AZ117" i="13"/>
  <c r="BC117" i="13"/>
  <c r="BF117" i="13"/>
  <c r="V118" i="13"/>
  <c r="BH118" i="13" s="1"/>
  <c r="Y118" i="13"/>
  <c r="AB118" i="13"/>
  <c r="AE118" i="13"/>
  <c r="AH118" i="13"/>
  <c r="AK118" i="13"/>
  <c r="AN118" i="13"/>
  <c r="AQ118" i="13"/>
  <c r="AT118" i="13"/>
  <c r="AW118" i="13"/>
  <c r="AZ118" i="13"/>
  <c r="BC118" i="13"/>
  <c r="BF118" i="13"/>
  <c r="V119" i="13"/>
  <c r="BH119" i="13" s="1"/>
  <c r="Y119" i="13"/>
  <c r="AB119" i="13"/>
  <c r="AE119" i="13"/>
  <c r="AH119" i="13"/>
  <c r="AK119" i="13"/>
  <c r="AN119" i="13"/>
  <c r="AQ119" i="13"/>
  <c r="AT119" i="13"/>
  <c r="AW119" i="13"/>
  <c r="AZ119" i="13"/>
  <c r="BC119" i="13"/>
  <c r="BF119" i="13"/>
  <c r="V120" i="13"/>
  <c r="BH120" i="13" s="1"/>
  <c r="Y120" i="13"/>
  <c r="AB120" i="13"/>
  <c r="AE120" i="13"/>
  <c r="AH120" i="13"/>
  <c r="AK120" i="13"/>
  <c r="AN120" i="13"/>
  <c r="AQ120" i="13"/>
  <c r="AT120" i="13"/>
  <c r="AW120" i="13"/>
  <c r="AZ120" i="13"/>
  <c r="BC120" i="13"/>
  <c r="BF120" i="13"/>
  <c r="V121" i="13"/>
  <c r="BH121" i="13" s="1"/>
  <c r="Y121" i="13"/>
  <c r="AB121" i="13"/>
  <c r="AE121" i="13"/>
  <c r="AH121" i="13"/>
  <c r="AK121" i="13"/>
  <c r="AN121" i="13"/>
  <c r="AQ121" i="13"/>
  <c r="AT121" i="13"/>
  <c r="AW121" i="13"/>
  <c r="AZ121" i="13"/>
  <c r="BC121" i="13"/>
  <c r="BF121" i="13"/>
  <c r="V122" i="13"/>
  <c r="BH122" i="13" s="1"/>
  <c r="Y122" i="13"/>
  <c r="AB122" i="13"/>
  <c r="AE122" i="13"/>
  <c r="AH122" i="13"/>
  <c r="AK122" i="13"/>
  <c r="AN122" i="13"/>
  <c r="AQ122" i="13"/>
  <c r="AT122" i="13"/>
  <c r="AW122" i="13"/>
  <c r="AZ122" i="13"/>
  <c r="BC122" i="13"/>
  <c r="BF122" i="13"/>
  <c r="V123" i="13"/>
  <c r="BH123" i="13" s="1"/>
  <c r="Y123" i="13"/>
  <c r="AB123" i="13"/>
  <c r="AE123" i="13"/>
  <c r="AH123" i="13"/>
  <c r="AK123" i="13"/>
  <c r="AN123" i="13"/>
  <c r="AQ123" i="13"/>
  <c r="AT123" i="13"/>
  <c r="AW123" i="13"/>
  <c r="AZ123" i="13"/>
  <c r="BC123" i="13"/>
  <c r="BF123" i="13"/>
  <c r="V124" i="13"/>
  <c r="BH124" i="13" s="1"/>
  <c r="Y124" i="13"/>
  <c r="AB124" i="13"/>
  <c r="AE124" i="13"/>
  <c r="AH124" i="13"/>
  <c r="AK124" i="13"/>
  <c r="AN124" i="13"/>
  <c r="AQ124" i="13"/>
  <c r="AT124" i="13"/>
  <c r="AW124" i="13"/>
  <c r="AZ124" i="13"/>
  <c r="BC124" i="13"/>
  <c r="BF124" i="13"/>
  <c r="V125" i="13"/>
  <c r="BH125" i="13" s="1"/>
  <c r="Y125" i="13"/>
  <c r="AB125" i="13"/>
  <c r="AE125" i="13"/>
  <c r="AH125" i="13"/>
  <c r="AK125" i="13"/>
  <c r="AN125" i="13"/>
  <c r="AQ125" i="13"/>
  <c r="AT125" i="13"/>
  <c r="AW125" i="13"/>
  <c r="AZ125" i="13"/>
  <c r="BC125" i="13"/>
  <c r="BF125" i="13"/>
  <c r="V126" i="13"/>
  <c r="BH126" i="13" s="1"/>
  <c r="Y126" i="13"/>
  <c r="AB126" i="13"/>
  <c r="AE126" i="13"/>
  <c r="AH126" i="13"/>
  <c r="AK126" i="13"/>
  <c r="AN126" i="13"/>
  <c r="AQ126" i="13"/>
  <c r="AT126" i="13"/>
  <c r="AW126" i="13"/>
  <c r="AZ126" i="13"/>
  <c r="BC126" i="13"/>
  <c r="BF126" i="13"/>
  <c r="V127" i="13"/>
  <c r="BH127" i="13" s="1"/>
  <c r="Y127" i="13"/>
  <c r="AB127" i="13"/>
  <c r="AE127" i="13"/>
  <c r="AH127" i="13"/>
  <c r="AK127" i="13"/>
  <c r="AN127" i="13"/>
  <c r="AQ127" i="13"/>
  <c r="AT127" i="13"/>
  <c r="AW127" i="13"/>
  <c r="AZ127" i="13"/>
  <c r="BC127" i="13"/>
  <c r="BF127" i="13"/>
  <c r="V128" i="13"/>
  <c r="BH128" i="13" s="1"/>
  <c r="Y128" i="13"/>
  <c r="AB128" i="13"/>
  <c r="AE128" i="13"/>
  <c r="AH128" i="13"/>
  <c r="AK128" i="13"/>
  <c r="AN128" i="13"/>
  <c r="AQ128" i="13"/>
  <c r="AT128" i="13"/>
  <c r="AW128" i="13"/>
  <c r="AZ128" i="13"/>
  <c r="BC128" i="13"/>
  <c r="BF128" i="13"/>
  <c r="V129" i="13"/>
  <c r="BH129" i="13" s="1"/>
  <c r="Y129" i="13"/>
  <c r="AB129" i="13"/>
  <c r="AE129" i="13"/>
  <c r="AH129" i="13"/>
  <c r="AK129" i="13"/>
  <c r="AN129" i="13"/>
  <c r="AQ129" i="13"/>
  <c r="AT129" i="13"/>
  <c r="AW129" i="13"/>
  <c r="AZ129" i="13"/>
  <c r="BC129" i="13"/>
  <c r="BF129" i="13"/>
  <c r="V130" i="13"/>
  <c r="BH130" i="13" s="1"/>
  <c r="Y130" i="13"/>
  <c r="AB130" i="13"/>
  <c r="AE130" i="13"/>
  <c r="AH130" i="13"/>
  <c r="AK130" i="13"/>
  <c r="AN130" i="13"/>
  <c r="AQ130" i="13"/>
  <c r="AT130" i="13"/>
  <c r="AW130" i="13"/>
  <c r="AZ130" i="13"/>
  <c r="BC130" i="13"/>
  <c r="BF130" i="13"/>
  <c r="V131" i="13"/>
  <c r="BH131" i="13" s="1"/>
  <c r="Y131" i="13"/>
  <c r="AB131" i="13"/>
  <c r="AE131" i="13"/>
  <c r="AH131" i="13"/>
  <c r="AK131" i="13"/>
  <c r="AN131" i="13"/>
  <c r="AQ131" i="13"/>
  <c r="AT131" i="13"/>
  <c r="AW131" i="13"/>
  <c r="AZ131" i="13"/>
  <c r="BC131" i="13"/>
  <c r="BF131" i="13"/>
  <c r="V132" i="13"/>
  <c r="BH132" i="13" s="1"/>
  <c r="Y132" i="13"/>
  <c r="AB132" i="13"/>
  <c r="AE132" i="13"/>
  <c r="AH132" i="13"/>
  <c r="AK132" i="13"/>
  <c r="AN132" i="13"/>
  <c r="AQ132" i="13"/>
  <c r="AT132" i="13"/>
  <c r="AW132" i="13"/>
  <c r="AZ132" i="13"/>
  <c r="BC132" i="13"/>
  <c r="BF132" i="13"/>
  <c r="V133" i="13"/>
  <c r="BH133" i="13" s="1"/>
  <c r="Y133" i="13"/>
  <c r="AB133" i="13"/>
  <c r="AE133" i="13"/>
  <c r="AH133" i="13"/>
  <c r="AK133" i="13"/>
  <c r="AN133" i="13"/>
  <c r="AQ133" i="13"/>
  <c r="AT133" i="13"/>
  <c r="AW133" i="13"/>
  <c r="AZ133" i="13"/>
  <c r="BC133" i="13"/>
  <c r="BF133" i="13"/>
  <c r="V134" i="13"/>
  <c r="BH134" i="13" s="1"/>
  <c r="Y134" i="13"/>
  <c r="AB134" i="13"/>
  <c r="AE134" i="13"/>
  <c r="AH134" i="13"/>
  <c r="AK134" i="13"/>
  <c r="AN134" i="13"/>
  <c r="AQ134" i="13"/>
  <c r="AT134" i="13"/>
  <c r="AW134" i="13"/>
  <c r="AZ134" i="13"/>
  <c r="BC134" i="13"/>
  <c r="BF134" i="13"/>
  <c r="V135" i="13"/>
  <c r="BH135" i="13" s="1"/>
  <c r="Y135" i="13"/>
  <c r="AB135" i="13"/>
  <c r="AE135" i="13"/>
  <c r="AH135" i="13"/>
  <c r="AK135" i="13"/>
  <c r="AN135" i="13"/>
  <c r="AQ135" i="13"/>
  <c r="AT135" i="13"/>
  <c r="AW135" i="13"/>
  <c r="AZ135" i="13"/>
  <c r="BC135" i="13"/>
  <c r="BF135" i="13"/>
  <c r="V136" i="13"/>
  <c r="BH136" i="13" s="1"/>
  <c r="Y136" i="13"/>
  <c r="AB136" i="13"/>
  <c r="AE136" i="13"/>
  <c r="AH136" i="13"/>
  <c r="AK136" i="13"/>
  <c r="AN136" i="13"/>
  <c r="AQ136" i="13"/>
  <c r="AT136" i="13"/>
  <c r="AW136" i="13"/>
  <c r="AZ136" i="13"/>
  <c r="BC136" i="13"/>
  <c r="BF136" i="13"/>
  <c r="V137" i="13"/>
  <c r="BH137" i="13" s="1"/>
  <c r="Y137" i="13"/>
  <c r="AB137" i="13"/>
  <c r="AE137" i="13"/>
  <c r="AH137" i="13"/>
  <c r="AK137" i="13"/>
  <c r="AN137" i="13"/>
  <c r="AQ137" i="13"/>
  <c r="AT137" i="13"/>
  <c r="AW137" i="13"/>
  <c r="AZ137" i="13"/>
  <c r="BC137" i="13"/>
  <c r="BF137" i="13"/>
  <c r="V138" i="13"/>
  <c r="BH138" i="13" s="1"/>
  <c r="Y138" i="13"/>
  <c r="AB138" i="13"/>
  <c r="AE138" i="13"/>
  <c r="AH138" i="13"/>
  <c r="AK138" i="13"/>
  <c r="AN138" i="13"/>
  <c r="AQ138" i="13"/>
  <c r="AT138" i="13"/>
  <c r="AW138" i="13"/>
  <c r="AZ138" i="13"/>
  <c r="BC138" i="13"/>
  <c r="BF138" i="13"/>
  <c r="V139" i="13"/>
  <c r="BH139" i="13" s="1"/>
  <c r="Y139" i="13"/>
  <c r="AB139" i="13"/>
  <c r="AE139" i="13"/>
  <c r="AH139" i="13"/>
  <c r="AK139" i="13"/>
  <c r="AN139" i="13"/>
  <c r="AQ139" i="13"/>
  <c r="AT139" i="13"/>
  <c r="AW139" i="13"/>
  <c r="AZ139" i="13"/>
  <c r="BC139" i="13"/>
  <c r="BF139" i="13"/>
  <c r="V140" i="13"/>
  <c r="BH140" i="13" s="1"/>
  <c r="Y140" i="13"/>
  <c r="AB140" i="13"/>
  <c r="AE140" i="13"/>
  <c r="AH140" i="13"/>
  <c r="AK140" i="13"/>
  <c r="AN140" i="13"/>
  <c r="AQ140" i="13"/>
  <c r="AT140" i="13"/>
  <c r="AW140" i="13"/>
  <c r="AZ140" i="13"/>
  <c r="BC140" i="13"/>
  <c r="BF140" i="13"/>
  <c r="V141" i="13"/>
  <c r="BH141" i="13" s="1"/>
  <c r="Y141" i="13"/>
  <c r="AB141" i="13"/>
  <c r="AE141" i="13"/>
  <c r="AH141" i="13"/>
  <c r="AK141" i="13"/>
  <c r="AN141" i="13"/>
  <c r="AQ141" i="13"/>
  <c r="AT141" i="13"/>
  <c r="AW141" i="13"/>
  <c r="AZ141" i="13"/>
  <c r="BC141" i="13"/>
  <c r="BF141" i="13"/>
  <c r="V142" i="13"/>
  <c r="BH142" i="13" s="1"/>
  <c r="Y142" i="13"/>
  <c r="AB142" i="13"/>
  <c r="AE142" i="13"/>
  <c r="AH142" i="13"/>
  <c r="AK142" i="13"/>
  <c r="AN142" i="13"/>
  <c r="AQ142" i="13"/>
  <c r="AT142" i="13"/>
  <c r="AW142" i="13"/>
  <c r="AZ142" i="13"/>
  <c r="BC142" i="13"/>
  <c r="BF142" i="13"/>
  <c r="V143" i="13"/>
  <c r="BH143" i="13" s="1"/>
  <c r="Y143" i="13"/>
  <c r="AB143" i="13"/>
  <c r="AE143" i="13"/>
  <c r="AH143" i="13"/>
  <c r="AK143" i="13"/>
  <c r="AN143" i="13"/>
  <c r="AQ143" i="13"/>
  <c r="AT143" i="13"/>
  <c r="AW143" i="13"/>
  <c r="AZ143" i="13"/>
  <c r="BC143" i="13"/>
  <c r="BF143" i="13"/>
  <c r="V144" i="13"/>
  <c r="BH144" i="13" s="1"/>
  <c r="Y144" i="13"/>
  <c r="AB144" i="13"/>
  <c r="AE144" i="13"/>
  <c r="AH144" i="13"/>
  <c r="AK144" i="13"/>
  <c r="AN144" i="13"/>
  <c r="AQ144" i="13"/>
  <c r="AT144" i="13"/>
  <c r="AW144" i="13"/>
  <c r="AZ144" i="13"/>
  <c r="BC144" i="13"/>
  <c r="BF144" i="13"/>
  <c r="V145" i="13"/>
  <c r="BH145" i="13" s="1"/>
  <c r="Y145" i="13"/>
  <c r="AB145" i="13"/>
  <c r="AE145" i="13"/>
  <c r="AH145" i="13"/>
  <c r="AK145" i="13"/>
  <c r="AN145" i="13"/>
  <c r="AQ145" i="13"/>
  <c r="AT145" i="13"/>
  <c r="AW145" i="13"/>
  <c r="AZ145" i="13"/>
  <c r="BC145" i="13"/>
  <c r="BF145" i="13"/>
  <c r="V146" i="13"/>
  <c r="BH146" i="13" s="1"/>
  <c r="Y146" i="13"/>
  <c r="AB146" i="13"/>
  <c r="AE146" i="13"/>
  <c r="AH146" i="13"/>
  <c r="AK146" i="13"/>
  <c r="AN146" i="13"/>
  <c r="AQ146" i="13"/>
  <c r="AT146" i="13"/>
  <c r="AW146" i="13"/>
  <c r="AZ146" i="13"/>
  <c r="BC146" i="13"/>
  <c r="BF146" i="13"/>
  <c r="V147" i="13"/>
  <c r="BH147" i="13" s="1"/>
  <c r="Y147" i="13"/>
  <c r="AB147" i="13"/>
  <c r="AE147" i="13"/>
  <c r="AH147" i="13"/>
  <c r="AK147" i="13"/>
  <c r="AN147" i="13"/>
  <c r="AQ147" i="13"/>
  <c r="AT147" i="13"/>
  <c r="AW147" i="13"/>
  <c r="AZ147" i="13"/>
  <c r="BC147" i="13"/>
  <c r="BF147" i="13"/>
  <c r="V148" i="13"/>
  <c r="BH148" i="13" s="1"/>
  <c r="Y148" i="13"/>
  <c r="AB148" i="13"/>
  <c r="AE148" i="13"/>
  <c r="AH148" i="13"/>
  <c r="AK148" i="13"/>
  <c r="AN148" i="13"/>
  <c r="AQ148" i="13"/>
  <c r="AT148" i="13"/>
  <c r="AW148" i="13"/>
  <c r="AZ148" i="13"/>
  <c r="BC148" i="13"/>
  <c r="BF148" i="13"/>
  <c r="V149" i="13"/>
  <c r="BH149" i="13" s="1"/>
  <c r="Y149" i="13"/>
  <c r="AB149" i="13"/>
  <c r="AE149" i="13"/>
  <c r="AH149" i="13"/>
  <c r="AK149" i="13"/>
  <c r="AN149" i="13"/>
  <c r="AQ149" i="13"/>
  <c r="AT149" i="13"/>
  <c r="AW149" i="13"/>
  <c r="AZ149" i="13"/>
  <c r="BC149" i="13"/>
  <c r="BF149" i="13"/>
  <c r="V150" i="13"/>
  <c r="BH150" i="13" s="1"/>
  <c r="Y150" i="13"/>
  <c r="AB150" i="13"/>
  <c r="AE150" i="13"/>
  <c r="AH150" i="13"/>
  <c r="AK150" i="13"/>
  <c r="AN150" i="13"/>
  <c r="AQ150" i="13"/>
  <c r="AT150" i="13"/>
  <c r="AW150" i="13"/>
  <c r="AZ150" i="13"/>
  <c r="BC150" i="13"/>
  <c r="BF150" i="13"/>
  <c r="V151" i="13"/>
  <c r="BH151" i="13" s="1"/>
  <c r="Y151" i="13"/>
  <c r="AB151" i="13"/>
  <c r="AE151" i="13"/>
  <c r="AH151" i="13"/>
  <c r="AK151" i="13"/>
  <c r="AN151" i="13"/>
  <c r="AQ151" i="13"/>
  <c r="AT151" i="13"/>
  <c r="AW151" i="13"/>
  <c r="AZ151" i="13"/>
  <c r="BC151" i="13"/>
  <c r="BF151" i="13"/>
  <c r="V152" i="13"/>
  <c r="BH152" i="13" s="1"/>
  <c r="Y152" i="13"/>
  <c r="AB152" i="13"/>
  <c r="AE152" i="13"/>
  <c r="AH152" i="13"/>
  <c r="AK152" i="13"/>
  <c r="AN152" i="13"/>
  <c r="AQ152" i="13"/>
  <c r="AT152" i="13"/>
  <c r="AW152" i="13"/>
  <c r="AZ152" i="13"/>
  <c r="BC152" i="13"/>
  <c r="BF152" i="13"/>
  <c r="V153" i="13"/>
  <c r="BH153" i="13" s="1"/>
  <c r="Y153" i="13"/>
  <c r="AB153" i="13"/>
  <c r="AE153" i="13"/>
  <c r="AH153" i="13"/>
  <c r="AK153" i="13"/>
  <c r="AN153" i="13"/>
  <c r="AQ153" i="13"/>
  <c r="AT153" i="13"/>
  <c r="AW153" i="13"/>
  <c r="AZ153" i="13"/>
  <c r="BC153" i="13"/>
  <c r="BF153" i="13"/>
  <c r="V154" i="13"/>
  <c r="BH154" i="13" s="1"/>
  <c r="Y154" i="13"/>
  <c r="AB154" i="13"/>
  <c r="AE154" i="13"/>
  <c r="AH154" i="13"/>
  <c r="AK154" i="13"/>
  <c r="AN154" i="13"/>
  <c r="AQ154" i="13"/>
  <c r="AT154" i="13"/>
  <c r="AW154" i="13"/>
  <c r="AZ154" i="13"/>
  <c r="BC154" i="13"/>
  <c r="BF154" i="13"/>
  <c r="V155" i="13"/>
  <c r="BH155" i="13" s="1"/>
  <c r="Y155" i="13"/>
  <c r="AB155" i="13"/>
  <c r="AE155" i="13"/>
  <c r="AH155" i="13"/>
  <c r="AK155" i="13"/>
  <c r="AN155" i="13"/>
  <c r="AQ155" i="13"/>
  <c r="AT155" i="13"/>
  <c r="AW155" i="13"/>
  <c r="AZ155" i="13"/>
  <c r="BC155" i="13"/>
  <c r="BF155" i="13"/>
  <c r="V156" i="13"/>
  <c r="BH156" i="13" s="1"/>
  <c r="Y156" i="13"/>
  <c r="AB156" i="13"/>
  <c r="AE156" i="13"/>
  <c r="AH156" i="13"/>
  <c r="AK156" i="13"/>
  <c r="AN156" i="13"/>
  <c r="AQ156" i="13"/>
  <c r="AT156" i="13"/>
  <c r="AW156" i="13"/>
  <c r="AZ156" i="13"/>
  <c r="BC156" i="13"/>
  <c r="BF156" i="13"/>
  <c r="V157" i="13"/>
  <c r="BH157" i="13" s="1"/>
  <c r="Y157" i="13"/>
  <c r="AB157" i="13"/>
  <c r="AE157" i="13"/>
  <c r="AH157" i="13"/>
  <c r="AK157" i="13"/>
  <c r="AN157" i="13"/>
  <c r="AQ157" i="13"/>
  <c r="AT157" i="13"/>
  <c r="AW157" i="13"/>
  <c r="AZ157" i="13"/>
  <c r="BC157" i="13"/>
  <c r="BF157" i="13"/>
  <c r="V158" i="13"/>
  <c r="BH158" i="13" s="1"/>
  <c r="Y158" i="13"/>
  <c r="AB158" i="13"/>
  <c r="AE158" i="13"/>
  <c r="AH158" i="13"/>
  <c r="AK158" i="13"/>
  <c r="AN158" i="13"/>
  <c r="AQ158" i="13"/>
  <c r="AT158" i="13"/>
  <c r="AW158" i="13"/>
  <c r="AZ158" i="13"/>
  <c r="BC158" i="13"/>
  <c r="BF158" i="13"/>
  <c r="V159" i="13"/>
  <c r="BH159" i="13" s="1"/>
  <c r="Y159" i="13"/>
  <c r="AB159" i="13"/>
  <c r="AE159" i="13"/>
  <c r="AH159" i="13"/>
  <c r="AK159" i="13"/>
  <c r="AN159" i="13"/>
  <c r="AQ159" i="13"/>
  <c r="AT159" i="13"/>
  <c r="AW159" i="13"/>
  <c r="AZ159" i="13"/>
  <c r="BC159" i="13"/>
  <c r="BF159" i="13"/>
  <c r="V160" i="13"/>
  <c r="BH160" i="13" s="1"/>
  <c r="Y160" i="13"/>
  <c r="AB160" i="13"/>
  <c r="AE160" i="13"/>
  <c r="AH160" i="13"/>
  <c r="AK160" i="13"/>
  <c r="AN160" i="13"/>
  <c r="AQ160" i="13"/>
  <c r="AT160" i="13"/>
  <c r="AW160" i="13"/>
  <c r="AZ160" i="13"/>
  <c r="BC160" i="13"/>
  <c r="BF160" i="13"/>
  <c r="V161" i="13"/>
  <c r="BH161" i="13" s="1"/>
  <c r="Y161" i="13"/>
  <c r="AB161" i="13"/>
  <c r="AE161" i="13"/>
  <c r="AH161" i="13"/>
  <c r="AK161" i="13"/>
  <c r="AN161" i="13"/>
  <c r="AQ161" i="13"/>
  <c r="AT161" i="13"/>
  <c r="AW161" i="13"/>
  <c r="AZ161" i="13"/>
  <c r="BC161" i="13"/>
  <c r="BF161" i="13"/>
  <c r="V162" i="13"/>
  <c r="BH162" i="13" s="1"/>
  <c r="Y162" i="13"/>
  <c r="AB162" i="13"/>
  <c r="AE162" i="13"/>
  <c r="AH162" i="13"/>
  <c r="AK162" i="13"/>
  <c r="AN162" i="13"/>
  <c r="AQ162" i="13"/>
  <c r="AT162" i="13"/>
  <c r="AW162" i="13"/>
  <c r="AZ162" i="13"/>
  <c r="BC162" i="13"/>
  <c r="BF162" i="13"/>
  <c r="V163" i="13"/>
  <c r="BH163" i="13" s="1"/>
  <c r="Y163" i="13"/>
  <c r="AB163" i="13"/>
  <c r="AE163" i="13"/>
  <c r="AH163" i="13"/>
  <c r="AK163" i="13"/>
  <c r="AN163" i="13"/>
  <c r="AQ163" i="13"/>
  <c r="AT163" i="13"/>
  <c r="AW163" i="13"/>
  <c r="AZ163" i="13"/>
  <c r="BC163" i="13"/>
  <c r="BF163" i="13"/>
  <c r="V164" i="13"/>
  <c r="BH164" i="13" s="1"/>
  <c r="Y164" i="13"/>
  <c r="AB164" i="13"/>
  <c r="AE164" i="13"/>
  <c r="AH164" i="13"/>
  <c r="AK164" i="13"/>
  <c r="AN164" i="13"/>
  <c r="AQ164" i="13"/>
  <c r="AT164" i="13"/>
  <c r="AW164" i="13"/>
  <c r="AZ164" i="13"/>
  <c r="BC164" i="13"/>
  <c r="BF164" i="13"/>
  <c r="V165" i="13"/>
  <c r="BH165" i="13" s="1"/>
  <c r="Y165" i="13"/>
  <c r="AB165" i="13"/>
  <c r="AE165" i="13"/>
  <c r="AH165" i="13"/>
  <c r="AK165" i="13"/>
  <c r="AN165" i="13"/>
  <c r="AQ165" i="13"/>
  <c r="AT165" i="13"/>
  <c r="AW165" i="13"/>
  <c r="AZ165" i="13"/>
  <c r="BC165" i="13"/>
  <c r="BF165" i="13"/>
  <c r="V166" i="13"/>
  <c r="BH166" i="13" s="1"/>
  <c r="Y166" i="13"/>
  <c r="AB166" i="13"/>
  <c r="AE166" i="13"/>
  <c r="AH166" i="13"/>
  <c r="AK166" i="13"/>
  <c r="AN166" i="13"/>
  <c r="AQ166" i="13"/>
  <c r="AT166" i="13"/>
  <c r="AW166" i="13"/>
  <c r="AZ166" i="13"/>
  <c r="BC166" i="13"/>
  <c r="BF166" i="13"/>
  <c r="V167" i="13"/>
  <c r="BH167" i="13" s="1"/>
  <c r="Y167" i="13"/>
  <c r="AB167" i="13"/>
  <c r="AE167" i="13"/>
  <c r="AH167" i="13"/>
  <c r="AK167" i="13"/>
  <c r="AN167" i="13"/>
  <c r="AQ167" i="13"/>
  <c r="AT167" i="13"/>
  <c r="AW167" i="13"/>
  <c r="AZ167" i="13"/>
  <c r="BC167" i="13"/>
  <c r="BF167" i="13"/>
  <c r="V168" i="13"/>
  <c r="BH168" i="13" s="1"/>
  <c r="Y168" i="13"/>
  <c r="AB168" i="13"/>
  <c r="AE168" i="13"/>
  <c r="AH168" i="13"/>
  <c r="AK168" i="13"/>
  <c r="AN168" i="13"/>
  <c r="AQ168" i="13"/>
  <c r="AT168" i="13"/>
  <c r="AW168" i="13"/>
  <c r="AZ168" i="13"/>
  <c r="BC168" i="13"/>
  <c r="BF168" i="13"/>
  <c r="V169" i="13"/>
  <c r="BH169" i="13" s="1"/>
  <c r="Y169" i="13"/>
  <c r="AB169" i="13"/>
  <c r="AE169" i="13"/>
  <c r="AH169" i="13"/>
  <c r="AK169" i="13"/>
  <c r="AN169" i="13"/>
  <c r="AQ169" i="13"/>
  <c r="AT169" i="13"/>
  <c r="AW169" i="13"/>
  <c r="AZ169" i="13"/>
  <c r="BC169" i="13"/>
  <c r="BF169" i="13"/>
  <c r="V170" i="13"/>
  <c r="BH170" i="13" s="1"/>
  <c r="Y170" i="13"/>
  <c r="AB170" i="13"/>
  <c r="AE170" i="13"/>
  <c r="AH170" i="13"/>
  <c r="AK170" i="13"/>
  <c r="AN170" i="13"/>
  <c r="AQ170" i="13"/>
  <c r="AT170" i="13"/>
  <c r="AW170" i="13"/>
  <c r="AZ170" i="13"/>
  <c r="BC170" i="13"/>
  <c r="BF170" i="13"/>
  <c r="V171" i="13"/>
  <c r="BH171" i="13" s="1"/>
  <c r="Y171" i="13"/>
  <c r="AB171" i="13"/>
  <c r="AE171" i="13"/>
  <c r="AH171" i="13"/>
  <c r="AK171" i="13"/>
  <c r="AN171" i="13"/>
  <c r="AQ171" i="13"/>
  <c r="AT171" i="13"/>
  <c r="AW171" i="13"/>
  <c r="AZ171" i="13"/>
  <c r="BC171" i="13"/>
  <c r="BF171" i="13"/>
  <c r="V172" i="13"/>
  <c r="BH172" i="13" s="1"/>
  <c r="Y172" i="13"/>
  <c r="AB172" i="13"/>
  <c r="AE172" i="13"/>
  <c r="AH172" i="13"/>
  <c r="AK172" i="13"/>
  <c r="AN172" i="13"/>
  <c r="AQ172" i="13"/>
  <c r="AT172" i="13"/>
  <c r="AW172" i="13"/>
  <c r="AZ172" i="13"/>
  <c r="BC172" i="13"/>
  <c r="BF172" i="13"/>
  <c r="V173" i="13"/>
  <c r="BH173" i="13" s="1"/>
  <c r="Y173" i="13"/>
  <c r="AB173" i="13"/>
  <c r="AE173" i="13"/>
  <c r="AH173" i="13"/>
  <c r="AK173" i="13"/>
  <c r="AN173" i="13"/>
  <c r="AQ173" i="13"/>
  <c r="AT173" i="13"/>
  <c r="AW173" i="13"/>
  <c r="AZ173" i="13"/>
  <c r="BC173" i="13"/>
  <c r="BF173" i="13"/>
  <c r="V174" i="13"/>
  <c r="BH174" i="13" s="1"/>
  <c r="Y174" i="13"/>
  <c r="AB174" i="13"/>
  <c r="AE174" i="13"/>
  <c r="AH174" i="13"/>
  <c r="AK174" i="13"/>
  <c r="AN174" i="13"/>
  <c r="AQ174" i="13"/>
  <c r="AT174" i="13"/>
  <c r="AW174" i="13"/>
  <c r="AZ174" i="13"/>
  <c r="BC174" i="13"/>
  <c r="BF174" i="13"/>
  <c r="V175" i="13"/>
  <c r="BH175" i="13" s="1"/>
  <c r="Y175" i="13"/>
  <c r="AB175" i="13"/>
  <c r="AE175" i="13"/>
  <c r="AH175" i="13"/>
  <c r="AK175" i="13"/>
  <c r="AN175" i="13"/>
  <c r="AQ175" i="13"/>
  <c r="AT175" i="13"/>
  <c r="AW175" i="13"/>
  <c r="AZ175" i="13"/>
  <c r="BC175" i="13"/>
  <c r="BF175" i="13"/>
  <c r="V176" i="13"/>
  <c r="BH176" i="13" s="1"/>
  <c r="Y176" i="13"/>
  <c r="AB176" i="13"/>
  <c r="AE176" i="13"/>
  <c r="AH176" i="13"/>
  <c r="AK176" i="13"/>
  <c r="AN176" i="13"/>
  <c r="AQ176" i="13"/>
  <c r="AT176" i="13"/>
  <c r="AW176" i="13"/>
  <c r="AZ176" i="13"/>
  <c r="BC176" i="13"/>
  <c r="BF176" i="13"/>
  <c r="V177" i="13"/>
  <c r="BH177" i="13" s="1"/>
  <c r="Y177" i="13"/>
  <c r="AB177" i="13"/>
  <c r="AE177" i="13"/>
  <c r="AH177" i="13"/>
  <c r="AK177" i="13"/>
  <c r="AN177" i="13"/>
  <c r="AQ177" i="13"/>
  <c r="AT177" i="13"/>
  <c r="AW177" i="13"/>
  <c r="AZ177" i="13"/>
  <c r="BC177" i="13"/>
  <c r="BF177" i="13"/>
  <c r="V178" i="13"/>
  <c r="BH178" i="13" s="1"/>
  <c r="Y178" i="13"/>
  <c r="AB178" i="13"/>
  <c r="AE178" i="13"/>
  <c r="AH178" i="13"/>
  <c r="AK178" i="13"/>
  <c r="AN178" i="13"/>
  <c r="AQ178" i="13"/>
  <c r="AT178" i="13"/>
  <c r="AW178" i="13"/>
  <c r="AZ178" i="13"/>
  <c r="BC178" i="13"/>
  <c r="BF178" i="13"/>
  <c r="V179" i="13"/>
  <c r="BH179" i="13" s="1"/>
  <c r="Y179" i="13"/>
  <c r="AB179" i="13"/>
  <c r="AE179" i="13"/>
  <c r="AH179" i="13"/>
  <c r="AK179" i="13"/>
  <c r="AN179" i="13"/>
  <c r="AQ179" i="13"/>
  <c r="AT179" i="13"/>
  <c r="AW179" i="13"/>
  <c r="AZ179" i="13"/>
  <c r="BC179" i="13"/>
  <c r="BF179" i="13"/>
  <c r="V180" i="13"/>
  <c r="BH180" i="13" s="1"/>
  <c r="Y180" i="13"/>
  <c r="AB180" i="13"/>
  <c r="AE180" i="13"/>
  <c r="AH180" i="13"/>
  <c r="AK180" i="13"/>
  <c r="AN180" i="13"/>
  <c r="AQ180" i="13"/>
  <c r="AT180" i="13"/>
  <c r="AW180" i="13"/>
  <c r="AZ180" i="13"/>
  <c r="BC180" i="13"/>
  <c r="BF180" i="13"/>
  <c r="V181" i="13"/>
  <c r="BH181" i="13" s="1"/>
  <c r="Y181" i="13"/>
  <c r="AB181" i="13"/>
  <c r="AE181" i="13"/>
  <c r="AH181" i="13"/>
  <c r="AK181" i="13"/>
  <c r="AN181" i="13"/>
  <c r="AQ181" i="13"/>
  <c r="AT181" i="13"/>
  <c r="AW181" i="13"/>
  <c r="AZ181" i="13"/>
  <c r="BC181" i="13"/>
  <c r="BF181" i="13"/>
  <c r="V182" i="13"/>
  <c r="BH182" i="13" s="1"/>
  <c r="Y182" i="13"/>
  <c r="AB182" i="13"/>
  <c r="AE182" i="13"/>
  <c r="AH182" i="13"/>
  <c r="AK182" i="13"/>
  <c r="AN182" i="13"/>
  <c r="AQ182" i="13"/>
  <c r="AT182" i="13"/>
  <c r="AW182" i="13"/>
  <c r="AZ182" i="13"/>
  <c r="BC182" i="13"/>
  <c r="BF182" i="13"/>
  <c r="V183" i="13"/>
  <c r="BH183" i="13" s="1"/>
  <c r="Y183" i="13"/>
  <c r="AB183" i="13"/>
  <c r="AE183" i="13"/>
  <c r="AH183" i="13"/>
  <c r="AK183" i="13"/>
  <c r="AN183" i="13"/>
  <c r="AQ183" i="13"/>
  <c r="AT183" i="13"/>
  <c r="AW183" i="13"/>
  <c r="AZ183" i="13"/>
  <c r="BC183" i="13"/>
  <c r="BF183" i="13"/>
  <c r="V184" i="13"/>
  <c r="BH184" i="13" s="1"/>
  <c r="Y184" i="13"/>
  <c r="AB184" i="13"/>
  <c r="AE184" i="13"/>
  <c r="AH184" i="13"/>
  <c r="AK184" i="13"/>
  <c r="AN184" i="13"/>
  <c r="AQ184" i="13"/>
  <c r="AT184" i="13"/>
  <c r="AW184" i="13"/>
  <c r="AZ184" i="13"/>
  <c r="BC184" i="13"/>
  <c r="BF184" i="13"/>
  <c r="V185" i="13"/>
  <c r="BH185" i="13" s="1"/>
  <c r="Y185" i="13"/>
  <c r="AB185" i="13"/>
  <c r="AE185" i="13"/>
  <c r="AH185" i="13"/>
  <c r="AK185" i="13"/>
  <c r="AN185" i="13"/>
  <c r="AQ185" i="13"/>
  <c r="AT185" i="13"/>
  <c r="AW185" i="13"/>
  <c r="AZ185" i="13"/>
  <c r="BC185" i="13"/>
  <c r="BF185" i="13"/>
  <c r="V186" i="13"/>
  <c r="BH186" i="13" s="1"/>
  <c r="Y186" i="13"/>
  <c r="AB186" i="13"/>
  <c r="AE186" i="13"/>
  <c r="AH186" i="13"/>
  <c r="AK186" i="13"/>
  <c r="AN186" i="13"/>
  <c r="AQ186" i="13"/>
  <c r="AT186" i="13"/>
  <c r="AW186" i="13"/>
  <c r="AZ186" i="13"/>
  <c r="BC186" i="13"/>
  <c r="BF186" i="13"/>
  <c r="V187" i="13"/>
  <c r="BH187" i="13" s="1"/>
  <c r="Y187" i="13"/>
  <c r="AB187" i="13"/>
  <c r="AE187" i="13"/>
  <c r="AH187" i="13"/>
  <c r="AK187" i="13"/>
  <c r="AN187" i="13"/>
  <c r="AQ187" i="13"/>
  <c r="AT187" i="13"/>
  <c r="AW187" i="13"/>
  <c r="AZ187" i="13"/>
  <c r="BC187" i="13"/>
  <c r="BF187" i="13"/>
  <c r="V188" i="13"/>
  <c r="BH188" i="13" s="1"/>
  <c r="Y188" i="13"/>
  <c r="AB188" i="13"/>
  <c r="AE188" i="13"/>
  <c r="AH188" i="13"/>
  <c r="AK188" i="13"/>
  <c r="AN188" i="13"/>
  <c r="AQ188" i="13"/>
  <c r="AT188" i="13"/>
  <c r="AW188" i="13"/>
  <c r="AZ188" i="13"/>
  <c r="BC188" i="13"/>
  <c r="BF188" i="13"/>
  <c r="V189" i="13"/>
  <c r="BH189" i="13" s="1"/>
  <c r="Y189" i="13"/>
  <c r="AB189" i="13"/>
  <c r="AE189" i="13"/>
  <c r="AH189" i="13"/>
  <c r="AK189" i="13"/>
  <c r="AN189" i="13"/>
  <c r="AQ189" i="13"/>
  <c r="AT189" i="13"/>
  <c r="AW189" i="13"/>
  <c r="AZ189" i="13"/>
  <c r="BC189" i="13"/>
  <c r="BF189" i="13"/>
  <c r="V190" i="13"/>
  <c r="BH190" i="13" s="1"/>
  <c r="Y190" i="13"/>
  <c r="AB190" i="13"/>
  <c r="AE190" i="13"/>
  <c r="AH190" i="13"/>
  <c r="AK190" i="13"/>
  <c r="AN190" i="13"/>
  <c r="AQ190" i="13"/>
  <c r="AT190" i="13"/>
  <c r="AW190" i="13"/>
  <c r="AZ190" i="13"/>
  <c r="BC190" i="13"/>
  <c r="BF190" i="13"/>
  <c r="V191" i="13"/>
  <c r="BH191" i="13" s="1"/>
  <c r="Y191" i="13"/>
  <c r="AB191" i="13"/>
  <c r="AE191" i="13"/>
  <c r="AH191" i="13"/>
  <c r="AK191" i="13"/>
  <c r="AN191" i="13"/>
  <c r="AQ191" i="13"/>
  <c r="AT191" i="13"/>
  <c r="AW191" i="13"/>
  <c r="AZ191" i="13"/>
  <c r="BC191" i="13"/>
  <c r="BF191" i="13"/>
  <c r="V192" i="13"/>
  <c r="BH192" i="13" s="1"/>
  <c r="Y192" i="13"/>
  <c r="AB192" i="13"/>
  <c r="AE192" i="13"/>
  <c r="AH192" i="13"/>
  <c r="AK192" i="13"/>
  <c r="AN192" i="13"/>
  <c r="AQ192" i="13"/>
  <c r="AT192" i="13"/>
  <c r="AW192" i="13"/>
  <c r="AZ192" i="13"/>
  <c r="BC192" i="13"/>
  <c r="BF192" i="13"/>
  <c r="V193" i="13"/>
  <c r="BH193" i="13" s="1"/>
  <c r="Y193" i="13"/>
  <c r="AB193" i="13"/>
  <c r="AE193" i="13"/>
  <c r="AH193" i="13"/>
  <c r="AK193" i="13"/>
  <c r="AN193" i="13"/>
  <c r="AQ193" i="13"/>
  <c r="AT193" i="13"/>
  <c r="AW193" i="13"/>
  <c r="AZ193" i="13"/>
  <c r="BC193" i="13"/>
  <c r="BF193" i="13"/>
  <c r="V194" i="13"/>
  <c r="BH194" i="13" s="1"/>
  <c r="Y194" i="13"/>
  <c r="AB194" i="13"/>
  <c r="AE194" i="13"/>
  <c r="AH194" i="13"/>
  <c r="AK194" i="13"/>
  <c r="AN194" i="13"/>
  <c r="AQ194" i="13"/>
  <c r="AT194" i="13"/>
  <c r="AW194" i="13"/>
  <c r="AZ194" i="13"/>
  <c r="BC194" i="13"/>
  <c r="BF194" i="13"/>
  <c r="V195" i="13"/>
  <c r="BH195" i="13" s="1"/>
  <c r="Y195" i="13"/>
  <c r="AB195" i="13"/>
  <c r="AE195" i="13"/>
  <c r="AH195" i="13"/>
  <c r="AK195" i="13"/>
  <c r="AN195" i="13"/>
  <c r="AQ195" i="13"/>
  <c r="AT195" i="13"/>
  <c r="AW195" i="13"/>
  <c r="AZ195" i="13"/>
  <c r="BC195" i="13"/>
  <c r="BF195" i="13"/>
  <c r="V196" i="13"/>
  <c r="BH196" i="13" s="1"/>
  <c r="Y196" i="13"/>
  <c r="AB196" i="13"/>
  <c r="AE196" i="13"/>
  <c r="AH196" i="13"/>
  <c r="AK196" i="13"/>
  <c r="AN196" i="13"/>
  <c r="AQ196" i="13"/>
  <c r="AT196" i="13"/>
  <c r="AW196" i="13"/>
  <c r="AZ196" i="13"/>
  <c r="BC196" i="13"/>
  <c r="BF196" i="13"/>
  <c r="V197" i="13"/>
  <c r="BH197" i="13" s="1"/>
  <c r="Y197" i="13"/>
  <c r="AB197" i="13"/>
  <c r="AE197" i="13"/>
  <c r="AH197" i="13"/>
  <c r="AK197" i="13"/>
  <c r="AN197" i="13"/>
  <c r="AQ197" i="13"/>
  <c r="AT197" i="13"/>
  <c r="AW197" i="13"/>
  <c r="AZ197" i="13"/>
  <c r="BC197" i="13"/>
  <c r="BF197" i="13"/>
  <c r="V198" i="13"/>
  <c r="BH198" i="13" s="1"/>
  <c r="Y198" i="13"/>
  <c r="AB198" i="13"/>
  <c r="AE198" i="13"/>
  <c r="AH198" i="13"/>
  <c r="AK198" i="13"/>
  <c r="AN198" i="13"/>
  <c r="AQ198" i="13"/>
  <c r="AT198" i="13"/>
  <c r="AW198" i="13"/>
  <c r="AZ198" i="13"/>
  <c r="BC198" i="13"/>
  <c r="BF198" i="13"/>
  <c r="V199" i="13"/>
  <c r="BH199" i="13" s="1"/>
  <c r="Y199" i="13"/>
  <c r="AB199" i="13"/>
  <c r="AE199" i="13"/>
  <c r="AH199" i="13"/>
  <c r="AK199" i="13"/>
  <c r="AN199" i="13"/>
  <c r="AQ199" i="13"/>
  <c r="AT199" i="13"/>
  <c r="AW199" i="13"/>
  <c r="AZ199" i="13"/>
  <c r="BC199" i="13"/>
  <c r="BF199" i="13"/>
  <c r="V200" i="13"/>
  <c r="BH200" i="13" s="1"/>
  <c r="Y200" i="13"/>
  <c r="AB200" i="13"/>
  <c r="AE200" i="13"/>
  <c r="AH200" i="13"/>
  <c r="AK200" i="13"/>
  <c r="AN200" i="13"/>
  <c r="AQ200" i="13"/>
  <c r="AT200" i="13"/>
  <c r="AW200" i="13"/>
  <c r="AZ200" i="13"/>
  <c r="BC200" i="13"/>
  <c r="BF200" i="13"/>
  <c r="V201" i="13"/>
  <c r="BH201" i="13" s="1"/>
  <c r="Y201" i="13"/>
  <c r="AB201" i="13"/>
  <c r="AE201" i="13"/>
  <c r="AH201" i="13"/>
  <c r="AK201" i="13"/>
  <c r="AN201" i="13"/>
  <c r="AQ201" i="13"/>
  <c r="AT201" i="13"/>
  <c r="AW201" i="13"/>
  <c r="AZ201" i="13"/>
  <c r="BC201" i="13"/>
  <c r="BF201" i="13"/>
  <c r="V202" i="13"/>
  <c r="BH202" i="13" s="1"/>
  <c r="Y202" i="13"/>
  <c r="AB202" i="13"/>
  <c r="AE202" i="13"/>
  <c r="AH202" i="13"/>
  <c r="AK202" i="13"/>
  <c r="AN202" i="13"/>
  <c r="AQ202" i="13"/>
  <c r="AT202" i="13"/>
  <c r="AW202" i="13"/>
  <c r="AZ202" i="13"/>
  <c r="BC202" i="13"/>
  <c r="BF202" i="13"/>
  <c r="V203" i="13"/>
  <c r="BH203" i="13" s="1"/>
  <c r="Y203" i="13"/>
  <c r="AB203" i="13"/>
  <c r="AE203" i="13"/>
  <c r="AH203" i="13"/>
  <c r="AK203" i="13"/>
  <c r="AN203" i="13"/>
  <c r="AQ203" i="13"/>
  <c r="AT203" i="13"/>
  <c r="AW203" i="13"/>
  <c r="AZ203" i="13"/>
  <c r="BC203" i="13"/>
  <c r="BF203" i="13"/>
  <c r="V204" i="13"/>
  <c r="BH204" i="13" s="1"/>
  <c r="Y204" i="13"/>
  <c r="AB204" i="13"/>
  <c r="AE204" i="13"/>
  <c r="AH204" i="13"/>
  <c r="AK204" i="13"/>
  <c r="AN204" i="13"/>
  <c r="AQ204" i="13"/>
  <c r="AT204" i="13"/>
  <c r="AW204" i="13"/>
  <c r="AZ204" i="13"/>
  <c r="BC204" i="13"/>
  <c r="BF204" i="13"/>
  <c r="BF7" i="13"/>
  <c r="BC7" i="13"/>
  <c r="AZ7" i="13"/>
  <c r="AW7" i="13"/>
  <c r="AT7" i="13"/>
  <c r="AQ7" i="13"/>
  <c r="AN7" i="13"/>
  <c r="AK7" i="13"/>
  <c r="AH7" i="13"/>
  <c r="AE7" i="13"/>
  <c r="AB7" i="13"/>
  <c r="Y7" i="13"/>
  <c r="BH7" i="13"/>
  <c r="F205" i="6"/>
  <c r="L205" i="13" s="1"/>
  <c r="F206" i="6"/>
  <c r="L206" i="13" s="1"/>
  <c r="F207" i="6"/>
  <c r="L207" i="13" s="1"/>
  <c r="F208" i="6"/>
  <c r="L208" i="13" s="1"/>
  <c r="F209" i="6"/>
  <c r="L209" i="13" s="1"/>
  <c r="F210" i="6"/>
  <c r="L210" i="13" s="1"/>
  <c r="F211" i="6"/>
  <c r="L211" i="13" s="1"/>
  <c r="F212" i="6"/>
  <c r="L212" i="13" s="1"/>
  <c r="G205" i="6"/>
  <c r="N205" i="13" s="1"/>
  <c r="G206" i="6"/>
  <c r="N206" i="13" s="1"/>
  <c r="G207" i="6"/>
  <c r="N207" i="13" s="1"/>
  <c r="G208" i="6"/>
  <c r="N208" i="13" s="1"/>
  <c r="G209" i="6"/>
  <c r="N209" i="13" s="1"/>
  <c r="G210" i="6"/>
  <c r="N210" i="13" s="1"/>
  <c r="G211" i="6"/>
  <c r="N211" i="13" s="1"/>
  <c r="G212" i="6"/>
  <c r="N212" i="13" s="1"/>
  <c r="H205" i="6"/>
  <c r="P205" i="13" s="1"/>
  <c r="H206" i="6"/>
  <c r="P206" i="13" s="1"/>
  <c r="H207" i="6"/>
  <c r="P207" i="13" s="1"/>
  <c r="H208" i="6"/>
  <c r="P208" i="13" s="1"/>
  <c r="H209" i="6"/>
  <c r="P209" i="13" s="1"/>
  <c r="H210" i="6"/>
  <c r="P210" i="13" s="1"/>
  <c r="H211" i="6"/>
  <c r="P211" i="13" s="1"/>
  <c r="H212" i="6"/>
  <c r="P212" i="13" s="1"/>
  <c r="B205" i="2"/>
  <c r="C205" i="2"/>
  <c r="E205" i="2"/>
  <c r="F205" i="2"/>
  <c r="G205" i="2"/>
  <c r="H205" i="2"/>
  <c r="I205" i="2"/>
  <c r="J205" i="2"/>
  <c r="K205" i="2"/>
  <c r="L205" i="2"/>
  <c r="M205" i="2"/>
  <c r="N205" i="2"/>
  <c r="O205" i="2"/>
  <c r="P205" i="2"/>
  <c r="D205" i="2" s="1"/>
  <c r="B206" i="2"/>
  <c r="C206" i="2"/>
  <c r="E206" i="2"/>
  <c r="F206" i="2"/>
  <c r="G206" i="2"/>
  <c r="H206" i="2"/>
  <c r="I206" i="2"/>
  <c r="J206" i="2"/>
  <c r="K206" i="2"/>
  <c r="L206" i="2"/>
  <c r="M206" i="2"/>
  <c r="N206" i="2"/>
  <c r="O206" i="2"/>
  <c r="P206" i="2"/>
  <c r="D206" i="2" s="1"/>
  <c r="B207" i="2"/>
  <c r="C207" i="2"/>
  <c r="E207" i="2"/>
  <c r="F207" i="2"/>
  <c r="G207" i="2"/>
  <c r="H207" i="2"/>
  <c r="I207" i="2"/>
  <c r="J207" i="2"/>
  <c r="K207" i="2"/>
  <c r="L207" i="2"/>
  <c r="M207" i="2"/>
  <c r="N207" i="2"/>
  <c r="O207" i="2"/>
  <c r="P207" i="2"/>
  <c r="D207" i="2" s="1"/>
  <c r="B208" i="2"/>
  <c r="C208" i="2"/>
  <c r="E208" i="2"/>
  <c r="F208" i="2"/>
  <c r="G208" i="2"/>
  <c r="H208" i="2"/>
  <c r="I208" i="2"/>
  <c r="J208" i="2"/>
  <c r="K208" i="2"/>
  <c r="L208" i="2"/>
  <c r="M208" i="2"/>
  <c r="N208" i="2"/>
  <c r="O208" i="2"/>
  <c r="P208" i="2"/>
  <c r="D208" i="2" s="1"/>
  <c r="B209" i="2"/>
  <c r="C209" i="2"/>
  <c r="E209" i="2"/>
  <c r="F209" i="2"/>
  <c r="G209" i="2"/>
  <c r="H209" i="2"/>
  <c r="I209" i="2"/>
  <c r="J209" i="2"/>
  <c r="K209" i="2"/>
  <c r="L209" i="2"/>
  <c r="M209" i="2"/>
  <c r="N209" i="2"/>
  <c r="O209" i="2"/>
  <c r="P209" i="2"/>
  <c r="D209" i="2" s="1"/>
  <c r="B210" i="2"/>
  <c r="C210" i="2"/>
  <c r="E210" i="2"/>
  <c r="F210" i="2"/>
  <c r="G210" i="2"/>
  <c r="H210" i="2"/>
  <c r="I210" i="2"/>
  <c r="J210" i="2"/>
  <c r="K210" i="2"/>
  <c r="L210" i="2"/>
  <c r="M210" i="2"/>
  <c r="N210" i="2"/>
  <c r="O210" i="2"/>
  <c r="P210" i="2"/>
  <c r="D210" i="2" s="1"/>
  <c r="B211" i="2"/>
  <c r="C211" i="2"/>
  <c r="E211" i="2"/>
  <c r="F211" i="2"/>
  <c r="G211" i="2"/>
  <c r="H211" i="2"/>
  <c r="I211" i="2"/>
  <c r="J211" i="2"/>
  <c r="K211" i="2"/>
  <c r="L211" i="2"/>
  <c r="M211" i="2"/>
  <c r="N211" i="2"/>
  <c r="O211" i="2"/>
  <c r="P211" i="2"/>
  <c r="D211" i="2" s="1"/>
  <c r="B212" i="2"/>
  <c r="C212" i="2"/>
  <c r="E212" i="2"/>
  <c r="F212" i="2"/>
  <c r="G212" i="2"/>
  <c r="H212" i="2"/>
  <c r="I212" i="2"/>
  <c r="J212" i="2"/>
  <c r="K212" i="2"/>
  <c r="L212" i="2"/>
  <c r="M212" i="2"/>
  <c r="N212" i="2"/>
  <c r="O212" i="2"/>
  <c r="P212" i="2"/>
  <c r="D212" i="2" s="1"/>
  <c r="B213" i="2"/>
  <c r="C213" i="2"/>
  <c r="E213" i="2"/>
  <c r="F213" i="2"/>
  <c r="G213" i="2"/>
  <c r="H213" i="2"/>
  <c r="I213" i="2"/>
  <c r="J213" i="2"/>
  <c r="K213" i="2"/>
  <c r="L213" i="2"/>
  <c r="M213" i="2"/>
  <c r="N213" i="2"/>
  <c r="O213" i="2"/>
  <c r="P213" i="2"/>
  <c r="D213" i="2" s="1"/>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7" i="12"/>
  <c r="C208" i="12"/>
  <c r="C209" i="12"/>
  <c r="C210" i="12"/>
  <c r="C211" i="12"/>
  <c r="C212" i="12"/>
  <c r="C213"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29" i="12"/>
  <c r="C130" i="12"/>
  <c r="C131" i="12"/>
  <c r="C132" i="12"/>
  <c r="C133" i="12"/>
  <c r="C134" i="12"/>
  <c r="C135" i="12"/>
  <c r="C136" i="12"/>
  <c r="C137" i="12"/>
  <c r="C138" i="12"/>
  <c r="C120" i="12"/>
  <c r="C121" i="12"/>
  <c r="C122" i="12"/>
  <c r="C123" i="12"/>
  <c r="C124" i="12"/>
  <c r="C125" i="12"/>
  <c r="C126" i="12"/>
  <c r="C127" i="12"/>
  <c r="C128" i="12"/>
  <c r="C113" i="12"/>
  <c r="C114" i="12"/>
  <c r="C115" i="12"/>
  <c r="C116" i="12"/>
  <c r="C117" i="12"/>
  <c r="C118" i="12"/>
  <c r="C119" i="12"/>
  <c r="C102" i="12"/>
  <c r="C103" i="12"/>
  <c r="C104" i="12"/>
  <c r="C105" i="12"/>
  <c r="C106" i="12"/>
  <c r="C107" i="12"/>
  <c r="C108" i="12"/>
  <c r="C109" i="12"/>
  <c r="C110" i="12"/>
  <c r="C111" i="12"/>
  <c r="C112" i="12"/>
  <c r="C93" i="12"/>
  <c r="C94" i="12"/>
  <c r="C95" i="12"/>
  <c r="C96" i="12"/>
  <c r="C97" i="12"/>
  <c r="C98" i="12"/>
  <c r="C99" i="12"/>
  <c r="C100" i="12"/>
  <c r="C101" i="12"/>
  <c r="C85" i="12"/>
  <c r="C86" i="12"/>
  <c r="C87" i="12"/>
  <c r="C88" i="12"/>
  <c r="C89" i="12"/>
  <c r="C90" i="12"/>
  <c r="C91" i="12"/>
  <c r="C92" i="12"/>
  <c r="C79" i="12"/>
  <c r="C80" i="12"/>
  <c r="C81" i="12"/>
  <c r="C82" i="12"/>
  <c r="C83" i="12"/>
  <c r="C84" i="12"/>
  <c r="C74" i="12"/>
  <c r="C75" i="12"/>
  <c r="C76" i="12"/>
  <c r="C77" i="12"/>
  <c r="C78" i="12"/>
  <c r="C70" i="12"/>
  <c r="C71" i="12"/>
  <c r="C72" i="12"/>
  <c r="C73" i="12"/>
  <c r="C68" i="12"/>
  <c r="C69" i="12"/>
  <c r="C65" i="12"/>
  <c r="C66" i="12"/>
  <c r="C67" i="12"/>
  <c r="C61" i="12"/>
  <c r="C62" i="12"/>
  <c r="C63" i="12"/>
  <c r="C64" i="12"/>
  <c r="C51" i="12"/>
  <c r="C52" i="12"/>
  <c r="C53" i="12"/>
  <c r="C54" i="12"/>
  <c r="C55" i="12"/>
  <c r="C56" i="12"/>
  <c r="C57" i="12"/>
  <c r="C58" i="12"/>
  <c r="C59" i="12"/>
  <c r="C60" i="12"/>
  <c r="C46" i="12"/>
  <c r="C47" i="12"/>
  <c r="C48" i="12"/>
  <c r="C49" i="12"/>
  <c r="C50" i="12"/>
  <c r="C38" i="12"/>
  <c r="C39" i="12"/>
  <c r="C40" i="12"/>
  <c r="C41" i="12"/>
  <c r="C42" i="12"/>
  <c r="C43" i="12"/>
  <c r="C44" i="12"/>
  <c r="C45" i="12"/>
  <c r="C23" i="12"/>
  <c r="C24" i="12"/>
  <c r="C25" i="12"/>
  <c r="C26" i="12"/>
  <c r="C27" i="12"/>
  <c r="C28" i="12"/>
  <c r="C29" i="12"/>
  <c r="C30" i="12"/>
  <c r="C31" i="12"/>
  <c r="C32" i="12"/>
  <c r="C33" i="12"/>
  <c r="C34" i="12"/>
  <c r="C35" i="12"/>
  <c r="C36" i="12"/>
  <c r="C37" i="12"/>
  <c r="C21" i="12"/>
  <c r="C22" i="12"/>
  <c r="C18" i="12"/>
  <c r="C19" i="12"/>
  <c r="C20" i="12"/>
  <c r="C11" i="12"/>
  <c r="C12" i="12"/>
  <c r="C13" i="12"/>
  <c r="C14" i="12"/>
  <c r="C15" i="12"/>
  <c r="C16" i="12"/>
  <c r="C17" i="12"/>
  <c r="C8" i="12"/>
  <c r="C9" i="12"/>
  <c r="C10" i="12"/>
  <c r="C7"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H5" i="6"/>
  <c r="G5" i="6"/>
  <c r="F5" i="6"/>
  <c r="E5" i="6"/>
  <c r="D5" i="6"/>
  <c r="B8" i="6"/>
  <c r="C8" i="13" s="1"/>
  <c r="B9" i="6"/>
  <c r="C9" i="13" s="1"/>
  <c r="B10" i="6"/>
  <c r="C10" i="13" s="1"/>
  <c r="B11" i="6"/>
  <c r="C11" i="13" s="1"/>
  <c r="B12" i="6"/>
  <c r="C12" i="13" s="1"/>
  <c r="B13" i="6"/>
  <c r="C13" i="13" s="1"/>
  <c r="B14" i="6"/>
  <c r="C14" i="13" s="1"/>
  <c r="B15" i="6"/>
  <c r="C15" i="13" s="1"/>
  <c r="B16" i="6"/>
  <c r="C16" i="13" s="1"/>
  <c r="B17" i="6"/>
  <c r="C17" i="13" s="1"/>
  <c r="B18" i="6"/>
  <c r="C18" i="13" s="1"/>
  <c r="B19" i="6"/>
  <c r="C19" i="13" s="1"/>
  <c r="B20" i="6"/>
  <c r="C20" i="13" s="1"/>
  <c r="B21" i="6"/>
  <c r="C21" i="13" s="1"/>
  <c r="B22" i="6"/>
  <c r="C22" i="13" s="1"/>
  <c r="B23" i="6"/>
  <c r="C23" i="13" s="1"/>
  <c r="B24" i="6"/>
  <c r="C24" i="13" s="1"/>
  <c r="B25" i="6"/>
  <c r="C25" i="13" s="1"/>
  <c r="B26" i="6"/>
  <c r="C26" i="13" s="1"/>
  <c r="B27" i="6"/>
  <c r="C27" i="13" s="1"/>
  <c r="B28" i="6"/>
  <c r="C28" i="13" s="1"/>
  <c r="B29" i="6"/>
  <c r="C29" i="13" s="1"/>
  <c r="B30" i="6"/>
  <c r="C30" i="13" s="1"/>
  <c r="B31" i="6"/>
  <c r="C31" i="13" s="1"/>
  <c r="B32" i="6"/>
  <c r="C32" i="13" s="1"/>
  <c r="B33" i="6"/>
  <c r="C33" i="13" s="1"/>
  <c r="B34" i="6"/>
  <c r="C34" i="13" s="1"/>
  <c r="B35" i="6"/>
  <c r="C35" i="13" s="1"/>
  <c r="B36" i="6"/>
  <c r="C36" i="13" s="1"/>
  <c r="B37" i="6"/>
  <c r="C37" i="13" s="1"/>
  <c r="B38" i="6"/>
  <c r="C38" i="13" s="1"/>
  <c r="B39" i="6"/>
  <c r="C39" i="13" s="1"/>
  <c r="B40" i="6"/>
  <c r="C40" i="13" s="1"/>
  <c r="B41" i="6"/>
  <c r="C41" i="13" s="1"/>
  <c r="B42" i="6"/>
  <c r="C42" i="13" s="1"/>
  <c r="B43" i="6"/>
  <c r="C43" i="13" s="1"/>
  <c r="B44" i="6"/>
  <c r="C44" i="13" s="1"/>
  <c r="B45" i="6"/>
  <c r="C45" i="13" s="1"/>
  <c r="B46" i="6"/>
  <c r="C46" i="13" s="1"/>
  <c r="B47" i="6"/>
  <c r="C47" i="13" s="1"/>
  <c r="B48" i="6"/>
  <c r="C48" i="13" s="1"/>
  <c r="B49" i="6"/>
  <c r="C49" i="13" s="1"/>
  <c r="B50" i="6"/>
  <c r="C50" i="13" s="1"/>
  <c r="B51" i="6"/>
  <c r="C51" i="13" s="1"/>
  <c r="B52" i="6"/>
  <c r="C52" i="13" s="1"/>
  <c r="B53" i="6"/>
  <c r="C53" i="13" s="1"/>
  <c r="B54" i="6"/>
  <c r="C54" i="13" s="1"/>
  <c r="B55" i="6"/>
  <c r="C55" i="13" s="1"/>
  <c r="B56" i="6"/>
  <c r="C56" i="13" s="1"/>
  <c r="B57" i="6"/>
  <c r="C57" i="13" s="1"/>
  <c r="B58" i="6"/>
  <c r="C58" i="13" s="1"/>
  <c r="B59" i="6"/>
  <c r="C59" i="13" s="1"/>
  <c r="B60" i="6"/>
  <c r="C60" i="13" s="1"/>
  <c r="B61" i="6"/>
  <c r="C61" i="13" s="1"/>
  <c r="B62" i="6"/>
  <c r="C62" i="13" s="1"/>
  <c r="B63" i="6"/>
  <c r="C63" i="13" s="1"/>
  <c r="B64" i="6"/>
  <c r="C64" i="13" s="1"/>
  <c r="B65" i="6"/>
  <c r="C65" i="13" s="1"/>
  <c r="B66" i="6"/>
  <c r="C66" i="13" s="1"/>
  <c r="B67" i="6"/>
  <c r="C67" i="13" s="1"/>
  <c r="B68" i="6"/>
  <c r="C68" i="13" s="1"/>
  <c r="B69" i="6"/>
  <c r="C69" i="13" s="1"/>
  <c r="B70" i="6"/>
  <c r="C70" i="13" s="1"/>
  <c r="B71" i="6"/>
  <c r="C71" i="13" s="1"/>
  <c r="B72" i="6"/>
  <c r="C72" i="13" s="1"/>
  <c r="B73" i="6"/>
  <c r="C73" i="13" s="1"/>
  <c r="B74" i="6"/>
  <c r="C74" i="13" s="1"/>
  <c r="B75" i="6"/>
  <c r="C75" i="13" s="1"/>
  <c r="B76" i="6"/>
  <c r="C76" i="13" s="1"/>
  <c r="B77" i="6"/>
  <c r="C77" i="13" s="1"/>
  <c r="B78" i="6"/>
  <c r="C78" i="13" s="1"/>
  <c r="B79" i="6"/>
  <c r="C79" i="13" s="1"/>
  <c r="B80" i="6"/>
  <c r="C80" i="13" s="1"/>
  <c r="B81" i="6"/>
  <c r="C81" i="13" s="1"/>
  <c r="B82" i="6"/>
  <c r="C82" i="13" s="1"/>
  <c r="B83" i="6"/>
  <c r="C83" i="13" s="1"/>
  <c r="B84" i="6"/>
  <c r="C84" i="13" s="1"/>
  <c r="B85" i="6"/>
  <c r="C85" i="13" s="1"/>
  <c r="B86" i="6"/>
  <c r="C86" i="13" s="1"/>
  <c r="B87" i="6"/>
  <c r="C87" i="13" s="1"/>
  <c r="B88" i="6"/>
  <c r="C88" i="13" s="1"/>
  <c r="B89" i="6"/>
  <c r="C89" i="13" s="1"/>
  <c r="B90" i="6"/>
  <c r="C90" i="13" s="1"/>
  <c r="B91" i="6"/>
  <c r="C91" i="13" s="1"/>
  <c r="B92" i="6"/>
  <c r="C92" i="13" s="1"/>
  <c r="B93" i="6"/>
  <c r="C93" i="13" s="1"/>
  <c r="B94" i="6"/>
  <c r="C94" i="13" s="1"/>
  <c r="B95" i="6"/>
  <c r="C95" i="13" s="1"/>
  <c r="B96" i="6"/>
  <c r="C96" i="13" s="1"/>
  <c r="B97" i="6"/>
  <c r="C97" i="13" s="1"/>
  <c r="B98" i="6"/>
  <c r="C98" i="13" s="1"/>
  <c r="B99" i="6"/>
  <c r="C99" i="13" s="1"/>
  <c r="B100" i="6"/>
  <c r="C100" i="13" s="1"/>
  <c r="B101" i="6"/>
  <c r="C101" i="13" s="1"/>
  <c r="B102" i="6"/>
  <c r="C102" i="13" s="1"/>
  <c r="B103" i="6"/>
  <c r="C103" i="13" s="1"/>
  <c r="B104" i="6"/>
  <c r="C104" i="13" s="1"/>
  <c r="B105" i="6"/>
  <c r="C105" i="13" s="1"/>
  <c r="B106" i="6"/>
  <c r="C106" i="13" s="1"/>
  <c r="B107" i="6"/>
  <c r="C107" i="13" s="1"/>
  <c r="B108" i="6"/>
  <c r="C108" i="13" s="1"/>
  <c r="B109" i="6"/>
  <c r="C109" i="13" s="1"/>
  <c r="B110" i="6"/>
  <c r="C110" i="13" s="1"/>
  <c r="B111" i="6"/>
  <c r="C111" i="13" s="1"/>
  <c r="B112" i="6"/>
  <c r="C112" i="13" s="1"/>
  <c r="B113" i="6"/>
  <c r="C113" i="13" s="1"/>
  <c r="B114" i="6"/>
  <c r="C114" i="13" s="1"/>
  <c r="B115" i="6"/>
  <c r="C115" i="13" s="1"/>
  <c r="B116" i="6"/>
  <c r="C116" i="13" s="1"/>
  <c r="B117" i="6"/>
  <c r="C117" i="13" s="1"/>
  <c r="B118" i="6"/>
  <c r="C118" i="13" s="1"/>
  <c r="B119" i="6"/>
  <c r="C119" i="13" s="1"/>
  <c r="B120" i="6"/>
  <c r="C120" i="13" s="1"/>
  <c r="B121" i="6"/>
  <c r="C121" i="13" s="1"/>
  <c r="B122" i="6"/>
  <c r="C122" i="13" s="1"/>
  <c r="B123" i="6"/>
  <c r="C123" i="13" s="1"/>
  <c r="B124" i="6"/>
  <c r="C124" i="13" s="1"/>
  <c r="B125" i="6"/>
  <c r="C125" i="13" s="1"/>
  <c r="B126" i="6"/>
  <c r="C126" i="13" s="1"/>
  <c r="B127" i="6"/>
  <c r="C127" i="13" s="1"/>
  <c r="B128" i="6"/>
  <c r="C128" i="13" s="1"/>
  <c r="B129" i="6"/>
  <c r="C129" i="13" s="1"/>
  <c r="B130" i="6"/>
  <c r="C130" i="13" s="1"/>
  <c r="B131" i="6"/>
  <c r="C131" i="13" s="1"/>
  <c r="B132" i="6"/>
  <c r="C132" i="13" s="1"/>
  <c r="B133" i="6"/>
  <c r="C133" i="13" s="1"/>
  <c r="B134" i="6"/>
  <c r="C134" i="13" s="1"/>
  <c r="B135" i="6"/>
  <c r="C135" i="13" s="1"/>
  <c r="B136" i="6"/>
  <c r="C136" i="13" s="1"/>
  <c r="B137" i="6"/>
  <c r="C137" i="13" s="1"/>
  <c r="B138" i="6"/>
  <c r="C138" i="13" s="1"/>
  <c r="B139" i="6"/>
  <c r="C139" i="13" s="1"/>
  <c r="B140" i="6"/>
  <c r="C140" i="13" s="1"/>
  <c r="B141" i="6"/>
  <c r="C141" i="13" s="1"/>
  <c r="B142" i="6"/>
  <c r="C142" i="13" s="1"/>
  <c r="B143" i="6"/>
  <c r="C143" i="13" s="1"/>
  <c r="B144" i="6"/>
  <c r="C144" i="13" s="1"/>
  <c r="B145" i="6"/>
  <c r="C145" i="13" s="1"/>
  <c r="B146" i="6"/>
  <c r="C146" i="13" s="1"/>
  <c r="B147" i="6"/>
  <c r="C147" i="13" s="1"/>
  <c r="B148" i="6"/>
  <c r="C148" i="13" s="1"/>
  <c r="B149" i="6"/>
  <c r="C149" i="13" s="1"/>
  <c r="B150" i="6"/>
  <c r="C150" i="13" s="1"/>
  <c r="B151" i="6"/>
  <c r="C151" i="13" s="1"/>
  <c r="B152" i="6"/>
  <c r="C152" i="13" s="1"/>
  <c r="B153" i="6"/>
  <c r="C153" i="13" s="1"/>
  <c r="B154" i="6"/>
  <c r="C154" i="13" s="1"/>
  <c r="B155" i="6"/>
  <c r="C155" i="13" s="1"/>
  <c r="B156" i="6"/>
  <c r="C156" i="13" s="1"/>
  <c r="B157" i="6"/>
  <c r="C157" i="13" s="1"/>
  <c r="B158" i="6"/>
  <c r="C158" i="13" s="1"/>
  <c r="B159" i="6"/>
  <c r="C159" i="13" s="1"/>
  <c r="B160" i="6"/>
  <c r="C160" i="13" s="1"/>
  <c r="B161" i="6"/>
  <c r="C161" i="13" s="1"/>
  <c r="B162" i="6"/>
  <c r="C162" i="13" s="1"/>
  <c r="B163" i="6"/>
  <c r="C163" i="13" s="1"/>
  <c r="B164" i="6"/>
  <c r="C164" i="13" s="1"/>
  <c r="B165" i="6"/>
  <c r="C165" i="13" s="1"/>
  <c r="B166" i="6"/>
  <c r="C166" i="13" s="1"/>
  <c r="B167" i="6"/>
  <c r="C167" i="13" s="1"/>
  <c r="B168" i="6"/>
  <c r="C168" i="13" s="1"/>
  <c r="B169" i="6"/>
  <c r="C169" i="13" s="1"/>
  <c r="B170" i="6"/>
  <c r="C170" i="13" s="1"/>
  <c r="B171" i="6"/>
  <c r="C171" i="13" s="1"/>
  <c r="B172" i="6"/>
  <c r="C172" i="13" s="1"/>
  <c r="B173" i="6"/>
  <c r="C173" i="13" s="1"/>
  <c r="B174" i="6"/>
  <c r="C174" i="13" s="1"/>
  <c r="B175" i="6"/>
  <c r="C175" i="13" s="1"/>
  <c r="B176" i="6"/>
  <c r="C176" i="13" s="1"/>
  <c r="B177" i="6"/>
  <c r="C177" i="13" s="1"/>
  <c r="B178" i="6"/>
  <c r="C178" i="13" s="1"/>
  <c r="B179" i="6"/>
  <c r="C179" i="13" s="1"/>
  <c r="B180" i="6"/>
  <c r="C180" i="13" s="1"/>
  <c r="B181" i="6"/>
  <c r="C181" i="13" s="1"/>
  <c r="B182" i="6"/>
  <c r="C182" i="13" s="1"/>
  <c r="B183" i="6"/>
  <c r="C183" i="13" s="1"/>
  <c r="B184" i="6"/>
  <c r="C184" i="13" s="1"/>
  <c r="B185" i="6"/>
  <c r="C185" i="13" s="1"/>
  <c r="B186" i="6"/>
  <c r="C186" i="13" s="1"/>
  <c r="B187" i="6"/>
  <c r="C187" i="13" s="1"/>
  <c r="B188" i="6"/>
  <c r="C188" i="13" s="1"/>
  <c r="B189" i="6"/>
  <c r="C189" i="13" s="1"/>
  <c r="B190" i="6"/>
  <c r="C190" i="13" s="1"/>
  <c r="B191" i="6"/>
  <c r="C191" i="13" s="1"/>
  <c r="B192" i="6"/>
  <c r="C192" i="13" s="1"/>
  <c r="B193" i="6"/>
  <c r="C193" i="13" s="1"/>
  <c r="B194" i="6"/>
  <c r="C194" i="13" s="1"/>
  <c r="B195" i="6"/>
  <c r="C195" i="13" s="1"/>
  <c r="B196" i="6"/>
  <c r="C196" i="13" s="1"/>
  <c r="B197" i="6"/>
  <c r="C197" i="13" s="1"/>
  <c r="B198" i="6"/>
  <c r="C198" i="13" s="1"/>
  <c r="B199" i="6"/>
  <c r="C199" i="13" s="1"/>
  <c r="B200" i="6"/>
  <c r="C200" i="13" s="1"/>
  <c r="B201" i="6"/>
  <c r="C201" i="13" s="1"/>
  <c r="B202" i="6"/>
  <c r="C202" i="13" s="1"/>
  <c r="B203" i="6"/>
  <c r="C203" i="13" s="1"/>
  <c r="B204" i="6"/>
  <c r="C204" i="13" s="1"/>
  <c r="B7" i="6"/>
  <c r="C7" i="13" s="1"/>
  <c r="A8" i="6"/>
  <c r="A8" i="13" s="1"/>
  <c r="A9" i="6"/>
  <c r="A9" i="13" s="1"/>
  <c r="A10" i="6"/>
  <c r="A10" i="13" s="1"/>
  <c r="A11" i="6"/>
  <c r="A11" i="13" s="1"/>
  <c r="A12" i="6"/>
  <c r="A12" i="13" s="1"/>
  <c r="A13" i="6"/>
  <c r="A13" i="13" s="1"/>
  <c r="A14" i="6"/>
  <c r="A14" i="13" s="1"/>
  <c r="A15" i="6"/>
  <c r="A15" i="13" s="1"/>
  <c r="A16" i="6"/>
  <c r="A16" i="13" s="1"/>
  <c r="A17" i="6"/>
  <c r="A17" i="13" s="1"/>
  <c r="A18" i="6"/>
  <c r="A18" i="13" s="1"/>
  <c r="A19" i="6"/>
  <c r="A19" i="13" s="1"/>
  <c r="A20" i="6"/>
  <c r="A20" i="13" s="1"/>
  <c r="A21" i="6"/>
  <c r="A21" i="13" s="1"/>
  <c r="A22" i="6"/>
  <c r="A22" i="13" s="1"/>
  <c r="A23" i="6"/>
  <c r="A23" i="13" s="1"/>
  <c r="A24" i="6"/>
  <c r="A24" i="13" s="1"/>
  <c r="A25" i="6"/>
  <c r="A25" i="13" s="1"/>
  <c r="A26" i="6"/>
  <c r="A26" i="13" s="1"/>
  <c r="A27" i="6"/>
  <c r="A27" i="13" s="1"/>
  <c r="A28" i="6"/>
  <c r="A28" i="13" s="1"/>
  <c r="A29" i="6"/>
  <c r="A29" i="13" s="1"/>
  <c r="A30" i="6"/>
  <c r="A30" i="13" s="1"/>
  <c r="A31" i="6"/>
  <c r="A31" i="13" s="1"/>
  <c r="A32" i="6"/>
  <c r="A32" i="13" s="1"/>
  <c r="A33" i="6"/>
  <c r="A33" i="13" s="1"/>
  <c r="A34" i="6"/>
  <c r="A34" i="13" s="1"/>
  <c r="A35" i="6"/>
  <c r="A35" i="13" s="1"/>
  <c r="A36" i="6"/>
  <c r="A36" i="13" s="1"/>
  <c r="A37" i="6"/>
  <c r="A37" i="13" s="1"/>
  <c r="A38" i="6"/>
  <c r="A38" i="13" s="1"/>
  <c r="A39" i="6"/>
  <c r="A39" i="13" s="1"/>
  <c r="A40" i="6"/>
  <c r="A40" i="13" s="1"/>
  <c r="A41" i="6"/>
  <c r="A41" i="13" s="1"/>
  <c r="A42" i="6"/>
  <c r="A42" i="13" s="1"/>
  <c r="A43" i="6"/>
  <c r="A43" i="13" s="1"/>
  <c r="A44" i="6"/>
  <c r="A44" i="13" s="1"/>
  <c r="A45" i="6"/>
  <c r="A45" i="13" s="1"/>
  <c r="A46" i="6"/>
  <c r="A46" i="13" s="1"/>
  <c r="A47" i="6"/>
  <c r="A47" i="13" s="1"/>
  <c r="A48" i="6"/>
  <c r="A48" i="13" s="1"/>
  <c r="A49" i="6"/>
  <c r="A49" i="13" s="1"/>
  <c r="A50" i="6"/>
  <c r="A50" i="13" s="1"/>
  <c r="A51" i="6"/>
  <c r="A51" i="13" s="1"/>
  <c r="A52" i="6"/>
  <c r="A52" i="13" s="1"/>
  <c r="A53" i="6"/>
  <c r="A53" i="13" s="1"/>
  <c r="A54" i="6"/>
  <c r="A54" i="13" s="1"/>
  <c r="A55" i="6"/>
  <c r="A55" i="13" s="1"/>
  <c r="A56" i="6"/>
  <c r="A56" i="13" s="1"/>
  <c r="A57" i="6"/>
  <c r="A57" i="13" s="1"/>
  <c r="A58" i="6"/>
  <c r="A58" i="13" s="1"/>
  <c r="A59" i="6"/>
  <c r="A59" i="13" s="1"/>
  <c r="A60" i="6"/>
  <c r="A60" i="13" s="1"/>
  <c r="A61" i="6"/>
  <c r="A61" i="13" s="1"/>
  <c r="A62" i="6"/>
  <c r="A62" i="13" s="1"/>
  <c r="A63" i="6"/>
  <c r="A63" i="13" s="1"/>
  <c r="A64" i="6"/>
  <c r="A64" i="13" s="1"/>
  <c r="A65" i="6"/>
  <c r="A65" i="13" s="1"/>
  <c r="A66" i="6"/>
  <c r="A66" i="13" s="1"/>
  <c r="A67" i="6"/>
  <c r="A67" i="13" s="1"/>
  <c r="A68" i="6"/>
  <c r="A68" i="13" s="1"/>
  <c r="A69" i="6"/>
  <c r="A69" i="13" s="1"/>
  <c r="A70" i="6"/>
  <c r="A70" i="13" s="1"/>
  <c r="A71" i="6"/>
  <c r="A71" i="13" s="1"/>
  <c r="A72" i="6"/>
  <c r="A72" i="13" s="1"/>
  <c r="A73" i="6"/>
  <c r="A73" i="13" s="1"/>
  <c r="A74" i="6"/>
  <c r="A74" i="13" s="1"/>
  <c r="A75" i="6"/>
  <c r="A75" i="13" s="1"/>
  <c r="A76" i="6"/>
  <c r="A76" i="13" s="1"/>
  <c r="A77" i="6"/>
  <c r="A77" i="13" s="1"/>
  <c r="A78" i="6"/>
  <c r="A78" i="13" s="1"/>
  <c r="A79" i="6"/>
  <c r="A79" i="13" s="1"/>
  <c r="A80" i="6"/>
  <c r="A80" i="13" s="1"/>
  <c r="A81" i="6"/>
  <c r="A81" i="13" s="1"/>
  <c r="A82" i="6"/>
  <c r="A82" i="13" s="1"/>
  <c r="A83" i="6"/>
  <c r="A83" i="13" s="1"/>
  <c r="A84" i="6"/>
  <c r="A84" i="13" s="1"/>
  <c r="A85" i="6"/>
  <c r="A85" i="13" s="1"/>
  <c r="A86" i="6"/>
  <c r="A86" i="13" s="1"/>
  <c r="A87" i="6"/>
  <c r="A87" i="13" s="1"/>
  <c r="A88" i="6"/>
  <c r="A88" i="13" s="1"/>
  <c r="A89" i="6"/>
  <c r="A89" i="13" s="1"/>
  <c r="A90" i="6"/>
  <c r="A90" i="13" s="1"/>
  <c r="A91" i="6"/>
  <c r="A91" i="13" s="1"/>
  <c r="A92" i="6"/>
  <c r="A92" i="13" s="1"/>
  <c r="A93" i="6"/>
  <c r="A93" i="13" s="1"/>
  <c r="A94" i="6"/>
  <c r="A94" i="13" s="1"/>
  <c r="A95" i="6"/>
  <c r="A95" i="13" s="1"/>
  <c r="A96" i="6"/>
  <c r="A96" i="13" s="1"/>
  <c r="A97" i="6"/>
  <c r="A97" i="13" s="1"/>
  <c r="A98" i="6"/>
  <c r="A98" i="13" s="1"/>
  <c r="A99" i="6"/>
  <c r="A99" i="13" s="1"/>
  <c r="A100" i="6"/>
  <c r="A100" i="13" s="1"/>
  <c r="A101" i="6"/>
  <c r="A101" i="13" s="1"/>
  <c r="A102" i="6"/>
  <c r="A102" i="13" s="1"/>
  <c r="A103" i="6"/>
  <c r="A103" i="13" s="1"/>
  <c r="A104" i="6"/>
  <c r="A104" i="13" s="1"/>
  <c r="A105" i="6"/>
  <c r="A105" i="13" s="1"/>
  <c r="A106" i="6"/>
  <c r="A106" i="13" s="1"/>
  <c r="A107" i="6"/>
  <c r="A107" i="13" s="1"/>
  <c r="A108" i="6"/>
  <c r="A108" i="13" s="1"/>
  <c r="A109" i="6"/>
  <c r="A109" i="13" s="1"/>
  <c r="A110" i="6"/>
  <c r="A110" i="13" s="1"/>
  <c r="A111" i="6"/>
  <c r="A111" i="13" s="1"/>
  <c r="A112" i="6"/>
  <c r="A112" i="13" s="1"/>
  <c r="A113" i="6"/>
  <c r="A113" i="13" s="1"/>
  <c r="A114" i="6"/>
  <c r="A114" i="13" s="1"/>
  <c r="A115" i="6"/>
  <c r="A115" i="13" s="1"/>
  <c r="A116" i="6"/>
  <c r="A116" i="13" s="1"/>
  <c r="A117" i="6"/>
  <c r="A117" i="13" s="1"/>
  <c r="A118" i="6"/>
  <c r="A118" i="13" s="1"/>
  <c r="A119" i="6"/>
  <c r="A119" i="13" s="1"/>
  <c r="A120" i="6"/>
  <c r="A120" i="13" s="1"/>
  <c r="A121" i="6"/>
  <c r="A121" i="13" s="1"/>
  <c r="A122" i="6"/>
  <c r="A122" i="13" s="1"/>
  <c r="A123" i="6"/>
  <c r="A123" i="13" s="1"/>
  <c r="A124" i="6"/>
  <c r="A124" i="13" s="1"/>
  <c r="A125" i="6"/>
  <c r="A125" i="13" s="1"/>
  <c r="A126" i="6"/>
  <c r="A126" i="13" s="1"/>
  <c r="A127" i="6"/>
  <c r="A127" i="13" s="1"/>
  <c r="A128" i="6"/>
  <c r="A128" i="13" s="1"/>
  <c r="A129" i="6"/>
  <c r="A129" i="13" s="1"/>
  <c r="A130" i="6"/>
  <c r="A130" i="13" s="1"/>
  <c r="A131" i="6"/>
  <c r="A131" i="13" s="1"/>
  <c r="A132" i="6"/>
  <c r="A132" i="13" s="1"/>
  <c r="A133" i="6"/>
  <c r="A133" i="13" s="1"/>
  <c r="A134" i="6"/>
  <c r="A134" i="13" s="1"/>
  <c r="A135" i="6"/>
  <c r="A135" i="13" s="1"/>
  <c r="A136" i="6"/>
  <c r="A136" i="13" s="1"/>
  <c r="A137" i="6"/>
  <c r="A137" i="13" s="1"/>
  <c r="A138" i="6"/>
  <c r="A138" i="13" s="1"/>
  <c r="A139" i="6"/>
  <c r="A139" i="13" s="1"/>
  <c r="A140" i="6"/>
  <c r="A140" i="13" s="1"/>
  <c r="A141" i="6"/>
  <c r="A141" i="13" s="1"/>
  <c r="A142" i="6"/>
  <c r="A142" i="13" s="1"/>
  <c r="A143" i="6"/>
  <c r="A143" i="13" s="1"/>
  <c r="A144" i="6"/>
  <c r="A144" i="13" s="1"/>
  <c r="A145" i="6"/>
  <c r="A145" i="13" s="1"/>
  <c r="A146" i="6"/>
  <c r="A146" i="13" s="1"/>
  <c r="A147" i="6"/>
  <c r="A147" i="13" s="1"/>
  <c r="A148" i="6"/>
  <c r="A148" i="13" s="1"/>
  <c r="A149" i="6"/>
  <c r="A149" i="13" s="1"/>
  <c r="A150" i="6"/>
  <c r="A150" i="13" s="1"/>
  <c r="A151" i="6"/>
  <c r="A151" i="13" s="1"/>
  <c r="A152" i="6"/>
  <c r="A152" i="13" s="1"/>
  <c r="A153" i="6"/>
  <c r="A153" i="13" s="1"/>
  <c r="A154" i="6"/>
  <c r="A154" i="13" s="1"/>
  <c r="A155" i="6"/>
  <c r="A155" i="13" s="1"/>
  <c r="A156" i="6"/>
  <c r="A156" i="13" s="1"/>
  <c r="A157" i="6"/>
  <c r="A157" i="13" s="1"/>
  <c r="A158" i="6"/>
  <c r="A158" i="13" s="1"/>
  <c r="A159" i="6"/>
  <c r="A159" i="13" s="1"/>
  <c r="A160" i="6"/>
  <c r="A160" i="13" s="1"/>
  <c r="A161" i="6"/>
  <c r="A161" i="13" s="1"/>
  <c r="A162" i="6"/>
  <c r="A162" i="13" s="1"/>
  <c r="A163" i="6"/>
  <c r="A163" i="13" s="1"/>
  <c r="A164" i="6"/>
  <c r="A164" i="13" s="1"/>
  <c r="A165" i="6"/>
  <c r="A165" i="13" s="1"/>
  <c r="A166" i="6"/>
  <c r="A166" i="13" s="1"/>
  <c r="A167" i="6"/>
  <c r="A167" i="13" s="1"/>
  <c r="A168" i="6"/>
  <c r="A168" i="13" s="1"/>
  <c r="A169" i="6"/>
  <c r="A169" i="13" s="1"/>
  <c r="A170" i="6"/>
  <c r="A170" i="13" s="1"/>
  <c r="A171" i="6"/>
  <c r="A171" i="13" s="1"/>
  <c r="A172" i="6"/>
  <c r="A172" i="13" s="1"/>
  <c r="A173" i="6"/>
  <c r="A173" i="13" s="1"/>
  <c r="A174" i="6"/>
  <c r="A174" i="13" s="1"/>
  <c r="A175" i="6"/>
  <c r="A175" i="13" s="1"/>
  <c r="A176" i="6"/>
  <c r="A176" i="13" s="1"/>
  <c r="A177" i="6"/>
  <c r="A177" i="13" s="1"/>
  <c r="A178" i="6"/>
  <c r="A178" i="13" s="1"/>
  <c r="A179" i="6"/>
  <c r="A179" i="13" s="1"/>
  <c r="A180" i="6"/>
  <c r="A180" i="13" s="1"/>
  <c r="A181" i="6"/>
  <c r="A181" i="13" s="1"/>
  <c r="A182" i="6"/>
  <c r="A182" i="13" s="1"/>
  <c r="A183" i="6"/>
  <c r="A183" i="13" s="1"/>
  <c r="A184" i="6"/>
  <c r="A184" i="13" s="1"/>
  <c r="A185" i="6"/>
  <c r="A185" i="13" s="1"/>
  <c r="A186" i="6"/>
  <c r="A186" i="13" s="1"/>
  <c r="A187" i="6"/>
  <c r="A187" i="13" s="1"/>
  <c r="A188" i="6"/>
  <c r="A188" i="13" s="1"/>
  <c r="A189" i="6"/>
  <c r="A189" i="13" s="1"/>
  <c r="A190" i="6"/>
  <c r="A190" i="13" s="1"/>
  <c r="A191" i="6"/>
  <c r="A191" i="13" s="1"/>
  <c r="A192" i="6"/>
  <c r="A192" i="13" s="1"/>
  <c r="A193" i="6"/>
  <c r="A193" i="13" s="1"/>
  <c r="A194" i="6"/>
  <c r="A194" i="13" s="1"/>
  <c r="A195" i="6"/>
  <c r="A195" i="13" s="1"/>
  <c r="A196" i="6"/>
  <c r="A196" i="13" s="1"/>
  <c r="A197" i="6"/>
  <c r="A197" i="13" s="1"/>
  <c r="A198" i="6"/>
  <c r="A198" i="13" s="1"/>
  <c r="A199" i="6"/>
  <c r="A199" i="13" s="1"/>
  <c r="A200" i="6"/>
  <c r="A200" i="13" s="1"/>
  <c r="A201" i="6"/>
  <c r="A201" i="13" s="1"/>
  <c r="A202" i="6"/>
  <c r="A202" i="13" s="1"/>
  <c r="A203" i="6"/>
  <c r="A203" i="13" s="1"/>
  <c r="A204" i="6"/>
  <c r="A204" i="13" s="1"/>
  <c r="A7" i="6"/>
  <c r="A7" i="13" s="1"/>
  <c r="B8" i="2"/>
  <c r="C8" i="2"/>
  <c r="E8" i="2"/>
  <c r="F8" i="2"/>
  <c r="G8" i="2"/>
  <c r="H8" i="2"/>
  <c r="I8" i="2"/>
  <c r="J8" i="2"/>
  <c r="K8" i="2"/>
  <c r="B9" i="2"/>
  <c r="C9" i="2"/>
  <c r="E9" i="2"/>
  <c r="F9" i="2"/>
  <c r="G9" i="2"/>
  <c r="H9" i="2"/>
  <c r="I9" i="2"/>
  <c r="J9" i="2"/>
  <c r="K9" i="2"/>
  <c r="B10" i="2"/>
  <c r="C10" i="2"/>
  <c r="E10" i="2"/>
  <c r="F10" i="2"/>
  <c r="G10" i="2"/>
  <c r="H10" i="2"/>
  <c r="I10" i="2"/>
  <c r="J10" i="2"/>
  <c r="K10" i="2"/>
  <c r="B11" i="2"/>
  <c r="C11" i="2"/>
  <c r="E11" i="2"/>
  <c r="F11" i="2"/>
  <c r="G11" i="2"/>
  <c r="H11" i="2"/>
  <c r="I11" i="2"/>
  <c r="J11" i="2"/>
  <c r="K11" i="2"/>
  <c r="B12" i="2"/>
  <c r="C12" i="2"/>
  <c r="E12" i="2"/>
  <c r="F12" i="2"/>
  <c r="G12" i="2"/>
  <c r="H12" i="2"/>
  <c r="I12" i="2"/>
  <c r="J12" i="2"/>
  <c r="K12" i="2"/>
  <c r="B13" i="2"/>
  <c r="C13" i="2"/>
  <c r="E13" i="2"/>
  <c r="F13" i="2"/>
  <c r="G13" i="2"/>
  <c r="H13" i="2"/>
  <c r="I13" i="2"/>
  <c r="J13" i="2"/>
  <c r="K13" i="2"/>
  <c r="B14" i="2"/>
  <c r="C14" i="2"/>
  <c r="E14" i="2"/>
  <c r="F14" i="2"/>
  <c r="G14" i="2"/>
  <c r="H14" i="2"/>
  <c r="I14" i="2"/>
  <c r="J14" i="2"/>
  <c r="K14" i="2"/>
  <c r="B15" i="2"/>
  <c r="C15" i="2"/>
  <c r="E15" i="2"/>
  <c r="F15" i="2"/>
  <c r="G15" i="2"/>
  <c r="H15" i="2"/>
  <c r="I15" i="2"/>
  <c r="J15" i="2"/>
  <c r="K15" i="2"/>
  <c r="B16" i="2"/>
  <c r="C16" i="2"/>
  <c r="E16" i="2"/>
  <c r="F16" i="2"/>
  <c r="G16" i="2"/>
  <c r="H16" i="2"/>
  <c r="I16" i="2"/>
  <c r="J16" i="2"/>
  <c r="K16" i="2"/>
  <c r="B17" i="2"/>
  <c r="C17" i="2"/>
  <c r="E17" i="2"/>
  <c r="F17" i="2"/>
  <c r="G17" i="2"/>
  <c r="H17" i="2"/>
  <c r="I17" i="2"/>
  <c r="J17" i="2"/>
  <c r="K17" i="2"/>
  <c r="B18" i="2"/>
  <c r="C18" i="2"/>
  <c r="E18" i="2"/>
  <c r="F18" i="2"/>
  <c r="G18" i="2"/>
  <c r="H18" i="2"/>
  <c r="I18" i="2"/>
  <c r="J18" i="2"/>
  <c r="K18" i="2"/>
  <c r="B19" i="2"/>
  <c r="C19" i="2"/>
  <c r="E19" i="2"/>
  <c r="F19" i="2"/>
  <c r="G19" i="2"/>
  <c r="H19" i="2"/>
  <c r="I19" i="2"/>
  <c r="J19" i="2"/>
  <c r="K19" i="2"/>
  <c r="B20" i="2"/>
  <c r="C20" i="2"/>
  <c r="E20" i="2"/>
  <c r="F20" i="2"/>
  <c r="G20" i="2"/>
  <c r="H20" i="2"/>
  <c r="I20" i="2"/>
  <c r="J20" i="2"/>
  <c r="K20" i="2"/>
  <c r="B21" i="2"/>
  <c r="C21" i="2"/>
  <c r="E21" i="2"/>
  <c r="F21" i="2"/>
  <c r="G21" i="2"/>
  <c r="H21" i="2"/>
  <c r="I21" i="2"/>
  <c r="J21" i="2"/>
  <c r="K21" i="2"/>
  <c r="B22" i="2"/>
  <c r="C22" i="2"/>
  <c r="E22" i="2"/>
  <c r="F22" i="2"/>
  <c r="G22" i="2"/>
  <c r="H22" i="2"/>
  <c r="I22" i="2"/>
  <c r="J22" i="2"/>
  <c r="K22" i="2"/>
  <c r="B23" i="2"/>
  <c r="C23" i="2"/>
  <c r="E23" i="2"/>
  <c r="F23" i="2"/>
  <c r="G23" i="2"/>
  <c r="H23" i="2"/>
  <c r="I23" i="2"/>
  <c r="J23" i="2"/>
  <c r="K23" i="2"/>
  <c r="B24" i="2"/>
  <c r="C24" i="2"/>
  <c r="E24" i="2"/>
  <c r="F24" i="2"/>
  <c r="G24" i="2"/>
  <c r="H24" i="2"/>
  <c r="I24" i="2"/>
  <c r="J24" i="2"/>
  <c r="K24" i="2"/>
  <c r="B25" i="2"/>
  <c r="C25" i="2"/>
  <c r="E25" i="2"/>
  <c r="F25" i="2"/>
  <c r="G25" i="2"/>
  <c r="H25" i="2"/>
  <c r="I25" i="2"/>
  <c r="J25" i="2"/>
  <c r="K25" i="2"/>
  <c r="B26" i="2"/>
  <c r="C26" i="2"/>
  <c r="E26" i="2"/>
  <c r="F26" i="2"/>
  <c r="G26" i="2"/>
  <c r="H26" i="2"/>
  <c r="I26" i="2"/>
  <c r="J26" i="2"/>
  <c r="K26" i="2"/>
  <c r="B27" i="2"/>
  <c r="C27" i="2"/>
  <c r="E27" i="2"/>
  <c r="F27" i="2"/>
  <c r="G27" i="2"/>
  <c r="H27" i="2"/>
  <c r="I27" i="2"/>
  <c r="J27" i="2"/>
  <c r="K27" i="2"/>
  <c r="B28" i="2"/>
  <c r="C28" i="2"/>
  <c r="E28" i="2"/>
  <c r="F28" i="2"/>
  <c r="G28" i="2"/>
  <c r="H28" i="2"/>
  <c r="I28" i="2"/>
  <c r="J28" i="2"/>
  <c r="K28" i="2"/>
  <c r="B29" i="2"/>
  <c r="C29" i="2"/>
  <c r="E29" i="2"/>
  <c r="F29" i="2"/>
  <c r="G29" i="2"/>
  <c r="H29" i="2"/>
  <c r="I29" i="2"/>
  <c r="J29" i="2"/>
  <c r="K29" i="2"/>
  <c r="B30" i="2"/>
  <c r="C30" i="2"/>
  <c r="E30" i="2"/>
  <c r="F30" i="2"/>
  <c r="G30" i="2"/>
  <c r="H30" i="2"/>
  <c r="I30" i="2"/>
  <c r="J30" i="2"/>
  <c r="K30" i="2"/>
  <c r="B31" i="2"/>
  <c r="C31" i="2"/>
  <c r="E31" i="2"/>
  <c r="F31" i="2"/>
  <c r="G31" i="2"/>
  <c r="H31" i="2"/>
  <c r="I31" i="2"/>
  <c r="J31" i="2"/>
  <c r="K31" i="2"/>
  <c r="B32" i="2"/>
  <c r="C32" i="2"/>
  <c r="E32" i="2"/>
  <c r="F32" i="2"/>
  <c r="G32" i="2"/>
  <c r="H32" i="2"/>
  <c r="I32" i="2"/>
  <c r="J32" i="2"/>
  <c r="K32" i="2"/>
  <c r="B33" i="2"/>
  <c r="C33" i="2"/>
  <c r="E33" i="2"/>
  <c r="F33" i="2"/>
  <c r="G33" i="2"/>
  <c r="H33" i="2"/>
  <c r="I33" i="2"/>
  <c r="J33" i="2"/>
  <c r="K33" i="2"/>
  <c r="B34" i="2"/>
  <c r="C34" i="2"/>
  <c r="E34" i="2"/>
  <c r="F34" i="2"/>
  <c r="G34" i="2"/>
  <c r="H34" i="2"/>
  <c r="I34" i="2"/>
  <c r="J34" i="2"/>
  <c r="K34" i="2"/>
  <c r="B35" i="2"/>
  <c r="C35" i="2"/>
  <c r="E35" i="2"/>
  <c r="F35" i="2"/>
  <c r="G35" i="2"/>
  <c r="H35" i="2"/>
  <c r="I35" i="2"/>
  <c r="J35" i="2"/>
  <c r="K35" i="2"/>
  <c r="B36" i="2"/>
  <c r="C36" i="2"/>
  <c r="E36" i="2"/>
  <c r="F36" i="2"/>
  <c r="G36" i="2"/>
  <c r="H36" i="2"/>
  <c r="I36" i="2"/>
  <c r="J36" i="2"/>
  <c r="K36" i="2"/>
  <c r="B37" i="2"/>
  <c r="C37" i="2"/>
  <c r="E37" i="2"/>
  <c r="F37" i="2"/>
  <c r="G37" i="2"/>
  <c r="H37" i="2"/>
  <c r="I37" i="2"/>
  <c r="J37" i="2"/>
  <c r="K37" i="2"/>
  <c r="B38" i="2"/>
  <c r="C38" i="2"/>
  <c r="E38" i="2"/>
  <c r="F38" i="2"/>
  <c r="G38" i="2"/>
  <c r="H38" i="2"/>
  <c r="I38" i="2"/>
  <c r="J38" i="2"/>
  <c r="K38" i="2"/>
  <c r="B39" i="2"/>
  <c r="C39" i="2"/>
  <c r="E39" i="2"/>
  <c r="F39" i="2"/>
  <c r="G39" i="2"/>
  <c r="H39" i="2"/>
  <c r="I39" i="2"/>
  <c r="J39" i="2"/>
  <c r="K39" i="2"/>
  <c r="B40" i="2"/>
  <c r="C40" i="2"/>
  <c r="E40" i="2"/>
  <c r="F40" i="2"/>
  <c r="G40" i="2"/>
  <c r="H40" i="2"/>
  <c r="I40" i="2"/>
  <c r="J40" i="2"/>
  <c r="K40" i="2"/>
  <c r="B41" i="2"/>
  <c r="C41" i="2"/>
  <c r="E41" i="2"/>
  <c r="F41" i="2"/>
  <c r="G41" i="2"/>
  <c r="H41" i="2"/>
  <c r="I41" i="2"/>
  <c r="J41" i="2"/>
  <c r="K41" i="2"/>
  <c r="B42" i="2"/>
  <c r="C42" i="2"/>
  <c r="E42" i="2"/>
  <c r="F42" i="2"/>
  <c r="G42" i="2"/>
  <c r="H42" i="2"/>
  <c r="I42" i="2"/>
  <c r="J42" i="2"/>
  <c r="K42" i="2"/>
  <c r="B43" i="2"/>
  <c r="C43" i="2"/>
  <c r="E43" i="2"/>
  <c r="F43" i="2"/>
  <c r="G43" i="2"/>
  <c r="H43" i="2"/>
  <c r="I43" i="2"/>
  <c r="J43" i="2"/>
  <c r="K43" i="2"/>
  <c r="B44" i="2"/>
  <c r="C44" i="2"/>
  <c r="E44" i="2"/>
  <c r="F44" i="2"/>
  <c r="G44" i="2"/>
  <c r="H44" i="2"/>
  <c r="I44" i="2"/>
  <c r="J44" i="2"/>
  <c r="K44" i="2"/>
  <c r="B45" i="2"/>
  <c r="C45" i="2"/>
  <c r="E45" i="2"/>
  <c r="F45" i="2"/>
  <c r="G45" i="2"/>
  <c r="H45" i="2"/>
  <c r="I45" i="2"/>
  <c r="J45" i="2"/>
  <c r="K45" i="2"/>
  <c r="B46" i="2"/>
  <c r="C46" i="2"/>
  <c r="E46" i="2"/>
  <c r="F46" i="2"/>
  <c r="G46" i="2"/>
  <c r="H46" i="2"/>
  <c r="I46" i="2"/>
  <c r="J46" i="2"/>
  <c r="K46" i="2"/>
  <c r="B47" i="2"/>
  <c r="C47" i="2"/>
  <c r="E47" i="2"/>
  <c r="F47" i="2"/>
  <c r="G47" i="2"/>
  <c r="H47" i="2"/>
  <c r="I47" i="2"/>
  <c r="J47" i="2"/>
  <c r="K47" i="2"/>
  <c r="B48" i="2"/>
  <c r="C48" i="2"/>
  <c r="E48" i="2"/>
  <c r="F48" i="2"/>
  <c r="G48" i="2"/>
  <c r="H48" i="2"/>
  <c r="I48" i="2"/>
  <c r="J48" i="2"/>
  <c r="K48" i="2"/>
  <c r="B49" i="2"/>
  <c r="C49" i="2"/>
  <c r="E49" i="2"/>
  <c r="F49" i="2"/>
  <c r="G49" i="2"/>
  <c r="H49" i="2"/>
  <c r="I49" i="2"/>
  <c r="J49" i="2"/>
  <c r="K49" i="2"/>
  <c r="B50" i="2"/>
  <c r="C50" i="2"/>
  <c r="E50" i="2"/>
  <c r="F50" i="2"/>
  <c r="G50" i="2"/>
  <c r="H50" i="2"/>
  <c r="I50" i="2"/>
  <c r="J50" i="2"/>
  <c r="K50" i="2"/>
  <c r="B51" i="2"/>
  <c r="C51" i="2"/>
  <c r="E51" i="2"/>
  <c r="F51" i="2"/>
  <c r="G51" i="2"/>
  <c r="H51" i="2"/>
  <c r="I51" i="2"/>
  <c r="J51" i="2"/>
  <c r="K51" i="2"/>
  <c r="B52" i="2"/>
  <c r="C52" i="2"/>
  <c r="E52" i="2"/>
  <c r="F52" i="2"/>
  <c r="G52" i="2"/>
  <c r="H52" i="2"/>
  <c r="I52" i="2"/>
  <c r="J52" i="2"/>
  <c r="K52" i="2"/>
  <c r="B53" i="2"/>
  <c r="C53" i="2"/>
  <c r="E53" i="2"/>
  <c r="F53" i="2"/>
  <c r="G53" i="2"/>
  <c r="H53" i="2"/>
  <c r="I53" i="2"/>
  <c r="J53" i="2"/>
  <c r="K53" i="2"/>
  <c r="B54" i="2"/>
  <c r="C54" i="2"/>
  <c r="E54" i="2"/>
  <c r="F54" i="2"/>
  <c r="G54" i="2"/>
  <c r="H54" i="2"/>
  <c r="I54" i="2"/>
  <c r="J54" i="2"/>
  <c r="K54" i="2"/>
  <c r="B55" i="2"/>
  <c r="C55" i="2"/>
  <c r="E55" i="2"/>
  <c r="F55" i="2"/>
  <c r="G55" i="2"/>
  <c r="H55" i="2"/>
  <c r="I55" i="2"/>
  <c r="J55" i="2"/>
  <c r="K55" i="2"/>
  <c r="B56" i="2"/>
  <c r="C56" i="2"/>
  <c r="E56" i="2"/>
  <c r="F56" i="2"/>
  <c r="G56" i="2"/>
  <c r="H56" i="2"/>
  <c r="I56" i="2"/>
  <c r="J56" i="2"/>
  <c r="K56" i="2"/>
  <c r="B57" i="2"/>
  <c r="C57" i="2"/>
  <c r="E57" i="2"/>
  <c r="F57" i="2"/>
  <c r="G57" i="2"/>
  <c r="H57" i="2"/>
  <c r="I57" i="2"/>
  <c r="J57" i="2"/>
  <c r="K57" i="2"/>
  <c r="B58" i="2"/>
  <c r="C58" i="2"/>
  <c r="E58" i="2"/>
  <c r="F58" i="2"/>
  <c r="G58" i="2"/>
  <c r="H58" i="2"/>
  <c r="I58" i="2"/>
  <c r="J58" i="2"/>
  <c r="K58" i="2"/>
  <c r="B59" i="2"/>
  <c r="C59" i="2"/>
  <c r="E59" i="2"/>
  <c r="F59" i="2"/>
  <c r="G59" i="2"/>
  <c r="H59" i="2"/>
  <c r="I59" i="2"/>
  <c r="J59" i="2"/>
  <c r="K59" i="2"/>
  <c r="B60" i="2"/>
  <c r="C60" i="2"/>
  <c r="E60" i="2"/>
  <c r="F60" i="2"/>
  <c r="G60" i="2"/>
  <c r="H60" i="2"/>
  <c r="I60" i="2"/>
  <c r="J60" i="2"/>
  <c r="K60" i="2"/>
  <c r="B61" i="2"/>
  <c r="C61" i="2"/>
  <c r="E61" i="2"/>
  <c r="F61" i="2"/>
  <c r="G61" i="2"/>
  <c r="H61" i="2"/>
  <c r="I61" i="2"/>
  <c r="J61" i="2"/>
  <c r="K61" i="2"/>
  <c r="B62" i="2"/>
  <c r="C62" i="2"/>
  <c r="E62" i="2"/>
  <c r="F62" i="2"/>
  <c r="G62" i="2"/>
  <c r="H62" i="2"/>
  <c r="I62" i="2"/>
  <c r="J62" i="2"/>
  <c r="K62" i="2"/>
  <c r="B63" i="2"/>
  <c r="C63" i="2"/>
  <c r="E63" i="2"/>
  <c r="F63" i="2"/>
  <c r="G63" i="2"/>
  <c r="H63" i="2"/>
  <c r="I63" i="2"/>
  <c r="J63" i="2"/>
  <c r="K63" i="2"/>
  <c r="B64" i="2"/>
  <c r="C64" i="2"/>
  <c r="E64" i="2"/>
  <c r="F64" i="2"/>
  <c r="G64" i="2"/>
  <c r="H64" i="2"/>
  <c r="I64" i="2"/>
  <c r="J64" i="2"/>
  <c r="K64" i="2"/>
  <c r="B65" i="2"/>
  <c r="C65" i="2"/>
  <c r="E65" i="2"/>
  <c r="F65" i="2"/>
  <c r="G65" i="2"/>
  <c r="H65" i="2"/>
  <c r="I65" i="2"/>
  <c r="J65" i="2"/>
  <c r="K65" i="2"/>
  <c r="B66" i="2"/>
  <c r="C66" i="2"/>
  <c r="E66" i="2"/>
  <c r="F66" i="2"/>
  <c r="G66" i="2"/>
  <c r="H66" i="2"/>
  <c r="I66" i="2"/>
  <c r="J66" i="2"/>
  <c r="K66" i="2"/>
  <c r="B67" i="2"/>
  <c r="C67" i="2"/>
  <c r="E67" i="2"/>
  <c r="F67" i="2"/>
  <c r="G67" i="2"/>
  <c r="H67" i="2"/>
  <c r="I67" i="2"/>
  <c r="J67" i="2"/>
  <c r="K67" i="2"/>
  <c r="B68" i="2"/>
  <c r="C68" i="2"/>
  <c r="E68" i="2"/>
  <c r="F68" i="2"/>
  <c r="G68" i="2"/>
  <c r="H68" i="2"/>
  <c r="I68" i="2"/>
  <c r="J68" i="2"/>
  <c r="K68" i="2"/>
  <c r="B69" i="2"/>
  <c r="C69" i="2"/>
  <c r="E69" i="2"/>
  <c r="F69" i="2"/>
  <c r="G69" i="2"/>
  <c r="H69" i="2"/>
  <c r="I69" i="2"/>
  <c r="J69" i="2"/>
  <c r="K69" i="2"/>
  <c r="B70" i="2"/>
  <c r="C70" i="2"/>
  <c r="E70" i="2"/>
  <c r="F70" i="2"/>
  <c r="G70" i="2"/>
  <c r="H70" i="2"/>
  <c r="I70" i="2"/>
  <c r="J70" i="2"/>
  <c r="K70" i="2"/>
  <c r="B71" i="2"/>
  <c r="C71" i="2"/>
  <c r="E71" i="2"/>
  <c r="F71" i="2"/>
  <c r="G71" i="2"/>
  <c r="H71" i="2"/>
  <c r="I71" i="2"/>
  <c r="J71" i="2"/>
  <c r="K71" i="2"/>
  <c r="B72" i="2"/>
  <c r="C72" i="2"/>
  <c r="E72" i="2"/>
  <c r="F72" i="2"/>
  <c r="G72" i="2"/>
  <c r="H72" i="2"/>
  <c r="I72" i="2"/>
  <c r="J72" i="2"/>
  <c r="K72" i="2"/>
  <c r="B73" i="2"/>
  <c r="C73" i="2"/>
  <c r="E73" i="2"/>
  <c r="F73" i="2"/>
  <c r="G73" i="2"/>
  <c r="H73" i="2"/>
  <c r="I73" i="2"/>
  <c r="J73" i="2"/>
  <c r="K73" i="2"/>
  <c r="B74" i="2"/>
  <c r="C74" i="2"/>
  <c r="E74" i="2"/>
  <c r="F74" i="2"/>
  <c r="G74" i="2"/>
  <c r="H74" i="2"/>
  <c r="I74" i="2"/>
  <c r="J74" i="2"/>
  <c r="K74" i="2"/>
  <c r="B75" i="2"/>
  <c r="C75" i="2"/>
  <c r="E75" i="2"/>
  <c r="F75" i="2"/>
  <c r="G75" i="2"/>
  <c r="H75" i="2"/>
  <c r="I75" i="2"/>
  <c r="J75" i="2"/>
  <c r="K75" i="2"/>
  <c r="B76" i="2"/>
  <c r="C76" i="2"/>
  <c r="E76" i="2"/>
  <c r="F76" i="2"/>
  <c r="G76" i="2"/>
  <c r="H76" i="2"/>
  <c r="I76" i="2"/>
  <c r="J76" i="2"/>
  <c r="K76" i="2"/>
  <c r="B77" i="2"/>
  <c r="C77" i="2"/>
  <c r="E77" i="2"/>
  <c r="F77" i="2"/>
  <c r="G77" i="2"/>
  <c r="H77" i="2"/>
  <c r="I77" i="2"/>
  <c r="J77" i="2"/>
  <c r="K77" i="2"/>
  <c r="B78" i="2"/>
  <c r="C78" i="2"/>
  <c r="E78" i="2"/>
  <c r="F78" i="2"/>
  <c r="G78" i="2"/>
  <c r="H78" i="2"/>
  <c r="I78" i="2"/>
  <c r="J78" i="2"/>
  <c r="K78" i="2"/>
  <c r="B79" i="2"/>
  <c r="C79" i="2"/>
  <c r="E79" i="2"/>
  <c r="F79" i="2"/>
  <c r="G79" i="2"/>
  <c r="H79" i="2"/>
  <c r="I79" i="2"/>
  <c r="J79" i="2"/>
  <c r="K79" i="2"/>
  <c r="B80" i="2"/>
  <c r="C80" i="2"/>
  <c r="E80" i="2"/>
  <c r="F80" i="2"/>
  <c r="G80" i="2"/>
  <c r="H80" i="2"/>
  <c r="I80" i="2"/>
  <c r="J80" i="2"/>
  <c r="K80" i="2"/>
  <c r="B81" i="2"/>
  <c r="C81" i="2"/>
  <c r="E81" i="2"/>
  <c r="F81" i="2"/>
  <c r="G81" i="2"/>
  <c r="H81" i="2"/>
  <c r="I81" i="2"/>
  <c r="J81" i="2"/>
  <c r="K81" i="2"/>
  <c r="B82" i="2"/>
  <c r="C82" i="2"/>
  <c r="E82" i="2"/>
  <c r="F82" i="2"/>
  <c r="G82" i="2"/>
  <c r="H82" i="2"/>
  <c r="I82" i="2"/>
  <c r="J82" i="2"/>
  <c r="K82" i="2"/>
  <c r="B83" i="2"/>
  <c r="C83" i="2"/>
  <c r="E83" i="2"/>
  <c r="F83" i="2"/>
  <c r="G83" i="2"/>
  <c r="H83" i="2"/>
  <c r="I83" i="2"/>
  <c r="J83" i="2"/>
  <c r="K83" i="2"/>
  <c r="B84" i="2"/>
  <c r="C84" i="2"/>
  <c r="E84" i="2"/>
  <c r="F84" i="2"/>
  <c r="G84" i="2"/>
  <c r="H84" i="2"/>
  <c r="I84" i="2"/>
  <c r="J84" i="2"/>
  <c r="K84" i="2"/>
  <c r="B85" i="2"/>
  <c r="C85" i="2"/>
  <c r="E85" i="2"/>
  <c r="F85" i="2"/>
  <c r="G85" i="2"/>
  <c r="H85" i="2"/>
  <c r="I85" i="2"/>
  <c r="J85" i="2"/>
  <c r="K85" i="2"/>
  <c r="B86" i="2"/>
  <c r="C86" i="2"/>
  <c r="E86" i="2"/>
  <c r="F86" i="2"/>
  <c r="G86" i="2"/>
  <c r="H86" i="2"/>
  <c r="I86" i="2"/>
  <c r="J86" i="2"/>
  <c r="K86" i="2"/>
  <c r="B87" i="2"/>
  <c r="C87" i="2"/>
  <c r="E87" i="2"/>
  <c r="F87" i="2"/>
  <c r="G87" i="2"/>
  <c r="H87" i="2"/>
  <c r="I87" i="2"/>
  <c r="J87" i="2"/>
  <c r="K87" i="2"/>
  <c r="B88" i="2"/>
  <c r="C88" i="2"/>
  <c r="E88" i="2"/>
  <c r="F88" i="2"/>
  <c r="G88" i="2"/>
  <c r="H88" i="2"/>
  <c r="I88" i="2"/>
  <c r="J88" i="2"/>
  <c r="K88" i="2"/>
  <c r="B89" i="2"/>
  <c r="C89" i="2"/>
  <c r="E89" i="2"/>
  <c r="F89" i="2"/>
  <c r="G89" i="2"/>
  <c r="H89" i="2"/>
  <c r="I89" i="2"/>
  <c r="J89" i="2"/>
  <c r="K89" i="2"/>
  <c r="B90" i="2"/>
  <c r="C90" i="2"/>
  <c r="E90" i="2"/>
  <c r="F90" i="2"/>
  <c r="G90" i="2"/>
  <c r="H90" i="2"/>
  <c r="I90" i="2"/>
  <c r="J90" i="2"/>
  <c r="K90" i="2"/>
  <c r="B91" i="2"/>
  <c r="C91" i="2"/>
  <c r="E91" i="2"/>
  <c r="F91" i="2"/>
  <c r="G91" i="2"/>
  <c r="H91" i="2"/>
  <c r="I91" i="2"/>
  <c r="J91" i="2"/>
  <c r="K91" i="2"/>
  <c r="B92" i="2"/>
  <c r="C92" i="2"/>
  <c r="E92" i="2"/>
  <c r="F92" i="2"/>
  <c r="G92" i="2"/>
  <c r="H92" i="2"/>
  <c r="I92" i="2"/>
  <c r="J92" i="2"/>
  <c r="K92" i="2"/>
  <c r="B93" i="2"/>
  <c r="C93" i="2"/>
  <c r="E93" i="2"/>
  <c r="F93" i="2"/>
  <c r="G93" i="2"/>
  <c r="H93" i="2"/>
  <c r="I93" i="2"/>
  <c r="J93" i="2"/>
  <c r="K93" i="2"/>
  <c r="B94" i="2"/>
  <c r="C94" i="2"/>
  <c r="E94" i="2"/>
  <c r="F94" i="2"/>
  <c r="G94" i="2"/>
  <c r="H94" i="2"/>
  <c r="I94" i="2"/>
  <c r="J94" i="2"/>
  <c r="K94" i="2"/>
  <c r="B95" i="2"/>
  <c r="C95" i="2"/>
  <c r="E95" i="2"/>
  <c r="F95" i="2"/>
  <c r="G95" i="2"/>
  <c r="H95" i="2"/>
  <c r="I95" i="2"/>
  <c r="J95" i="2"/>
  <c r="K95" i="2"/>
  <c r="B96" i="2"/>
  <c r="C96" i="2"/>
  <c r="E96" i="2"/>
  <c r="F96" i="2"/>
  <c r="G96" i="2"/>
  <c r="H96" i="2"/>
  <c r="I96" i="2"/>
  <c r="J96" i="2"/>
  <c r="K96" i="2"/>
  <c r="B97" i="2"/>
  <c r="C97" i="2"/>
  <c r="E97" i="2"/>
  <c r="F97" i="2"/>
  <c r="G97" i="2"/>
  <c r="H97" i="2"/>
  <c r="I97" i="2"/>
  <c r="J97" i="2"/>
  <c r="K97" i="2"/>
  <c r="B98" i="2"/>
  <c r="C98" i="2"/>
  <c r="E98" i="2"/>
  <c r="F98" i="2"/>
  <c r="G98" i="2"/>
  <c r="H98" i="2"/>
  <c r="I98" i="2"/>
  <c r="J98" i="2"/>
  <c r="K98" i="2"/>
  <c r="B99" i="2"/>
  <c r="C99" i="2"/>
  <c r="E99" i="2"/>
  <c r="F99" i="2"/>
  <c r="G99" i="2"/>
  <c r="H99" i="2"/>
  <c r="I99" i="2"/>
  <c r="J99" i="2"/>
  <c r="K99" i="2"/>
  <c r="B100" i="2"/>
  <c r="C100" i="2"/>
  <c r="E100" i="2"/>
  <c r="F100" i="2"/>
  <c r="G100" i="2"/>
  <c r="H100" i="2"/>
  <c r="I100" i="2"/>
  <c r="J100" i="2"/>
  <c r="K100" i="2"/>
  <c r="B101" i="2"/>
  <c r="C101" i="2"/>
  <c r="E101" i="2"/>
  <c r="F101" i="2"/>
  <c r="G101" i="2"/>
  <c r="H101" i="2"/>
  <c r="I101" i="2"/>
  <c r="J101" i="2"/>
  <c r="K101" i="2"/>
  <c r="B102" i="2"/>
  <c r="C102" i="2"/>
  <c r="E102" i="2"/>
  <c r="F102" i="2"/>
  <c r="G102" i="2"/>
  <c r="H102" i="2"/>
  <c r="I102" i="2"/>
  <c r="J102" i="2"/>
  <c r="K102" i="2"/>
  <c r="B103" i="2"/>
  <c r="C103" i="2"/>
  <c r="E103" i="2"/>
  <c r="F103" i="2"/>
  <c r="G103" i="2"/>
  <c r="H103" i="2"/>
  <c r="I103" i="2"/>
  <c r="J103" i="2"/>
  <c r="K103" i="2"/>
  <c r="B104" i="2"/>
  <c r="C104" i="2"/>
  <c r="E104" i="2"/>
  <c r="F104" i="2"/>
  <c r="G104" i="2"/>
  <c r="H104" i="2"/>
  <c r="I104" i="2"/>
  <c r="J104" i="2"/>
  <c r="K104" i="2"/>
  <c r="B105" i="2"/>
  <c r="C105" i="2"/>
  <c r="E105" i="2"/>
  <c r="F105" i="2"/>
  <c r="G105" i="2"/>
  <c r="H105" i="2"/>
  <c r="I105" i="2"/>
  <c r="J105" i="2"/>
  <c r="K105" i="2"/>
  <c r="B106" i="2"/>
  <c r="C106" i="2"/>
  <c r="E106" i="2"/>
  <c r="F106" i="2"/>
  <c r="G106" i="2"/>
  <c r="H106" i="2"/>
  <c r="I106" i="2"/>
  <c r="J106" i="2"/>
  <c r="K106" i="2"/>
  <c r="B107" i="2"/>
  <c r="C107" i="2"/>
  <c r="E107" i="2"/>
  <c r="F107" i="2"/>
  <c r="G107" i="2"/>
  <c r="H107" i="2"/>
  <c r="I107" i="2"/>
  <c r="J107" i="2"/>
  <c r="K107" i="2"/>
  <c r="B108" i="2"/>
  <c r="C108" i="2"/>
  <c r="E108" i="2"/>
  <c r="F108" i="2"/>
  <c r="G108" i="2"/>
  <c r="H108" i="2"/>
  <c r="I108" i="2"/>
  <c r="J108" i="2"/>
  <c r="K108" i="2"/>
  <c r="B109" i="2"/>
  <c r="C109" i="2"/>
  <c r="E109" i="2"/>
  <c r="F109" i="2"/>
  <c r="G109" i="2"/>
  <c r="H109" i="2"/>
  <c r="I109" i="2"/>
  <c r="J109" i="2"/>
  <c r="K109" i="2"/>
  <c r="B110" i="2"/>
  <c r="C110" i="2"/>
  <c r="E110" i="2"/>
  <c r="F110" i="2"/>
  <c r="G110" i="2"/>
  <c r="H110" i="2"/>
  <c r="I110" i="2"/>
  <c r="J110" i="2"/>
  <c r="K110" i="2"/>
  <c r="B111" i="2"/>
  <c r="C111" i="2"/>
  <c r="E111" i="2"/>
  <c r="F111" i="2"/>
  <c r="G111" i="2"/>
  <c r="H111" i="2"/>
  <c r="I111" i="2"/>
  <c r="J111" i="2"/>
  <c r="K111" i="2"/>
  <c r="B112" i="2"/>
  <c r="C112" i="2"/>
  <c r="E112" i="2"/>
  <c r="F112" i="2"/>
  <c r="G112" i="2"/>
  <c r="H112" i="2"/>
  <c r="I112" i="2"/>
  <c r="J112" i="2"/>
  <c r="K112" i="2"/>
  <c r="B113" i="2"/>
  <c r="C113" i="2"/>
  <c r="E113" i="2"/>
  <c r="F113" i="2"/>
  <c r="G113" i="2"/>
  <c r="H113" i="2"/>
  <c r="I113" i="2"/>
  <c r="J113" i="2"/>
  <c r="K113" i="2"/>
  <c r="B114" i="2"/>
  <c r="C114" i="2"/>
  <c r="E114" i="2"/>
  <c r="F114" i="2"/>
  <c r="G114" i="2"/>
  <c r="H114" i="2"/>
  <c r="I114" i="2"/>
  <c r="J114" i="2"/>
  <c r="K114" i="2"/>
  <c r="B115" i="2"/>
  <c r="C115" i="2"/>
  <c r="E115" i="2"/>
  <c r="F115" i="2"/>
  <c r="G115" i="2"/>
  <c r="H115" i="2"/>
  <c r="I115" i="2"/>
  <c r="J115" i="2"/>
  <c r="K115" i="2"/>
  <c r="B116" i="2"/>
  <c r="C116" i="2"/>
  <c r="E116" i="2"/>
  <c r="F116" i="2"/>
  <c r="G116" i="2"/>
  <c r="H116" i="2"/>
  <c r="I116" i="2"/>
  <c r="J116" i="2"/>
  <c r="K116" i="2"/>
  <c r="B117" i="2"/>
  <c r="C117" i="2"/>
  <c r="E117" i="2"/>
  <c r="F117" i="2"/>
  <c r="G117" i="2"/>
  <c r="H117" i="2"/>
  <c r="I117" i="2"/>
  <c r="J117" i="2"/>
  <c r="K117" i="2"/>
  <c r="B118" i="2"/>
  <c r="C118" i="2"/>
  <c r="E118" i="2"/>
  <c r="F118" i="2"/>
  <c r="G118" i="2"/>
  <c r="H118" i="2"/>
  <c r="I118" i="2"/>
  <c r="J118" i="2"/>
  <c r="K118" i="2"/>
  <c r="B119" i="2"/>
  <c r="C119" i="2"/>
  <c r="E119" i="2"/>
  <c r="F119" i="2"/>
  <c r="G119" i="2"/>
  <c r="H119" i="2"/>
  <c r="I119" i="2"/>
  <c r="J119" i="2"/>
  <c r="K119" i="2"/>
  <c r="B120" i="2"/>
  <c r="C120" i="2"/>
  <c r="E120" i="2"/>
  <c r="F120" i="2"/>
  <c r="G120" i="2"/>
  <c r="H120" i="2"/>
  <c r="I120" i="2"/>
  <c r="J120" i="2"/>
  <c r="K120" i="2"/>
  <c r="B121" i="2"/>
  <c r="C121" i="2"/>
  <c r="E121" i="2"/>
  <c r="F121" i="2"/>
  <c r="G121" i="2"/>
  <c r="H121" i="2"/>
  <c r="I121" i="2"/>
  <c r="J121" i="2"/>
  <c r="K121" i="2"/>
  <c r="B122" i="2"/>
  <c r="C122" i="2"/>
  <c r="E122" i="2"/>
  <c r="F122" i="2"/>
  <c r="G122" i="2"/>
  <c r="H122" i="2"/>
  <c r="I122" i="2"/>
  <c r="J122" i="2"/>
  <c r="K122" i="2"/>
  <c r="B123" i="2"/>
  <c r="C123" i="2"/>
  <c r="E123" i="2"/>
  <c r="F123" i="2"/>
  <c r="G123" i="2"/>
  <c r="H123" i="2"/>
  <c r="I123" i="2"/>
  <c r="J123" i="2"/>
  <c r="K123" i="2"/>
  <c r="B124" i="2"/>
  <c r="C124" i="2"/>
  <c r="E124" i="2"/>
  <c r="F124" i="2"/>
  <c r="G124" i="2"/>
  <c r="H124" i="2"/>
  <c r="I124" i="2"/>
  <c r="J124" i="2"/>
  <c r="K124" i="2"/>
  <c r="B125" i="2"/>
  <c r="C125" i="2"/>
  <c r="E125" i="2"/>
  <c r="F125" i="2"/>
  <c r="G125" i="2"/>
  <c r="H125" i="2"/>
  <c r="I125" i="2"/>
  <c r="J125" i="2"/>
  <c r="K125" i="2"/>
  <c r="B126" i="2"/>
  <c r="C126" i="2"/>
  <c r="E126" i="2"/>
  <c r="F126" i="2"/>
  <c r="G126" i="2"/>
  <c r="H126" i="2"/>
  <c r="I126" i="2"/>
  <c r="J126" i="2"/>
  <c r="K126" i="2"/>
  <c r="B127" i="2"/>
  <c r="C127" i="2"/>
  <c r="E127" i="2"/>
  <c r="F127" i="2"/>
  <c r="G127" i="2"/>
  <c r="H127" i="2"/>
  <c r="I127" i="2"/>
  <c r="J127" i="2"/>
  <c r="K127" i="2"/>
  <c r="B128" i="2"/>
  <c r="C128" i="2"/>
  <c r="E128" i="2"/>
  <c r="F128" i="2"/>
  <c r="G128" i="2"/>
  <c r="H128" i="2"/>
  <c r="I128" i="2"/>
  <c r="J128" i="2"/>
  <c r="K128" i="2"/>
  <c r="B129" i="2"/>
  <c r="C129" i="2"/>
  <c r="E129" i="2"/>
  <c r="F129" i="2"/>
  <c r="G129" i="2"/>
  <c r="H129" i="2"/>
  <c r="I129" i="2"/>
  <c r="J129" i="2"/>
  <c r="K129" i="2"/>
  <c r="B130" i="2"/>
  <c r="C130" i="2"/>
  <c r="E130" i="2"/>
  <c r="F130" i="2"/>
  <c r="G130" i="2"/>
  <c r="H130" i="2"/>
  <c r="I130" i="2"/>
  <c r="J130" i="2"/>
  <c r="K130" i="2"/>
  <c r="B131" i="2"/>
  <c r="C131" i="2"/>
  <c r="E131" i="2"/>
  <c r="F131" i="2"/>
  <c r="G131" i="2"/>
  <c r="H131" i="2"/>
  <c r="I131" i="2"/>
  <c r="J131" i="2"/>
  <c r="K131" i="2"/>
  <c r="B132" i="2"/>
  <c r="C132" i="2"/>
  <c r="E132" i="2"/>
  <c r="F132" i="2"/>
  <c r="G132" i="2"/>
  <c r="H132" i="2"/>
  <c r="I132" i="2"/>
  <c r="J132" i="2"/>
  <c r="K132" i="2"/>
  <c r="B133" i="2"/>
  <c r="C133" i="2"/>
  <c r="E133" i="2"/>
  <c r="F133" i="2"/>
  <c r="G133" i="2"/>
  <c r="H133" i="2"/>
  <c r="I133" i="2"/>
  <c r="J133" i="2"/>
  <c r="K133" i="2"/>
  <c r="B134" i="2"/>
  <c r="C134" i="2"/>
  <c r="E134" i="2"/>
  <c r="F134" i="2"/>
  <c r="G134" i="2"/>
  <c r="H134" i="2"/>
  <c r="I134" i="2"/>
  <c r="J134" i="2"/>
  <c r="K134" i="2"/>
  <c r="B135" i="2"/>
  <c r="C135" i="2"/>
  <c r="E135" i="2"/>
  <c r="F135" i="2"/>
  <c r="G135" i="2"/>
  <c r="H135" i="2"/>
  <c r="I135" i="2"/>
  <c r="J135" i="2"/>
  <c r="K135" i="2"/>
  <c r="B136" i="2"/>
  <c r="C136" i="2"/>
  <c r="E136" i="2"/>
  <c r="F136" i="2"/>
  <c r="G136" i="2"/>
  <c r="H136" i="2"/>
  <c r="I136" i="2"/>
  <c r="J136" i="2"/>
  <c r="K136" i="2"/>
  <c r="B137" i="2"/>
  <c r="C137" i="2"/>
  <c r="E137" i="2"/>
  <c r="F137" i="2"/>
  <c r="G137" i="2"/>
  <c r="H137" i="2"/>
  <c r="I137" i="2"/>
  <c r="J137" i="2"/>
  <c r="K137" i="2"/>
  <c r="B138" i="2"/>
  <c r="C138" i="2"/>
  <c r="E138" i="2"/>
  <c r="F138" i="2"/>
  <c r="G138" i="2"/>
  <c r="H138" i="2"/>
  <c r="I138" i="2"/>
  <c r="J138" i="2"/>
  <c r="K138" i="2"/>
  <c r="B139" i="2"/>
  <c r="C139" i="2"/>
  <c r="E139" i="2"/>
  <c r="F139" i="2"/>
  <c r="G139" i="2"/>
  <c r="H139" i="2"/>
  <c r="I139" i="2"/>
  <c r="J139" i="2"/>
  <c r="K139" i="2"/>
  <c r="B140" i="2"/>
  <c r="C140" i="2"/>
  <c r="E140" i="2"/>
  <c r="F140" i="2"/>
  <c r="G140" i="2"/>
  <c r="H140" i="2"/>
  <c r="I140" i="2"/>
  <c r="J140" i="2"/>
  <c r="K140" i="2"/>
  <c r="B141" i="2"/>
  <c r="C141" i="2"/>
  <c r="E141" i="2"/>
  <c r="F141" i="2"/>
  <c r="G141" i="2"/>
  <c r="H141" i="2"/>
  <c r="I141" i="2"/>
  <c r="J141" i="2"/>
  <c r="K141" i="2"/>
  <c r="B142" i="2"/>
  <c r="C142" i="2"/>
  <c r="E142" i="2"/>
  <c r="F142" i="2"/>
  <c r="G142" i="2"/>
  <c r="H142" i="2"/>
  <c r="I142" i="2"/>
  <c r="J142" i="2"/>
  <c r="K142" i="2"/>
  <c r="B143" i="2"/>
  <c r="C143" i="2"/>
  <c r="E143" i="2"/>
  <c r="F143" i="2"/>
  <c r="G143" i="2"/>
  <c r="H143" i="2"/>
  <c r="I143" i="2"/>
  <c r="J143" i="2"/>
  <c r="K143" i="2"/>
  <c r="B144" i="2"/>
  <c r="C144" i="2"/>
  <c r="E144" i="2"/>
  <c r="F144" i="2"/>
  <c r="G144" i="2"/>
  <c r="H144" i="2"/>
  <c r="I144" i="2"/>
  <c r="J144" i="2"/>
  <c r="K144" i="2"/>
  <c r="B145" i="2"/>
  <c r="C145" i="2"/>
  <c r="E145" i="2"/>
  <c r="F145" i="2"/>
  <c r="G145" i="2"/>
  <c r="H145" i="2"/>
  <c r="I145" i="2"/>
  <c r="J145" i="2"/>
  <c r="K145" i="2"/>
  <c r="B146" i="2"/>
  <c r="C146" i="2"/>
  <c r="E146" i="2"/>
  <c r="F146" i="2"/>
  <c r="G146" i="2"/>
  <c r="H146" i="2"/>
  <c r="I146" i="2"/>
  <c r="J146" i="2"/>
  <c r="K146" i="2"/>
  <c r="B147" i="2"/>
  <c r="C147" i="2"/>
  <c r="E147" i="2"/>
  <c r="F147" i="2"/>
  <c r="G147" i="2"/>
  <c r="H147" i="2"/>
  <c r="I147" i="2"/>
  <c r="J147" i="2"/>
  <c r="K147" i="2"/>
  <c r="B148" i="2"/>
  <c r="C148" i="2"/>
  <c r="E148" i="2"/>
  <c r="F148" i="2"/>
  <c r="G148" i="2"/>
  <c r="H148" i="2"/>
  <c r="I148" i="2"/>
  <c r="J148" i="2"/>
  <c r="K148" i="2"/>
  <c r="B149" i="2"/>
  <c r="C149" i="2"/>
  <c r="E149" i="2"/>
  <c r="F149" i="2"/>
  <c r="G149" i="2"/>
  <c r="H149" i="2"/>
  <c r="I149" i="2"/>
  <c r="J149" i="2"/>
  <c r="K149" i="2"/>
  <c r="B150" i="2"/>
  <c r="C150" i="2"/>
  <c r="E150" i="2"/>
  <c r="F150" i="2"/>
  <c r="G150" i="2"/>
  <c r="H150" i="2"/>
  <c r="I150" i="2"/>
  <c r="J150" i="2"/>
  <c r="K150" i="2"/>
  <c r="B151" i="2"/>
  <c r="C151" i="2"/>
  <c r="E151" i="2"/>
  <c r="F151" i="2"/>
  <c r="G151" i="2"/>
  <c r="H151" i="2"/>
  <c r="I151" i="2"/>
  <c r="J151" i="2"/>
  <c r="K151" i="2"/>
  <c r="B152" i="2"/>
  <c r="C152" i="2"/>
  <c r="E152" i="2"/>
  <c r="F152" i="2"/>
  <c r="G152" i="2"/>
  <c r="H152" i="2"/>
  <c r="I152" i="2"/>
  <c r="J152" i="2"/>
  <c r="K152" i="2"/>
  <c r="B153" i="2"/>
  <c r="C153" i="2"/>
  <c r="E153" i="2"/>
  <c r="F153" i="2"/>
  <c r="G153" i="2"/>
  <c r="H153" i="2"/>
  <c r="I153" i="2"/>
  <c r="J153" i="2"/>
  <c r="K153" i="2"/>
  <c r="B154" i="2"/>
  <c r="C154" i="2"/>
  <c r="E154" i="2"/>
  <c r="F154" i="2"/>
  <c r="G154" i="2"/>
  <c r="H154" i="2"/>
  <c r="I154" i="2"/>
  <c r="J154" i="2"/>
  <c r="K154" i="2"/>
  <c r="B155" i="2"/>
  <c r="C155" i="2"/>
  <c r="E155" i="2"/>
  <c r="F155" i="2"/>
  <c r="G155" i="2"/>
  <c r="H155" i="2"/>
  <c r="I155" i="2"/>
  <c r="J155" i="2"/>
  <c r="K155" i="2"/>
  <c r="B156" i="2"/>
  <c r="C156" i="2"/>
  <c r="E156" i="2"/>
  <c r="F156" i="2"/>
  <c r="G156" i="2"/>
  <c r="H156" i="2"/>
  <c r="I156" i="2"/>
  <c r="J156" i="2"/>
  <c r="K156" i="2"/>
  <c r="B157" i="2"/>
  <c r="C157" i="2"/>
  <c r="E157" i="2"/>
  <c r="F157" i="2"/>
  <c r="G157" i="2"/>
  <c r="H157" i="2"/>
  <c r="I157" i="2"/>
  <c r="J157" i="2"/>
  <c r="K157" i="2"/>
  <c r="B158" i="2"/>
  <c r="C158" i="2"/>
  <c r="E158" i="2"/>
  <c r="F158" i="2"/>
  <c r="G158" i="2"/>
  <c r="H158" i="2"/>
  <c r="I158" i="2"/>
  <c r="J158" i="2"/>
  <c r="K158" i="2"/>
  <c r="B159" i="2"/>
  <c r="C159" i="2"/>
  <c r="E159" i="2"/>
  <c r="F159" i="2"/>
  <c r="G159" i="2"/>
  <c r="H159" i="2"/>
  <c r="I159" i="2"/>
  <c r="J159" i="2"/>
  <c r="K159" i="2"/>
  <c r="B160" i="2"/>
  <c r="C160" i="2"/>
  <c r="E160" i="2"/>
  <c r="F160" i="2"/>
  <c r="G160" i="2"/>
  <c r="H160" i="2"/>
  <c r="I160" i="2"/>
  <c r="J160" i="2"/>
  <c r="K160" i="2"/>
  <c r="B161" i="2"/>
  <c r="C161" i="2"/>
  <c r="E161" i="2"/>
  <c r="F161" i="2"/>
  <c r="G161" i="2"/>
  <c r="H161" i="2"/>
  <c r="I161" i="2"/>
  <c r="J161" i="2"/>
  <c r="K161" i="2"/>
  <c r="B162" i="2"/>
  <c r="C162" i="2"/>
  <c r="E162" i="2"/>
  <c r="F162" i="2"/>
  <c r="G162" i="2"/>
  <c r="H162" i="2"/>
  <c r="I162" i="2"/>
  <c r="J162" i="2"/>
  <c r="K162" i="2"/>
  <c r="B163" i="2"/>
  <c r="C163" i="2"/>
  <c r="E163" i="2"/>
  <c r="F163" i="2"/>
  <c r="G163" i="2"/>
  <c r="H163" i="2"/>
  <c r="I163" i="2"/>
  <c r="J163" i="2"/>
  <c r="K163" i="2"/>
  <c r="B164" i="2"/>
  <c r="C164" i="2"/>
  <c r="E164" i="2"/>
  <c r="F164" i="2"/>
  <c r="G164" i="2"/>
  <c r="H164" i="2"/>
  <c r="I164" i="2"/>
  <c r="J164" i="2"/>
  <c r="K164" i="2"/>
  <c r="B165" i="2"/>
  <c r="C165" i="2"/>
  <c r="E165" i="2"/>
  <c r="F165" i="2"/>
  <c r="G165" i="2"/>
  <c r="H165" i="2"/>
  <c r="I165" i="2"/>
  <c r="J165" i="2"/>
  <c r="K165" i="2"/>
  <c r="B166" i="2"/>
  <c r="C166" i="2"/>
  <c r="E166" i="2"/>
  <c r="F166" i="2"/>
  <c r="G166" i="2"/>
  <c r="H166" i="2"/>
  <c r="I166" i="2"/>
  <c r="J166" i="2"/>
  <c r="K166" i="2"/>
  <c r="B167" i="2"/>
  <c r="C167" i="2"/>
  <c r="E167" i="2"/>
  <c r="F167" i="2"/>
  <c r="G167" i="2"/>
  <c r="H167" i="2"/>
  <c r="I167" i="2"/>
  <c r="J167" i="2"/>
  <c r="K167" i="2"/>
  <c r="B168" i="2"/>
  <c r="C168" i="2"/>
  <c r="E168" i="2"/>
  <c r="F168" i="2"/>
  <c r="G168" i="2"/>
  <c r="H168" i="2"/>
  <c r="I168" i="2"/>
  <c r="J168" i="2"/>
  <c r="K168" i="2"/>
  <c r="B169" i="2"/>
  <c r="C169" i="2"/>
  <c r="E169" i="2"/>
  <c r="F169" i="2"/>
  <c r="G169" i="2"/>
  <c r="H169" i="2"/>
  <c r="I169" i="2"/>
  <c r="J169" i="2"/>
  <c r="K169" i="2"/>
  <c r="B170" i="2"/>
  <c r="C170" i="2"/>
  <c r="E170" i="2"/>
  <c r="F170" i="2"/>
  <c r="G170" i="2"/>
  <c r="H170" i="2"/>
  <c r="I170" i="2"/>
  <c r="J170" i="2"/>
  <c r="K170" i="2"/>
  <c r="B171" i="2"/>
  <c r="C171" i="2"/>
  <c r="E171" i="2"/>
  <c r="F171" i="2"/>
  <c r="G171" i="2"/>
  <c r="H171" i="2"/>
  <c r="I171" i="2"/>
  <c r="J171" i="2"/>
  <c r="K171" i="2"/>
  <c r="B172" i="2"/>
  <c r="C172" i="2"/>
  <c r="E172" i="2"/>
  <c r="F172" i="2"/>
  <c r="G172" i="2"/>
  <c r="H172" i="2"/>
  <c r="I172" i="2"/>
  <c r="J172" i="2"/>
  <c r="K172" i="2"/>
  <c r="B173" i="2"/>
  <c r="C173" i="2"/>
  <c r="E173" i="2"/>
  <c r="F173" i="2"/>
  <c r="G173" i="2"/>
  <c r="H173" i="2"/>
  <c r="I173" i="2"/>
  <c r="J173" i="2"/>
  <c r="K173" i="2"/>
  <c r="B174" i="2"/>
  <c r="C174" i="2"/>
  <c r="E174" i="2"/>
  <c r="F174" i="2"/>
  <c r="G174" i="2"/>
  <c r="H174" i="2"/>
  <c r="I174" i="2"/>
  <c r="J174" i="2"/>
  <c r="K174" i="2"/>
  <c r="B175" i="2"/>
  <c r="C175" i="2"/>
  <c r="E175" i="2"/>
  <c r="F175" i="2"/>
  <c r="G175" i="2"/>
  <c r="H175" i="2"/>
  <c r="I175" i="2"/>
  <c r="J175" i="2"/>
  <c r="K175" i="2"/>
  <c r="B176" i="2"/>
  <c r="C176" i="2"/>
  <c r="E176" i="2"/>
  <c r="F176" i="2"/>
  <c r="G176" i="2"/>
  <c r="H176" i="2"/>
  <c r="I176" i="2"/>
  <c r="J176" i="2"/>
  <c r="K176" i="2"/>
  <c r="B177" i="2"/>
  <c r="C177" i="2"/>
  <c r="E177" i="2"/>
  <c r="F177" i="2"/>
  <c r="G177" i="2"/>
  <c r="H177" i="2"/>
  <c r="I177" i="2"/>
  <c r="J177" i="2"/>
  <c r="K177" i="2"/>
  <c r="B178" i="2"/>
  <c r="C178" i="2"/>
  <c r="E178" i="2"/>
  <c r="F178" i="2"/>
  <c r="G178" i="2"/>
  <c r="H178" i="2"/>
  <c r="I178" i="2"/>
  <c r="J178" i="2"/>
  <c r="K178" i="2"/>
  <c r="B179" i="2"/>
  <c r="C179" i="2"/>
  <c r="E179" i="2"/>
  <c r="F179" i="2"/>
  <c r="G179" i="2"/>
  <c r="H179" i="2"/>
  <c r="I179" i="2"/>
  <c r="J179" i="2"/>
  <c r="K179" i="2"/>
  <c r="B180" i="2"/>
  <c r="C180" i="2"/>
  <c r="E180" i="2"/>
  <c r="F180" i="2"/>
  <c r="G180" i="2"/>
  <c r="H180" i="2"/>
  <c r="I180" i="2"/>
  <c r="J180" i="2"/>
  <c r="K180" i="2"/>
  <c r="B181" i="2"/>
  <c r="C181" i="2"/>
  <c r="E181" i="2"/>
  <c r="F181" i="2"/>
  <c r="G181" i="2"/>
  <c r="H181" i="2"/>
  <c r="I181" i="2"/>
  <c r="J181" i="2"/>
  <c r="K181" i="2"/>
  <c r="B182" i="2"/>
  <c r="C182" i="2"/>
  <c r="E182" i="2"/>
  <c r="F182" i="2"/>
  <c r="G182" i="2"/>
  <c r="H182" i="2"/>
  <c r="I182" i="2"/>
  <c r="J182" i="2"/>
  <c r="K182" i="2"/>
  <c r="B183" i="2"/>
  <c r="C183" i="2"/>
  <c r="E183" i="2"/>
  <c r="F183" i="2"/>
  <c r="G183" i="2"/>
  <c r="H183" i="2"/>
  <c r="I183" i="2"/>
  <c r="J183" i="2"/>
  <c r="K183" i="2"/>
  <c r="B184" i="2"/>
  <c r="C184" i="2"/>
  <c r="E184" i="2"/>
  <c r="F184" i="2"/>
  <c r="G184" i="2"/>
  <c r="H184" i="2"/>
  <c r="I184" i="2"/>
  <c r="J184" i="2"/>
  <c r="K184" i="2"/>
  <c r="B185" i="2"/>
  <c r="C185" i="2"/>
  <c r="E185" i="2"/>
  <c r="F185" i="2"/>
  <c r="G185" i="2"/>
  <c r="H185" i="2"/>
  <c r="I185" i="2"/>
  <c r="J185" i="2"/>
  <c r="K185" i="2"/>
  <c r="B186" i="2"/>
  <c r="C186" i="2"/>
  <c r="E186" i="2"/>
  <c r="F186" i="2"/>
  <c r="G186" i="2"/>
  <c r="H186" i="2"/>
  <c r="I186" i="2"/>
  <c r="J186" i="2"/>
  <c r="K186" i="2"/>
  <c r="B187" i="2"/>
  <c r="C187" i="2"/>
  <c r="E187" i="2"/>
  <c r="F187" i="2"/>
  <c r="G187" i="2"/>
  <c r="H187" i="2"/>
  <c r="I187" i="2"/>
  <c r="J187" i="2"/>
  <c r="K187" i="2"/>
  <c r="B188" i="2"/>
  <c r="C188" i="2"/>
  <c r="E188" i="2"/>
  <c r="F188" i="2"/>
  <c r="G188" i="2"/>
  <c r="H188" i="2"/>
  <c r="I188" i="2"/>
  <c r="J188" i="2"/>
  <c r="K188" i="2"/>
  <c r="B189" i="2"/>
  <c r="C189" i="2"/>
  <c r="E189" i="2"/>
  <c r="F189" i="2"/>
  <c r="G189" i="2"/>
  <c r="H189" i="2"/>
  <c r="I189" i="2"/>
  <c r="J189" i="2"/>
  <c r="K189" i="2"/>
  <c r="B190" i="2"/>
  <c r="C190" i="2"/>
  <c r="E190" i="2"/>
  <c r="F190" i="2"/>
  <c r="G190" i="2"/>
  <c r="H190" i="2"/>
  <c r="I190" i="2"/>
  <c r="J190" i="2"/>
  <c r="K190" i="2"/>
  <c r="B191" i="2"/>
  <c r="C191" i="2"/>
  <c r="E191" i="2"/>
  <c r="F191" i="2"/>
  <c r="G191" i="2"/>
  <c r="H191" i="2"/>
  <c r="I191" i="2"/>
  <c r="J191" i="2"/>
  <c r="K191" i="2"/>
  <c r="B192" i="2"/>
  <c r="C192" i="2"/>
  <c r="E192" i="2"/>
  <c r="F192" i="2"/>
  <c r="G192" i="2"/>
  <c r="H192" i="2"/>
  <c r="I192" i="2"/>
  <c r="J192" i="2"/>
  <c r="K192" i="2"/>
  <c r="B193" i="2"/>
  <c r="C193" i="2"/>
  <c r="E193" i="2"/>
  <c r="F193" i="2"/>
  <c r="G193" i="2"/>
  <c r="H193" i="2"/>
  <c r="I193" i="2"/>
  <c r="J193" i="2"/>
  <c r="K193" i="2"/>
  <c r="B194" i="2"/>
  <c r="C194" i="2"/>
  <c r="E194" i="2"/>
  <c r="F194" i="2"/>
  <c r="G194" i="2"/>
  <c r="H194" i="2"/>
  <c r="I194" i="2"/>
  <c r="J194" i="2"/>
  <c r="K194" i="2"/>
  <c r="B195" i="2"/>
  <c r="C195" i="2"/>
  <c r="E195" i="2"/>
  <c r="F195" i="2"/>
  <c r="G195" i="2"/>
  <c r="H195" i="2"/>
  <c r="I195" i="2"/>
  <c r="J195" i="2"/>
  <c r="K195" i="2"/>
  <c r="B196" i="2"/>
  <c r="C196" i="2"/>
  <c r="E196" i="2"/>
  <c r="F196" i="2"/>
  <c r="G196" i="2"/>
  <c r="H196" i="2"/>
  <c r="I196" i="2"/>
  <c r="J196" i="2"/>
  <c r="K196" i="2"/>
  <c r="B197" i="2"/>
  <c r="C197" i="2"/>
  <c r="E197" i="2"/>
  <c r="F197" i="2"/>
  <c r="G197" i="2"/>
  <c r="H197" i="2"/>
  <c r="I197" i="2"/>
  <c r="J197" i="2"/>
  <c r="K197" i="2"/>
  <c r="B198" i="2"/>
  <c r="C198" i="2"/>
  <c r="E198" i="2"/>
  <c r="F198" i="2"/>
  <c r="G198" i="2"/>
  <c r="H198" i="2"/>
  <c r="I198" i="2"/>
  <c r="J198" i="2"/>
  <c r="K198" i="2"/>
  <c r="B199" i="2"/>
  <c r="C199" i="2"/>
  <c r="E199" i="2"/>
  <c r="F199" i="2"/>
  <c r="G199" i="2"/>
  <c r="H199" i="2"/>
  <c r="I199" i="2"/>
  <c r="J199" i="2"/>
  <c r="K199" i="2"/>
  <c r="B200" i="2"/>
  <c r="C200" i="2"/>
  <c r="E200" i="2"/>
  <c r="F200" i="2"/>
  <c r="G200" i="2"/>
  <c r="H200" i="2"/>
  <c r="I200" i="2"/>
  <c r="J200" i="2"/>
  <c r="K200" i="2"/>
  <c r="B201" i="2"/>
  <c r="C201" i="2"/>
  <c r="E201" i="2"/>
  <c r="F201" i="2"/>
  <c r="G201" i="2"/>
  <c r="H201" i="2"/>
  <c r="I201" i="2"/>
  <c r="J201" i="2"/>
  <c r="K201" i="2"/>
  <c r="B202" i="2"/>
  <c r="C202" i="2"/>
  <c r="E202" i="2"/>
  <c r="F202" i="2"/>
  <c r="G202" i="2"/>
  <c r="H202" i="2"/>
  <c r="I202" i="2"/>
  <c r="J202" i="2"/>
  <c r="K202" i="2"/>
  <c r="B203" i="2"/>
  <c r="C203" i="2"/>
  <c r="E203" i="2"/>
  <c r="F203" i="2"/>
  <c r="G203" i="2"/>
  <c r="H203" i="2"/>
  <c r="I203" i="2"/>
  <c r="J203" i="2"/>
  <c r="K203" i="2"/>
  <c r="B204" i="2"/>
  <c r="C204" i="2"/>
  <c r="E204" i="2"/>
  <c r="F204" i="2"/>
  <c r="G204" i="2"/>
  <c r="H204" i="2"/>
  <c r="I204" i="2"/>
  <c r="J204" i="2"/>
  <c r="K204" i="2"/>
  <c r="G7" i="2"/>
  <c r="F7" i="2"/>
  <c r="E7" i="2"/>
  <c r="M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1" i="10"/>
  <c r="CY172" i="13"/>
  <c r="DH108" i="13"/>
  <c r="DM108" i="13" s="1"/>
  <c r="AB219" i="2"/>
  <c r="AA219" i="2"/>
  <c r="Z219" i="2"/>
  <c r="Y219" i="2"/>
  <c r="X219" i="2"/>
  <c r="W219" i="2"/>
  <c r="V219" i="2"/>
  <c r="U219" i="2"/>
  <c r="AB218" i="2"/>
  <c r="AA218" i="2"/>
  <c r="Z218" i="2"/>
  <c r="Y218" i="2"/>
  <c r="X218" i="2"/>
  <c r="W218" i="2"/>
  <c r="V218" i="2"/>
  <c r="U218" i="2"/>
  <c r="U220" i="2" s="1"/>
  <c r="AB217" i="2"/>
  <c r="AA217" i="2"/>
  <c r="Z217" i="2"/>
  <c r="Y217" i="2"/>
  <c r="X217" i="2"/>
  <c r="W217" i="2"/>
  <c r="V217" i="2"/>
  <c r="U217" i="2"/>
  <c r="AB216" i="2"/>
  <c r="AA216" i="2"/>
  <c r="Z216" i="2"/>
  <c r="Y216" i="2"/>
  <c r="X216" i="2"/>
  <c r="W216" i="2"/>
  <c r="V216" i="2"/>
  <c r="U216" i="2"/>
  <c r="C7" i="2"/>
  <c r="B7" i="2"/>
  <c r="DM61" i="13" l="1"/>
  <c r="DM195" i="13"/>
  <c r="DM171" i="13"/>
  <c r="DM147" i="13"/>
  <c r="DM115" i="13"/>
  <c r="DD134" i="13"/>
  <c r="DM179" i="13"/>
  <c r="DM163" i="13"/>
  <c r="DM93" i="13"/>
  <c r="DM13" i="13"/>
  <c r="DD118" i="13"/>
  <c r="DD62" i="13"/>
  <c r="DD14" i="13"/>
  <c r="DD110" i="13"/>
  <c r="DD177" i="13"/>
  <c r="DD70" i="13"/>
  <c r="DD142" i="13"/>
  <c r="DD102" i="13"/>
  <c r="DD38" i="13"/>
  <c r="DD166" i="13"/>
  <c r="DD126" i="13"/>
  <c r="DD86" i="13"/>
  <c r="DD22" i="13"/>
  <c r="DM202" i="13"/>
  <c r="DM201" i="13"/>
  <c r="DM198" i="13"/>
  <c r="DM197" i="13"/>
  <c r="DM196" i="13"/>
  <c r="DM194" i="13"/>
  <c r="DM193" i="13"/>
  <c r="DM191" i="13"/>
  <c r="DM190" i="13"/>
  <c r="DM189" i="13"/>
  <c r="DM186" i="13"/>
  <c r="DM185" i="13"/>
  <c r="DM182" i="13"/>
  <c r="DM181" i="13"/>
  <c r="DM180" i="13"/>
  <c r="DM178" i="13"/>
  <c r="DM177" i="13"/>
  <c r="DM175" i="13"/>
  <c r="DM174" i="13"/>
  <c r="DM173" i="13"/>
  <c r="DM170" i="13"/>
  <c r="DM169" i="13"/>
  <c r="DM166" i="13"/>
  <c r="DM165" i="13"/>
  <c r="DM164" i="13"/>
  <c r="DM162" i="13"/>
  <c r="DM161" i="13"/>
  <c r="DM159" i="13"/>
  <c r="DM158" i="13"/>
  <c r="DM157" i="13"/>
  <c r="DM154" i="13"/>
  <c r="DM153" i="13"/>
  <c r="DM150" i="13"/>
  <c r="DM149" i="13"/>
  <c r="DM148" i="13"/>
  <c r="DM146" i="13"/>
  <c r="DM145" i="13"/>
  <c r="DM143" i="13"/>
  <c r="DM142" i="13"/>
  <c r="DM141" i="13"/>
  <c r="DM138" i="13"/>
  <c r="DM137" i="13"/>
  <c r="DM134" i="13"/>
  <c r="DM133" i="13"/>
  <c r="DM132" i="13"/>
  <c r="DM130" i="13"/>
  <c r="DM129" i="13"/>
  <c r="DM127" i="13"/>
  <c r="DM126" i="13"/>
  <c r="DM125" i="13"/>
  <c r="DM122" i="13"/>
  <c r="DM121" i="13"/>
  <c r="DM118" i="13"/>
  <c r="DM117" i="13"/>
  <c r="DM116" i="13"/>
  <c r="DM114" i="13"/>
  <c r="DM113" i="13"/>
  <c r="DM111" i="13"/>
  <c r="DM110" i="13"/>
  <c r="DM109" i="13"/>
  <c r="DM107" i="13"/>
  <c r="DM105" i="13"/>
  <c r="DM104" i="13"/>
  <c r="DM103" i="13"/>
  <c r="DM100" i="13"/>
  <c r="DM99" i="13"/>
  <c r="DM96" i="13"/>
  <c r="DM95" i="13"/>
  <c r="DM94" i="13"/>
  <c r="DM92" i="13"/>
  <c r="DM91" i="13"/>
  <c r="DM89" i="13"/>
  <c r="DM88" i="13"/>
  <c r="DM87" i="13"/>
  <c r="DM84" i="13"/>
  <c r="DM83" i="13"/>
  <c r="DM80" i="13"/>
  <c r="DM79" i="13"/>
  <c r="DM78" i="13"/>
  <c r="DM76" i="13"/>
  <c r="DM75" i="13"/>
  <c r="DM73" i="13"/>
  <c r="DM72" i="13"/>
  <c r="DM71" i="13"/>
  <c r="DM68" i="13"/>
  <c r="DM67" i="13"/>
  <c r="DM64" i="13"/>
  <c r="DM63" i="13"/>
  <c r="DM62" i="13"/>
  <c r="DM60" i="13"/>
  <c r="DM59" i="13"/>
  <c r="DM57" i="13"/>
  <c r="DM56" i="13"/>
  <c r="DM55" i="13"/>
  <c r="DM52" i="13"/>
  <c r="DM51" i="13"/>
  <c r="DM48" i="13"/>
  <c r="DM47" i="13"/>
  <c r="DM46" i="13"/>
  <c r="DM44" i="13"/>
  <c r="DM43" i="13"/>
  <c r="DM41" i="13"/>
  <c r="DM40" i="13"/>
  <c r="DM39" i="13"/>
  <c r="DM36" i="13"/>
  <c r="DM35" i="13"/>
  <c r="DM32" i="13"/>
  <c r="DM31" i="13"/>
  <c r="DM30" i="13"/>
  <c r="DM28" i="13"/>
  <c r="DM27" i="13"/>
  <c r="DM25" i="13"/>
  <c r="DM24" i="13"/>
  <c r="DM23" i="13"/>
  <c r="DM20" i="13"/>
  <c r="DM19" i="13"/>
  <c r="DM16" i="13"/>
  <c r="DM15" i="13"/>
  <c r="DM14" i="13"/>
  <c r="DM12" i="13"/>
  <c r="DM11" i="13"/>
  <c r="DM9" i="13"/>
  <c r="DM8" i="13"/>
  <c r="DM212" i="13"/>
  <c r="DM211" i="13"/>
  <c r="DM210" i="13"/>
  <c r="DM208" i="13"/>
  <c r="DM205" i="13"/>
  <c r="DD204" i="13"/>
  <c r="DD203" i="13"/>
  <c r="DD202" i="13"/>
  <c r="DD199" i="13"/>
  <c r="DD198" i="13"/>
  <c r="DD197" i="13"/>
  <c r="DD196" i="13"/>
  <c r="DD195" i="13"/>
  <c r="DD194" i="13"/>
  <c r="DD191" i="13"/>
  <c r="DD190" i="13"/>
  <c r="DD189" i="13"/>
  <c r="DD188" i="13"/>
  <c r="DD187" i="13"/>
  <c r="DD186" i="13"/>
  <c r="DD183" i="13"/>
  <c r="DD182" i="13"/>
  <c r="DD181" i="13"/>
  <c r="DD180" i="13"/>
  <c r="DD179" i="13"/>
  <c r="DD178" i="13"/>
  <c r="DD175" i="13"/>
  <c r="DD174" i="13"/>
  <c r="DD173" i="13"/>
  <c r="DD171" i="13"/>
  <c r="DD170" i="13"/>
  <c r="DD169" i="13"/>
  <c r="DD168" i="13"/>
  <c r="DD167" i="13"/>
  <c r="DD164" i="13"/>
  <c r="DD163" i="13"/>
  <c r="DD162" i="13"/>
  <c r="DD161" i="13"/>
  <c r="DD159" i="13"/>
  <c r="DD156" i="13"/>
  <c r="DD155" i="13"/>
  <c r="DD154" i="13"/>
  <c r="DD153" i="13"/>
  <c r="DD151" i="13"/>
  <c r="DD148" i="13"/>
  <c r="DD147" i="13"/>
  <c r="DD146" i="13"/>
  <c r="DD145" i="13"/>
  <c r="DD143" i="13"/>
  <c r="DD140" i="13"/>
  <c r="DD139" i="13"/>
  <c r="DD138" i="13"/>
  <c r="DD137" i="13"/>
  <c r="DD135" i="13"/>
  <c r="DD132" i="13"/>
  <c r="DD131" i="13"/>
  <c r="DD130" i="13"/>
  <c r="DD129" i="13"/>
  <c r="DD127" i="13"/>
  <c r="DD124" i="13"/>
  <c r="DD123" i="13"/>
  <c r="DD122" i="13"/>
  <c r="DD121" i="13"/>
  <c r="DD119" i="13"/>
  <c r="DD116" i="13"/>
  <c r="DD115" i="13"/>
  <c r="DD114" i="13"/>
  <c r="DD113" i="13"/>
  <c r="DD111" i="13"/>
  <c r="DD108" i="13"/>
  <c r="DD107" i="13"/>
  <c r="DD106" i="13"/>
  <c r="DD105" i="13"/>
  <c r="DD103" i="13"/>
  <c r="DD100" i="13"/>
  <c r="DD99" i="13"/>
  <c r="DD98" i="13"/>
  <c r="DD97" i="13"/>
  <c r="DD95" i="13"/>
  <c r="DD92" i="13"/>
  <c r="DD91" i="13"/>
  <c r="DD90" i="13"/>
  <c r="DD89" i="13"/>
  <c r="DD87" i="13"/>
  <c r="DD84" i="13"/>
  <c r="DD83" i="13"/>
  <c r="DD82" i="13"/>
  <c r="DD81" i="13"/>
  <c r="DD79" i="13"/>
  <c r="DD76" i="13"/>
  <c r="DD75" i="13"/>
  <c r="DD74" i="13"/>
  <c r="DD71" i="13"/>
  <c r="DD68" i="13"/>
  <c r="DD67" i="13"/>
  <c r="DD66" i="13"/>
  <c r="DD63" i="13"/>
  <c r="DD60" i="13"/>
  <c r="DD59" i="13"/>
  <c r="DD58" i="13"/>
  <c r="DD55" i="13"/>
  <c r="DD52" i="13"/>
  <c r="DD51" i="13"/>
  <c r="DD50" i="13"/>
  <c r="DD47" i="13"/>
  <c r="DD44" i="13"/>
  <c r="DD43" i="13"/>
  <c r="DD42" i="13"/>
  <c r="DD41" i="13"/>
  <c r="DD39" i="13"/>
  <c r="DD36" i="13"/>
  <c r="DD35" i="13"/>
  <c r="DD34" i="13"/>
  <c r="DD33" i="13"/>
  <c r="DD31" i="13"/>
  <c r="DD28" i="13"/>
  <c r="DD27" i="13"/>
  <c r="DD26" i="13"/>
  <c r="DD25" i="13"/>
  <c r="DD23" i="13"/>
  <c r="DD20" i="13"/>
  <c r="DD19" i="13"/>
  <c r="DD18" i="13"/>
  <c r="DD17" i="13"/>
  <c r="DD15" i="13"/>
  <c r="DD12" i="13"/>
  <c r="DD11" i="13"/>
  <c r="DD10" i="13"/>
  <c r="DD9" i="13"/>
  <c r="DD212" i="13"/>
  <c r="DD211" i="13"/>
  <c r="DD210" i="13"/>
  <c r="DD209" i="13"/>
  <c r="DD208" i="13"/>
  <c r="DD207" i="13"/>
  <c r="DD206" i="13"/>
  <c r="DD205" i="13"/>
  <c r="D210" i="6"/>
  <c r="H210" i="13" s="1"/>
  <c r="D207" i="6"/>
  <c r="H207" i="13" s="1"/>
  <c r="D211" i="6"/>
  <c r="H211" i="13" s="1"/>
  <c r="D206" i="6"/>
  <c r="H206" i="13" s="1"/>
  <c r="DD172" i="13"/>
  <c r="DD7" i="13"/>
  <c r="D212" i="6"/>
  <c r="H212" i="13" s="1"/>
  <c r="D205" i="6"/>
  <c r="H205" i="13" s="1"/>
  <c r="D208" i="6"/>
  <c r="H208" i="13" s="1"/>
  <c r="D209" i="6"/>
  <c r="H209" i="13" s="1"/>
  <c r="DM7" i="13"/>
  <c r="DN213" i="13"/>
  <c r="C211" i="6"/>
  <c r="F211" i="13" s="1"/>
  <c r="R211" i="13" s="1"/>
  <c r="DN211" i="13" s="1"/>
  <c r="F204" i="6"/>
  <c r="L204" i="13" s="1"/>
  <c r="F203" i="6"/>
  <c r="L203" i="13" s="1"/>
  <c r="F202" i="6"/>
  <c r="L202" i="13" s="1"/>
  <c r="F201" i="6"/>
  <c r="L201" i="13" s="1"/>
  <c r="F200" i="6"/>
  <c r="L200" i="13" s="1"/>
  <c r="F199" i="6"/>
  <c r="L199" i="13" s="1"/>
  <c r="F198" i="6"/>
  <c r="L198" i="13" s="1"/>
  <c r="F197" i="6"/>
  <c r="L197" i="13" s="1"/>
  <c r="F196" i="6"/>
  <c r="L196" i="13" s="1"/>
  <c r="F195" i="6"/>
  <c r="L195" i="13" s="1"/>
  <c r="F194" i="6"/>
  <c r="L194" i="13" s="1"/>
  <c r="F193" i="6"/>
  <c r="L193" i="13" s="1"/>
  <c r="F192" i="6"/>
  <c r="L192" i="13" s="1"/>
  <c r="F191" i="6"/>
  <c r="L191" i="13" s="1"/>
  <c r="F190" i="6"/>
  <c r="L190" i="13" s="1"/>
  <c r="F189" i="6"/>
  <c r="L189" i="13" s="1"/>
  <c r="F188" i="6"/>
  <c r="L188" i="13" s="1"/>
  <c r="F187" i="6"/>
  <c r="L187" i="13" s="1"/>
  <c r="F186" i="6"/>
  <c r="L186" i="13" s="1"/>
  <c r="F185" i="6"/>
  <c r="L185" i="13" s="1"/>
  <c r="F184" i="6"/>
  <c r="L184" i="13" s="1"/>
  <c r="F183" i="6"/>
  <c r="L183" i="13" s="1"/>
  <c r="F182" i="6"/>
  <c r="L182" i="13" s="1"/>
  <c r="F181" i="6"/>
  <c r="L181" i="13" s="1"/>
  <c r="F180" i="6"/>
  <c r="L180" i="13" s="1"/>
  <c r="F179" i="6"/>
  <c r="L179" i="13" s="1"/>
  <c r="F178" i="6"/>
  <c r="L178" i="13" s="1"/>
  <c r="F177" i="6"/>
  <c r="L177" i="13" s="1"/>
  <c r="F176" i="6"/>
  <c r="L176" i="13" s="1"/>
  <c r="F175" i="6"/>
  <c r="L175" i="13" s="1"/>
  <c r="F174" i="6"/>
  <c r="L174" i="13" s="1"/>
  <c r="F173" i="6"/>
  <c r="L173" i="13" s="1"/>
  <c r="F172" i="6"/>
  <c r="L172" i="13" s="1"/>
  <c r="F171" i="6"/>
  <c r="L171" i="13" s="1"/>
  <c r="F170" i="6"/>
  <c r="L170" i="13" s="1"/>
  <c r="F169" i="6"/>
  <c r="L169" i="13" s="1"/>
  <c r="F168" i="6"/>
  <c r="L168" i="13" s="1"/>
  <c r="F167" i="6"/>
  <c r="L167" i="13" s="1"/>
  <c r="F166" i="6"/>
  <c r="L166" i="13" s="1"/>
  <c r="F165" i="6"/>
  <c r="L165" i="13" s="1"/>
  <c r="F164" i="6"/>
  <c r="L164" i="13" s="1"/>
  <c r="F163" i="6"/>
  <c r="L163" i="13" s="1"/>
  <c r="F162" i="6"/>
  <c r="L162" i="13" s="1"/>
  <c r="F161" i="6"/>
  <c r="L161" i="13" s="1"/>
  <c r="F160" i="6"/>
  <c r="L160" i="13" s="1"/>
  <c r="F159" i="6"/>
  <c r="L159" i="13" s="1"/>
  <c r="F158" i="6"/>
  <c r="L158" i="13" s="1"/>
  <c r="F157" i="6"/>
  <c r="L157" i="13" s="1"/>
  <c r="F156" i="6"/>
  <c r="L156" i="13" s="1"/>
  <c r="F155" i="6"/>
  <c r="L155" i="13" s="1"/>
  <c r="F154" i="6"/>
  <c r="L154" i="13" s="1"/>
  <c r="F153" i="6"/>
  <c r="L153" i="13" s="1"/>
  <c r="F152" i="6"/>
  <c r="L152" i="13" s="1"/>
  <c r="F151" i="6"/>
  <c r="L151" i="13" s="1"/>
  <c r="F150" i="6"/>
  <c r="L150" i="13" s="1"/>
  <c r="F149" i="6"/>
  <c r="L149" i="13" s="1"/>
  <c r="F148" i="6"/>
  <c r="L148" i="13" s="1"/>
  <c r="F147" i="6"/>
  <c r="L147" i="13" s="1"/>
  <c r="F146" i="6"/>
  <c r="L146" i="13" s="1"/>
  <c r="F145" i="6"/>
  <c r="L145" i="13" s="1"/>
  <c r="F144" i="6"/>
  <c r="L144" i="13" s="1"/>
  <c r="F143" i="6"/>
  <c r="L143" i="13" s="1"/>
  <c r="F142" i="6"/>
  <c r="L142" i="13" s="1"/>
  <c r="F141" i="6"/>
  <c r="L141" i="13" s="1"/>
  <c r="F140" i="6"/>
  <c r="L140" i="13" s="1"/>
  <c r="F139" i="6"/>
  <c r="L139" i="13" s="1"/>
  <c r="F138" i="6"/>
  <c r="L138" i="13" s="1"/>
  <c r="F137" i="6"/>
  <c r="L137" i="13" s="1"/>
  <c r="F136" i="6"/>
  <c r="L136" i="13" s="1"/>
  <c r="F135" i="6"/>
  <c r="L135" i="13" s="1"/>
  <c r="F134" i="6"/>
  <c r="L134" i="13" s="1"/>
  <c r="F133" i="6"/>
  <c r="L133" i="13" s="1"/>
  <c r="F132" i="6"/>
  <c r="L132" i="13" s="1"/>
  <c r="F131" i="6"/>
  <c r="L131" i="13" s="1"/>
  <c r="F130" i="6"/>
  <c r="L130" i="13" s="1"/>
  <c r="F129" i="6"/>
  <c r="L129" i="13" s="1"/>
  <c r="F128" i="6"/>
  <c r="L128" i="13" s="1"/>
  <c r="F127" i="6"/>
  <c r="L127" i="13" s="1"/>
  <c r="F126" i="6"/>
  <c r="L126" i="13" s="1"/>
  <c r="F125" i="6"/>
  <c r="L125" i="13" s="1"/>
  <c r="F124" i="6"/>
  <c r="L124" i="13" s="1"/>
  <c r="F123" i="6"/>
  <c r="L123" i="13" s="1"/>
  <c r="F122" i="6"/>
  <c r="L122" i="13" s="1"/>
  <c r="F121" i="6"/>
  <c r="L121" i="13" s="1"/>
  <c r="F120" i="6"/>
  <c r="L120" i="13" s="1"/>
  <c r="F119" i="6"/>
  <c r="L119" i="13" s="1"/>
  <c r="F118" i="6"/>
  <c r="L118" i="13" s="1"/>
  <c r="F117" i="6"/>
  <c r="L117" i="13" s="1"/>
  <c r="F116" i="6"/>
  <c r="L116" i="13" s="1"/>
  <c r="F115" i="6"/>
  <c r="L115" i="13" s="1"/>
  <c r="F114" i="6"/>
  <c r="L114" i="13" s="1"/>
  <c r="F113" i="6"/>
  <c r="L113" i="13" s="1"/>
  <c r="F112" i="6"/>
  <c r="L112" i="13" s="1"/>
  <c r="F111" i="6"/>
  <c r="L111" i="13" s="1"/>
  <c r="F110" i="6"/>
  <c r="L110" i="13" s="1"/>
  <c r="F109" i="6"/>
  <c r="L109" i="13" s="1"/>
  <c r="F108" i="6"/>
  <c r="L108" i="13" s="1"/>
  <c r="F107" i="6"/>
  <c r="L107" i="13" s="1"/>
  <c r="F106" i="6"/>
  <c r="L106" i="13" s="1"/>
  <c r="F105" i="6"/>
  <c r="L105" i="13" s="1"/>
  <c r="F104" i="6"/>
  <c r="L104" i="13" s="1"/>
  <c r="F103" i="6"/>
  <c r="L103" i="13" s="1"/>
  <c r="F102" i="6"/>
  <c r="L102" i="13" s="1"/>
  <c r="F101" i="6"/>
  <c r="L101" i="13" s="1"/>
  <c r="F100" i="6"/>
  <c r="L100" i="13" s="1"/>
  <c r="F99" i="6"/>
  <c r="L99" i="13" s="1"/>
  <c r="F98" i="6"/>
  <c r="L98" i="13" s="1"/>
  <c r="F97" i="6"/>
  <c r="L97" i="13" s="1"/>
  <c r="F96" i="6"/>
  <c r="L96" i="13" s="1"/>
  <c r="F95" i="6"/>
  <c r="L95" i="13" s="1"/>
  <c r="F94" i="6"/>
  <c r="L94" i="13" s="1"/>
  <c r="F93" i="6"/>
  <c r="L93" i="13" s="1"/>
  <c r="F92" i="6"/>
  <c r="L92" i="13" s="1"/>
  <c r="F91" i="6"/>
  <c r="L91" i="13" s="1"/>
  <c r="F90" i="6"/>
  <c r="L90" i="13" s="1"/>
  <c r="F89" i="6"/>
  <c r="L89" i="13" s="1"/>
  <c r="F88" i="6"/>
  <c r="L88" i="13" s="1"/>
  <c r="F87" i="6"/>
  <c r="L87" i="13" s="1"/>
  <c r="F86" i="6"/>
  <c r="L86" i="13" s="1"/>
  <c r="F85" i="6"/>
  <c r="L85" i="13" s="1"/>
  <c r="F84" i="6"/>
  <c r="L84" i="13" s="1"/>
  <c r="F83" i="6"/>
  <c r="L83" i="13" s="1"/>
  <c r="F82" i="6"/>
  <c r="L82" i="13" s="1"/>
  <c r="F81" i="6"/>
  <c r="L81" i="13" s="1"/>
  <c r="F80" i="6"/>
  <c r="L80" i="13" s="1"/>
  <c r="F79" i="6"/>
  <c r="L79" i="13" s="1"/>
  <c r="F78" i="6"/>
  <c r="L78" i="13" s="1"/>
  <c r="F77" i="6"/>
  <c r="L77" i="13" s="1"/>
  <c r="F76" i="6"/>
  <c r="L76" i="13" s="1"/>
  <c r="F75" i="6"/>
  <c r="L75" i="13" s="1"/>
  <c r="F74" i="6"/>
  <c r="L74" i="13" s="1"/>
  <c r="F73" i="6"/>
  <c r="L73" i="13" s="1"/>
  <c r="F72" i="6"/>
  <c r="L72" i="13" s="1"/>
  <c r="F71" i="6"/>
  <c r="L71" i="13" s="1"/>
  <c r="F70" i="6"/>
  <c r="L70" i="13" s="1"/>
  <c r="F69" i="6"/>
  <c r="L69" i="13" s="1"/>
  <c r="F68" i="6"/>
  <c r="L68" i="13" s="1"/>
  <c r="F67" i="6"/>
  <c r="L67" i="13" s="1"/>
  <c r="F66" i="6"/>
  <c r="L66" i="13" s="1"/>
  <c r="F65" i="6"/>
  <c r="L65" i="13" s="1"/>
  <c r="F64" i="6"/>
  <c r="L64" i="13" s="1"/>
  <c r="F63" i="6"/>
  <c r="L63" i="13" s="1"/>
  <c r="F62" i="6"/>
  <c r="L62" i="13" s="1"/>
  <c r="F61" i="6"/>
  <c r="L61" i="13" s="1"/>
  <c r="F60" i="6"/>
  <c r="L60" i="13" s="1"/>
  <c r="F59" i="6"/>
  <c r="L59" i="13" s="1"/>
  <c r="F58" i="6"/>
  <c r="L58" i="13" s="1"/>
  <c r="F57" i="6"/>
  <c r="L57" i="13" s="1"/>
  <c r="F56" i="6"/>
  <c r="L56" i="13" s="1"/>
  <c r="F55" i="6"/>
  <c r="L55" i="13" s="1"/>
  <c r="F54" i="6"/>
  <c r="L54" i="13" s="1"/>
  <c r="F53" i="6"/>
  <c r="L53" i="13" s="1"/>
  <c r="F52" i="6"/>
  <c r="L52" i="13" s="1"/>
  <c r="F51" i="6"/>
  <c r="L51" i="13" s="1"/>
  <c r="F50" i="6"/>
  <c r="L50" i="13" s="1"/>
  <c r="F49" i="6"/>
  <c r="L49" i="13" s="1"/>
  <c r="F48" i="6"/>
  <c r="L48" i="13" s="1"/>
  <c r="F47" i="6"/>
  <c r="L47" i="13" s="1"/>
  <c r="F46" i="6"/>
  <c r="L46" i="13" s="1"/>
  <c r="F45" i="6"/>
  <c r="L45" i="13" s="1"/>
  <c r="F44" i="6"/>
  <c r="L44" i="13" s="1"/>
  <c r="F43" i="6"/>
  <c r="L43" i="13" s="1"/>
  <c r="F42" i="6"/>
  <c r="L42" i="13" s="1"/>
  <c r="F41" i="6"/>
  <c r="L41" i="13" s="1"/>
  <c r="F40" i="6"/>
  <c r="L40" i="13" s="1"/>
  <c r="F39" i="6"/>
  <c r="L39" i="13" s="1"/>
  <c r="F38" i="6"/>
  <c r="L38" i="13" s="1"/>
  <c r="F37" i="6"/>
  <c r="L37" i="13" s="1"/>
  <c r="F36" i="6"/>
  <c r="L36" i="13" s="1"/>
  <c r="F35" i="6"/>
  <c r="L35" i="13" s="1"/>
  <c r="F34" i="6"/>
  <c r="L34" i="13" s="1"/>
  <c r="F33" i="6"/>
  <c r="L33" i="13" s="1"/>
  <c r="F32" i="6"/>
  <c r="L32" i="13" s="1"/>
  <c r="F31" i="6"/>
  <c r="L31" i="13" s="1"/>
  <c r="F30" i="6"/>
  <c r="L30" i="13" s="1"/>
  <c r="F29" i="6"/>
  <c r="L29" i="13" s="1"/>
  <c r="F28" i="6"/>
  <c r="L28" i="13" s="1"/>
  <c r="F27" i="6"/>
  <c r="L27" i="13" s="1"/>
  <c r="F26" i="6"/>
  <c r="L26" i="13" s="1"/>
  <c r="F25" i="6"/>
  <c r="L25" i="13" s="1"/>
  <c r="F24" i="6"/>
  <c r="L24" i="13" s="1"/>
  <c r="F23" i="6"/>
  <c r="L23" i="13" s="1"/>
  <c r="F22" i="6"/>
  <c r="L22" i="13" s="1"/>
  <c r="F21" i="6"/>
  <c r="L21" i="13" s="1"/>
  <c r="F20" i="6"/>
  <c r="L20" i="13" s="1"/>
  <c r="F19" i="6"/>
  <c r="L19" i="13" s="1"/>
  <c r="F18" i="6"/>
  <c r="L18" i="13" s="1"/>
  <c r="F17" i="6"/>
  <c r="L17" i="13" s="1"/>
  <c r="F16" i="6"/>
  <c r="L16" i="13" s="1"/>
  <c r="F15" i="6"/>
  <c r="L15" i="13" s="1"/>
  <c r="F14" i="6"/>
  <c r="L14" i="13" s="1"/>
  <c r="F13" i="6"/>
  <c r="L13" i="13" s="1"/>
  <c r="F12" i="6"/>
  <c r="L12" i="13" s="1"/>
  <c r="F11" i="6"/>
  <c r="L11" i="13" s="1"/>
  <c r="F10" i="6"/>
  <c r="L10" i="13" s="1"/>
  <c r="F9" i="6"/>
  <c r="L9" i="13" s="1"/>
  <c r="F8" i="6"/>
  <c r="L8" i="13" s="1"/>
  <c r="G203" i="6"/>
  <c r="N203" i="13" s="1"/>
  <c r="G201" i="6"/>
  <c r="N201" i="13" s="1"/>
  <c r="G200" i="6"/>
  <c r="N200" i="13" s="1"/>
  <c r="G199" i="6"/>
  <c r="N199" i="13" s="1"/>
  <c r="G196" i="6"/>
  <c r="N196" i="13" s="1"/>
  <c r="G193" i="6"/>
  <c r="N193" i="13" s="1"/>
  <c r="G192" i="6"/>
  <c r="N192" i="13" s="1"/>
  <c r="G190" i="6"/>
  <c r="N190" i="13" s="1"/>
  <c r="G188" i="6"/>
  <c r="N188" i="13" s="1"/>
  <c r="G186" i="6"/>
  <c r="N186" i="13" s="1"/>
  <c r="G185" i="6"/>
  <c r="N185" i="13" s="1"/>
  <c r="G182" i="6"/>
  <c r="N182" i="13" s="1"/>
  <c r="H204" i="6"/>
  <c r="P204" i="13" s="1"/>
  <c r="H203" i="6"/>
  <c r="P203" i="13" s="1"/>
  <c r="H202" i="6"/>
  <c r="P202" i="13" s="1"/>
  <c r="H201" i="6"/>
  <c r="P201" i="13" s="1"/>
  <c r="H200" i="6"/>
  <c r="P200" i="13" s="1"/>
  <c r="H199" i="6"/>
  <c r="P199" i="13" s="1"/>
  <c r="H198" i="6"/>
  <c r="P198" i="13" s="1"/>
  <c r="H197" i="6"/>
  <c r="P197" i="13" s="1"/>
  <c r="H196" i="6"/>
  <c r="P196" i="13" s="1"/>
  <c r="H195" i="6"/>
  <c r="P195" i="13" s="1"/>
  <c r="H194" i="6"/>
  <c r="P194" i="13" s="1"/>
  <c r="H193" i="6"/>
  <c r="P193" i="13" s="1"/>
  <c r="H192" i="6"/>
  <c r="P192" i="13" s="1"/>
  <c r="H191" i="6"/>
  <c r="P191" i="13" s="1"/>
  <c r="H190" i="6"/>
  <c r="P190" i="13" s="1"/>
  <c r="H189" i="6"/>
  <c r="P189" i="13" s="1"/>
  <c r="H188" i="6"/>
  <c r="P188" i="13" s="1"/>
  <c r="H187" i="6"/>
  <c r="P187" i="13" s="1"/>
  <c r="H186" i="6"/>
  <c r="P186" i="13" s="1"/>
  <c r="H185" i="6"/>
  <c r="P185" i="13" s="1"/>
  <c r="H184" i="6"/>
  <c r="P184" i="13" s="1"/>
  <c r="H183" i="6"/>
  <c r="P183" i="13" s="1"/>
  <c r="H182" i="6"/>
  <c r="P182" i="13" s="1"/>
  <c r="H181" i="6"/>
  <c r="P181" i="13" s="1"/>
  <c r="H180" i="6"/>
  <c r="P180" i="13" s="1"/>
  <c r="H179" i="6"/>
  <c r="P179" i="13" s="1"/>
  <c r="H178" i="6"/>
  <c r="P178" i="13" s="1"/>
  <c r="H177" i="6"/>
  <c r="P177" i="13" s="1"/>
  <c r="H176" i="6"/>
  <c r="P176" i="13" s="1"/>
  <c r="H175" i="6"/>
  <c r="P175" i="13" s="1"/>
  <c r="H174" i="6"/>
  <c r="P174" i="13" s="1"/>
  <c r="H173" i="6"/>
  <c r="P173" i="13" s="1"/>
  <c r="H172" i="6"/>
  <c r="P172" i="13" s="1"/>
  <c r="H171" i="6"/>
  <c r="P171" i="13" s="1"/>
  <c r="H170" i="6"/>
  <c r="P170" i="13" s="1"/>
  <c r="H169" i="6"/>
  <c r="P169" i="13" s="1"/>
  <c r="H168" i="6"/>
  <c r="P168" i="13" s="1"/>
  <c r="H167" i="6"/>
  <c r="P167" i="13" s="1"/>
  <c r="H166" i="6"/>
  <c r="P166" i="13" s="1"/>
  <c r="H165" i="6"/>
  <c r="P165" i="13" s="1"/>
  <c r="H164" i="6"/>
  <c r="P164" i="13" s="1"/>
  <c r="H163" i="6"/>
  <c r="P163" i="13" s="1"/>
  <c r="H162" i="6"/>
  <c r="P162" i="13" s="1"/>
  <c r="H161" i="6"/>
  <c r="P161" i="13" s="1"/>
  <c r="H160" i="6"/>
  <c r="P160" i="13" s="1"/>
  <c r="H159" i="6"/>
  <c r="P159" i="13" s="1"/>
  <c r="H158" i="6"/>
  <c r="P158" i="13" s="1"/>
  <c r="H157" i="6"/>
  <c r="P157" i="13" s="1"/>
  <c r="H156" i="6"/>
  <c r="P156" i="13" s="1"/>
  <c r="H155" i="6"/>
  <c r="P155" i="13" s="1"/>
  <c r="H154" i="6"/>
  <c r="P154" i="13" s="1"/>
  <c r="H153" i="6"/>
  <c r="P153" i="13" s="1"/>
  <c r="H152" i="6"/>
  <c r="P152" i="13" s="1"/>
  <c r="H151" i="6"/>
  <c r="P151" i="13" s="1"/>
  <c r="H150" i="6"/>
  <c r="P150" i="13" s="1"/>
  <c r="H149" i="6"/>
  <c r="P149" i="13" s="1"/>
  <c r="H148" i="6"/>
  <c r="P148" i="13" s="1"/>
  <c r="H147" i="6"/>
  <c r="P147" i="13" s="1"/>
  <c r="H146" i="6"/>
  <c r="P146" i="13" s="1"/>
  <c r="H145" i="6"/>
  <c r="P145" i="13" s="1"/>
  <c r="H144" i="6"/>
  <c r="P144" i="13" s="1"/>
  <c r="H143" i="6"/>
  <c r="P143" i="13" s="1"/>
  <c r="H142" i="6"/>
  <c r="P142" i="13" s="1"/>
  <c r="H141" i="6"/>
  <c r="P141" i="13" s="1"/>
  <c r="H140" i="6"/>
  <c r="P140" i="13" s="1"/>
  <c r="H139" i="6"/>
  <c r="P139" i="13" s="1"/>
  <c r="H138" i="6"/>
  <c r="P138" i="13" s="1"/>
  <c r="H137" i="6"/>
  <c r="P137" i="13" s="1"/>
  <c r="H136" i="6"/>
  <c r="P136" i="13" s="1"/>
  <c r="H135" i="6"/>
  <c r="P135" i="13" s="1"/>
  <c r="H134" i="6"/>
  <c r="P134" i="13" s="1"/>
  <c r="H133" i="6"/>
  <c r="P133" i="13" s="1"/>
  <c r="H132" i="6"/>
  <c r="P132" i="13" s="1"/>
  <c r="H131" i="6"/>
  <c r="P131" i="13" s="1"/>
  <c r="H130" i="6"/>
  <c r="P130" i="13" s="1"/>
  <c r="H129" i="6"/>
  <c r="P129" i="13" s="1"/>
  <c r="H128" i="6"/>
  <c r="P128" i="13" s="1"/>
  <c r="H127" i="6"/>
  <c r="P127" i="13" s="1"/>
  <c r="H126" i="6"/>
  <c r="P126" i="13" s="1"/>
  <c r="H125" i="6"/>
  <c r="P125" i="13" s="1"/>
  <c r="H124" i="6"/>
  <c r="P124" i="13" s="1"/>
  <c r="H123" i="6"/>
  <c r="P123" i="13" s="1"/>
  <c r="H122" i="6"/>
  <c r="P122" i="13" s="1"/>
  <c r="H121" i="6"/>
  <c r="P121" i="13" s="1"/>
  <c r="H120" i="6"/>
  <c r="P120" i="13" s="1"/>
  <c r="H119" i="6"/>
  <c r="P119" i="13" s="1"/>
  <c r="H118" i="6"/>
  <c r="P118" i="13" s="1"/>
  <c r="H117" i="6"/>
  <c r="P117" i="13" s="1"/>
  <c r="H116" i="6"/>
  <c r="P116" i="13" s="1"/>
  <c r="H115" i="6"/>
  <c r="P115" i="13" s="1"/>
  <c r="H114" i="6"/>
  <c r="P114" i="13" s="1"/>
  <c r="H113" i="6"/>
  <c r="P113" i="13" s="1"/>
  <c r="H112" i="6"/>
  <c r="P112" i="13" s="1"/>
  <c r="H111" i="6"/>
  <c r="P111" i="13" s="1"/>
  <c r="H110" i="6"/>
  <c r="P110" i="13" s="1"/>
  <c r="H109" i="6"/>
  <c r="P109" i="13" s="1"/>
  <c r="H107" i="6"/>
  <c r="P107" i="13" s="1"/>
  <c r="H106" i="6"/>
  <c r="P106" i="13" s="1"/>
  <c r="H105" i="6"/>
  <c r="P105" i="13" s="1"/>
  <c r="H104" i="6"/>
  <c r="P104" i="13" s="1"/>
  <c r="H103" i="6"/>
  <c r="P103" i="13" s="1"/>
  <c r="H102" i="6"/>
  <c r="P102" i="13" s="1"/>
  <c r="H101" i="6"/>
  <c r="P101" i="13" s="1"/>
  <c r="H100" i="6"/>
  <c r="P100" i="13" s="1"/>
  <c r="H99" i="6"/>
  <c r="P99" i="13" s="1"/>
  <c r="H98" i="6"/>
  <c r="P98" i="13" s="1"/>
  <c r="H97" i="6"/>
  <c r="P97" i="13" s="1"/>
  <c r="H96" i="6"/>
  <c r="P96" i="13" s="1"/>
  <c r="H95" i="6"/>
  <c r="P95" i="13" s="1"/>
  <c r="H94" i="6"/>
  <c r="P94" i="13" s="1"/>
  <c r="H93" i="6"/>
  <c r="P93" i="13" s="1"/>
  <c r="H92" i="6"/>
  <c r="P92" i="13" s="1"/>
  <c r="H91" i="6"/>
  <c r="P91" i="13" s="1"/>
  <c r="H90" i="6"/>
  <c r="P90" i="13" s="1"/>
  <c r="H89" i="6"/>
  <c r="P89" i="13" s="1"/>
  <c r="H88" i="6"/>
  <c r="P88" i="13" s="1"/>
  <c r="H87" i="6"/>
  <c r="P87" i="13" s="1"/>
  <c r="H86" i="6"/>
  <c r="P86" i="13" s="1"/>
  <c r="H85" i="6"/>
  <c r="P85" i="13" s="1"/>
  <c r="H84" i="6"/>
  <c r="P84" i="13" s="1"/>
  <c r="H83" i="6"/>
  <c r="P83" i="13" s="1"/>
  <c r="H82" i="6"/>
  <c r="P82" i="13" s="1"/>
  <c r="H81" i="6"/>
  <c r="P81" i="13" s="1"/>
  <c r="H80" i="6"/>
  <c r="P80" i="13" s="1"/>
  <c r="H79" i="6"/>
  <c r="P79" i="13" s="1"/>
  <c r="H78" i="6"/>
  <c r="P78" i="13" s="1"/>
  <c r="H77" i="6"/>
  <c r="P77" i="13" s="1"/>
  <c r="H76" i="6"/>
  <c r="P76" i="13" s="1"/>
  <c r="H75" i="6"/>
  <c r="P75" i="13" s="1"/>
  <c r="H74" i="6"/>
  <c r="P74" i="13" s="1"/>
  <c r="H73" i="6"/>
  <c r="P73" i="13" s="1"/>
  <c r="H72" i="6"/>
  <c r="P72" i="13" s="1"/>
  <c r="H71" i="6"/>
  <c r="P71" i="13" s="1"/>
  <c r="H70" i="6"/>
  <c r="P70" i="13" s="1"/>
  <c r="H69" i="6"/>
  <c r="P69" i="13" s="1"/>
  <c r="H68" i="6"/>
  <c r="P68" i="13" s="1"/>
  <c r="H67" i="6"/>
  <c r="P67" i="13" s="1"/>
  <c r="H66" i="6"/>
  <c r="P66" i="13" s="1"/>
  <c r="H65" i="6"/>
  <c r="P65" i="13" s="1"/>
  <c r="H64" i="6"/>
  <c r="P64" i="13" s="1"/>
  <c r="H63" i="6"/>
  <c r="P63" i="13" s="1"/>
  <c r="H62" i="6"/>
  <c r="P62" i="13" s="1"/>
  <c r="H61" i="6"/>
  <c r="P61" i="13" s="1"/>
  <c r="H60" i="6"/>
  <c r="P60" i="13" s="1"/>
  <c r="H59" i="6"/>
  <c r="P59" i="13" s="1"/>
  <c r="H58" i="6"/>
  <c r="P58" i="13" s="1"/>
  <c r="H57" i="6"/>
  <c r="P57" i="13" s="1"/>
  <c r="H56" i="6"/>
  <c r="P56" i="13" s="1"/>
  <c r="H55" i="6"/>
  <c r="P55" i="13" s="1"/>
  <c r="H54" i="6"/>
  <c r="P54" i="13" s="1"/>
  <c r="H53" i="6"/>
  <c r="P53" i="13" s="1"/>
  <c r="H52" i="6"/>
  <c r="P52" i="13" s="1"/>
  <c r="H51" i="6"/>
  <c r="P51" i="13" s="1"/>
  <c r="H50" i="6"/>
  <c r="P50" i="13" s="1"/>
  <c r="H49" i="6"/>
  <c r="P49" i="13" s="1"/>
  <c r="H48" i="6"/>
  <c r="P48" i="13" s="1"/>
  <c r="H47" i="6"/>
  <c r="P47" i="13" s="1"/>
  <c r="H46" i="6"/>
  <c r="P46" i="13" s="1"/>
  <c r="H45" i="6"/>
  <c r="P45" i="13" s="1"/>
  <c r="H44" i="6"/>
  <c r="P44" i="13" s="1"/>
  <c r="H43" i="6"/>
  <c r="P43" i="13" s="1"/>
  <c r="H42" i="6"/>
  <c r="P42" i="13" s="1"/>
  <c r="H41" i="6"/>
  <c r="P41" i="13" s="1"/>
  <c r="H40" i="6"/>
  <c r="P40" i="13" s="1"/>
  <c r="H39" i="6"/>
  <c r="P39" i="13" s="1"/>
  <c r="H38" i="6"/>
  <c r="P38" i="13" s="1"/>
  <c r="H37" i="6"/>
  <c r="P37" i="13" s="1"/>
  <c r="H36" i="6"/>
  <c r="P36" i="13" s="1"/>
  <c r="H35" i="6"/>
  <c r="P35" i="13" s="1"/>
  <c r="H34" i="6"/>
  <c r="P34" i="13" s="1"/>
  <c r="H33" i="6"/>
  <c r="P33" i="13" s="1"/>
  <c r="H32" i="6"/>
  <c r="P32" i="13" s="1"/>
  <c r="H31" i="6"/>
  <c r="P31" i="13" s="1"/>
  <c r="H30" i="6"/>
  <c r="P30" i="13" s="1"/>
  <c r="H29" i="6"/>
  <c r="P29" i="13" s="1"/>
  <c r="H28" i="6"/>
  <c r="P28" i="13" s="1"/>
  <c r="H27" i="6"/>
  <c r="P27" i="13" s="1"/>
  <c r="H26" i="6"/>
  <c r="P26" i="13" s="1"/>
  <c r="H25" i="6"/>
  <c r="P25" i="13" s="1"/>
  <c r="H24" i="6"/>
  <c r="P24" i="13" s="1"/>
  <c r="H23" i="6"/>
  <c r="P23" i="13" s="1"/>
  <c r="H22" i="6"/>
  <c r="P22" i="13" s="1"/>
  <c r="H21" i="6"/>
  <c r="P21" i="13" s="1"/>
  <c r="H20" i="6"/>
  <c r="P20" i="13" s="1"/>
  <c r="H19" i="6"/>
  <c r="P19" i="13" s="1"/>
  <c r="H18" i="6"/>
  <c r="P18" i="13" s="1"/>
  <c r="H17" i="6"/>
  <c r="P17" i="13" s="1"/>
  <c r="H16" i="6"/>
  <c r="P16" i="13" s="1"/>
  <c r="H15" i="6"/>
  <c r="P15" i="13" s="1"/>
  <c r="H14" i="6"/>
  <c r="P14" i="13" s="1"/>
  <c r="H13" i="6"/>
  <c r="P13" i="13" s="1"/>
  <c r="H12" i="6"/>
  <c r="P12" i="13" s="1"/>
  <c r="H11" i="6"/>
  <c r="P11" i="13" s="1"/>
  <c r="H10" i="6"/>
  <c r="P10" i="13" s="1"/>
  <c r="H9" i="6"/>
  <c r="P9" i="13" s="1"/>
  <c r="H8" i="6"/>
  <c r="P8" i="13" s="1"/>
  <c r="L7" i="2"/>
  <c r="M7" i="2"/>
  <c r="N7" i="2"/>
  <c r="O7" i="2"/>
  <c r="C217" i="2"/>
  <c r="C216" i="2"/>
  <c r="E217" i="2"/>
  <c r="E216" i="2"/>
  <c r="F217" i="2"/>
  <c r="F216" i="2"/>
  <c r="G217" i="2"/>
  <c r="G216" i="2"/>
  <c r="L204" i="2"/>
  <c r="M204" i="2"/>
  <c r="N204" i="2"/>
  <c r="O204" i="2"/>
  <c r="P204" i="2"/>
  <c r="D204" i="2" s="1"/>
  <c r="E204" i="6" s="1"/>
  <c r="J204" i="13" s="1"/>
  <c r="L203" i="2"/>
  <c r="M203" i="2"/>
  <c r="N203" i="2"/>
  <c r="O203" i="2"/>
  <c r="P203" i="2"/>
  <c r="D203" i="2" s="1"/>
  <c r="E203" i="6" s="1"/>
  <c r="J203" i="13" s="1"/>
  <c r="L202" i="2"/>
  <c r="M202" i="2"/>
  <c r="N202" i="2"/>
  <c r="O202" i="2"/>
  <c r="P202" i="2"/>
  <c r="D202" i="2" s="1"/>
  <c r="E202" i="6" s="1"/>
  <c r="J202" i="13" s="1"/>
  <c r="L201" i="2"/>
  <c r="M201" i="2"/>
  <c r="N201" i="2"/>
  <c r="O201" i="2"/>
  <c r="P201" i="2"/>
  <c r="D201" i="2" s="1"/>
  <c r="E201" i="6" s="1"/>
  <c r="J201" i="13" s="1"/>
  <c r="L200" i="2"/>
  <c r="M200" i="2"/>
  <c r="N200" i="2"/>
  <c r="O200" i="2"/>
  <c r="P200" i="2"/>
  <c r="D200" i="2" s="1"/>
  <c r="E200" i="6" s="1"/>
  <c r="J200" i="13" s="1"/>
  <c r="L199" i="2"/>
  <c r="M199" i="2"/>
  <c r="N199" i="2"/>
  <c r="O199" i="2"/>
  <c r="P199" i="2"/>
  <c r="D199" i="2" s="1"/>
  <c r="E199" i="6" s="1"/>
  <c r="J199" i="13" s="1"/>
  <c r="L198" i="2"/>
  <c r="M198" i="2"/>
  <c r="N198" i="2"/>
  <c r="O198" i="2"/>
  <c r="P198" i="2"/>
  <c r="D198" i="2" s="1"/>
  <c r="E198" i="6" s="1"/>
  <c r="J198" i="13" s="1"/>
  <c r="L197" i="2"/>
  <c r="M197" i="2"/>
  <c r="N197" i="2"/>
  <c r="O197" i="2"/>
  <c r="P197" i="2"/>
  <c r="D197" i="2" s="1"/>
  <c r="E197" i="6" s="1"/>
  <c r="J197" i="13" s="1"/>
  <c r="L196" i="2"/>
  <c r="M196" i="2"/>
  <c r="N196" i="2"/>
  <c r="O196" i="2"/>
  <c r="P196" i="2"/>
  <c r="D196" i="2" s="1"/>
  <c r="E196" i="6" s="1"/>
  <c r="J196" i="13" s="1"/>
  <c r="L195" i="2"/>
  <c r="M195" i="2"/>
  <c r="N195" i="2"/>
  <c r="O195" i="2"/>
  <c r="P195" i="2"/>
  <c r="D195" i="2" s="1"/>
  <c r="E195" i="6" s="1"/>
  <c r="J195" i="13" s="1"/>
  <c r="L194" i="2"/>
  <c r="M194" i="2"/>
  <c r="N194" i="2"/>
  <c r="O194" i="2"/>
  <c r="P194" i="2"/>
  <c r="D194" i="2" s="1"/>
  <c r="E194" i="6" s="1"/>
  <c r="J194" i="13" s="1"/>
  <c r="L193" i="2"/>
  <c r="M193" i="2"/>
  <c r="N193" i="2"/>
  <c r="O193" i="2"/>
  <c r="P193" i="2"/>
  <c r="D193" i="2" s="1"/>
  <c r="E193" i="6" s="1"/>
  <c r="J193" i="13" s="1"/>
  <c r="L192" i="2"/>
  <c r="M192" i="2"/>
  <c r="N192" i="2"/>
  <c r="O192" i="2"/>
  <c r="P192" i="2"/>
  <c r="D192" i="2" s="1"/>
  <c r="E192" i="6" s="1"/>
  <c r="J192" i="13" s="1"/>
  <c r="L191" i="2"/>
  <c r="M191" i="2"/>
  <c r="N191" i="2"/>
  <c r="O191" i="2"/>
  <c r="P191" i="2"/>
  <c r="D191" i="2" s="1"/>
  <c r="E191" i="6" s="1"/>
  <c r="J191" i="13" s="1"/>
  <c r="L190" i="2"/>
  <c r="M190" i="2"/>
  <c r="N190" i="2"/>
  <c r="O190" i="2"/>
  <c r="P190" i="2"/>
  <c r="D190" i="2" s="1"/>
  <c r="E190" i="6" s="1"/>
  <c r="J190" i="13" s="1"/>
  <c r="L189" i="2"/>
  <c r="M189" i="2"/>
  <c r="N189" i="2"/>
  <c r="O189" i="2"/>
  <c r="P189" i="2"/>
  <c r="D189" i="2" s="1"/>
  <c r="E189" i="6" s="1"/>
  <c r="J189" i="13" s="1"/>
  <c r="L188" i="2"/>
  <c r="M188" i="2"/>
  <c r="N188" i="2"/>
  <c r="O188" i="2"/>
  <c r="P188" i="2"/>
  <c r="D188" i="2" s="1"/>
  <c r="E188" i="6" s="1"/>
  <c r="J188" i="13" s="1"/>
  <c r="L187" i="2"/>
  <c r="M187" i="2"/>
  <c r="N187" i="2"/>
  <c r="O187" i="2"/>
  <c r="P187" i="2"/>
  <c r="D187" i="2" s="1"/>
  <c r="E187" i="6" s="1"/>
  <c r="J187" i="13" s="1"/>
  <c r="L186" i="2"/>
  <c r="M186" i="2"/>
  <c r="N186" i="2"/>
  <c r="O186" i="2"/>
  <c r="P186" i="2"/>
  <c r="D186" i="2" s="1"/>
  <c r="E186" i="6" s="1"/>
  <c r="J186" i="13" s="1"/>
  <c r="L185" i="2"/>
  <c r="M185" i="2"/>
  <c r="N185" i="2"/>
  <c r="O185" i="2"/>
  <c r="P185" i="2"/>
  <c r="D185" i="2" s="1"/>
  <c r="E185" i="6" s="1"/>
  <c r="J185" i="13" s="1"/>
  <c r="L184" i="2"/>
  <c r="M184" i="2"/>
  <c r="N184" i="2"/>
  <c r="O184" i="2"/>
  <c r="P184" i="2"/>
  <c r="D184" i="2" s="1"/>
  <c r="E184" i="6" s="1"/>
  <c r="J184" i="13" s="1"/>
  <c r="L183" i="2"/>
  <c r="M183" i="2"/>
  <c r="N183" i="2"/>
  <c r="O183" i="2"/>
  <c r="P183" i="2"/>
  <c r="D183" i="2" s="1"/>
  <c r="E183" i="6" s="1"/>
  <c r="J183" i="13" s="1"/>
  <c r="L182" i="2"/>
  <c r="M182" i="2"/>
  <c r="N182" i="2"/>
  <c r="O182" i="2"/>
  <c r="P182" i="2"/>
  <c r="D182" i="2" s="1"/>
  <c r="E182" i="6" s="1"/>
  <c r="J182" i="13" s="1"/>
  <c r="L181" i="2"/>
  <c r="M181" i="2"/>
  <c r="N181" i="2"/>
  <c r="O181" i="2"/>
  <c r="P181" i="2"/>
  <c r="D181" i="2" s="1"/>
  <c r="E181" i="6" s="1"/>
  <c r="J181" i="13" s="1"/>
  <c r="L180" i="2"/>
  <c r="M180" i="2"/>
  <c r="N180" i="2"/>
  <c r="O180" i="2"/>
  <c r="P180" i="2"/>
  <c r="D180" i="2" s="1"/>
  <c r="E180" i="6" s="1"/>
  <c r="J180" i="13" s="1"/>
  <c r="L179" i="2"/>
  <c r="M179" i="2"/>
  <c r="N179" i="2"/>
  <c r="O179" i="2"/>
  <c r="P179" i="2"/>
  <c r="D179" i="2" s="1"/>
  <c r="E179" i="6" s="1"/>
  <c r="J179" i="13" s="1"/>
  <c r="L178" i="2"/>
  <c r="M178" i="2"/>
  <c r="N178" i="2"/>
  <c r="O178" i="2"/>
  <c r="P178" i="2"/>
  <c r="D178" i="2" s="1"/>
  <c r="E178" i="6" s="1"/>
  <c r="J178" i="13" s="1"/>
  <c r="L177" i="2"/>
  <c r="M177" i="2"/>
  <c r="N177" i="2"/>
  <c r="O177" i="2"/>
  <c r="P177" i="2"/>
  <c r="D177" i="2" s="1"/>
  <c r="E177" i="6" s="1"/>
  <c r="J177" i="13" s="1"/>
  <c r="L176" i="2"/>
  <c r="M176" i="2"/>
  <c r="N176" i="2"/>
  <c r="O176" i="2"/>
  <c r="P176" i="2"/>
  <c r="D176" i="2" s="1"/>
  <c r="E176" i="6" s="1"/>
  <c r="J176" i="13" s="1"/>
  <c r="L175" i="2"/>
  <c r="M175" i="2"/>
  <c r="N175" i="2"/>
  <c r="O175" i="2"/>
  <c r="P175" i="2"/>
  <c r="D175" i="2" s="1"/>
  <c r="E175" i="6" s="1"/>
  <c r="J175" i="13" s="1"/>
  <c r="L174" i="2"/>
  <c r="M174" i="2"/>
  <c r="N174" i="2"/>
  <c r="O174" i="2"/>
  <c r="P174" i="2"/>
  <c r="D174" i="2" s="1"/>
  <c r="E174" i="6" s="1"/>
  <c r="J174" i="13" s="1"/>
  <c r="L173" i="2"/>
  <c r="M173" i="2"/>
  <c r="N173" i="2"/>
  <c r="O173" i="2"/>
  <c r="P173" i="2"/>
  <c r="D173" i="2" s="1"/>
  <c r="E173" i="6" s="1"/>
  <c r="J173" i="13" s="1"/>
  <c r="L172" i="2"/>
  <c r="M172" i="2"/>
  <c r="N172" i="2"/>
  <c r="O172" i="2"/>
  <c r="P172" i="2"/>
  <c r="D172" i="2" s="1"/>
  <c r="E172" i="6" s="1"/>
  <c r="J172" i="13" s="1"/>
  <c r="L171" i="2"/>
  <c r="M171" i="2"/>
  <c r="N171" i="2"/>
  <c r="O171" i="2"/>
  <c r="P171" i="2"/>
  <c r="D171" i="2" s="1"/>
  <c r="E171" i="6" s="1"/>
  <c r="J171" i="13" s="1"/>
  <c r="L170" i="2"/>
  <c r="M170" i="2"/>
  <c r="N170" i="2"/>
  <c r="O170" i="2"/>
  <c r="P170" i="2"/>
  <c r="D170" i="2" s="1"/>
  <c r="E170" i="6" s="1"/>
  <c r="J170" i="13" s="1"/>
  <c r="L169" i="2"/>
  <c r="M169" i="2"/>
  <c r="N169" i="2"/>
  <c r="O169" i="2"/>
  <c r="P169" i="2"/>
  <c r="D169" i="2" s="1"/>
  <c r="E169" i="6" s="1"/>
  <c r="J169" i="13" s="1"/>
  <c r="L168" i="2"/>
  <c r="M168" i="2"/>
  <c r="N168" i="2"/>
  <c r="O168" i="2"/>
  <c r="P168" i="2"/>
  <c r="D168" i="2" s="1"/>
  <c r="E168" i="6" s="1"/>
  <c r="J168" i="13" s="1"/>
  <c r="L167" i="2"/>
  <c r="M167" i="2"/>
  <c r="N167" i="2"/>
  <c r="O167" i="2"/>
  <c r="P167" i="2"/>
  <c r="D167" i="2" s="1"/>
  <c r="E167" i="6" s="1"/>
  <c r="J167" i="13" s="1"/>
  <c r="L166" i="2"/>
  <c r="M166" i="2"/>
  <c r="N166" i="2"/>
  <c r="O166" i="2"/>
  <c r="P166" i="2"/>
  <c r="D166" i="2" s="1"/>
  <c r="E166" i="6" s="1"/>
  <c r="J166" i="13" s="1"/>
  <c r="L165" i="2"/>
  <c r="M165" i="2"/>
  <c r="N165" i="2"/>
  <c r="O165" i="2"/>
  <c r="P165" i="2"/>
  <c r="D165" i="2" s="1"/>
  <c r="E165" i="6" s="1"/>
  <c r="J165" i="13" s="1"/>
  <c r="L164" i="2"/>
  <c r="M164" i="2"/>
  <c r="N164" i="2"/>
  <c r="O164" i="2"/>
  <c r="P164" i="2"/>
  <c r="D164" i="2" s="1"/>
  <c r="E164" i="6" s="1"/>
  <c r="J164" i="13" s="1"/>
  <c r="L163" i="2"/>
  <c r="M163" i="2"/>
  <c r="N163" i="2"/>
  <c r="O163" i="2"/>
  <c r="P163" i="2"/>
  <c r="D163" i="2" s="1"/>
  <c r="E163" i="6" s="1"/>
  <c r="J163" i="13" s="1"/>
  <c r="L162" i="2"/>
  <c r="M162" i="2"/>
  <c r="N162" i="2"/>
  <c r="O162" i="2"/>
  <c r="P162" i="2"/>
  <c r="D162" i="2" s="1"/>
  <c r="E162" i="6" s="1"/>
  <c r="J162" i="13" s="1"/>
  <c r="L161" i="2"/>
  <c r="M161" i="2"/>
  <c r="N161" i="2"/>
  <c r="O161" i="2"/>
  <c r="P161" i="2"/>
  <c r="D161" i="2" s="1"/>
  <c r="E161" i="6" s="1"/>
  <c r="J161" i="13" s="1"/>
  <c r="L160" i="2"/>
  <c r="M160" i="2"/>
  <c r="N160" i="2"/>
  <c r="O160" i="2"/>
  <c r="P160" i="2"/>
  <c r="D160" i="2" s="1"/>
  <c r="E160" i="6" s="1"/>
  <c r="J160" i="13" s="1"/>
  <c r="L159" i="2"/>
  <c r="M159" i="2"/>
  <c r="N159" i="2"/>
  <c r="O159" i="2"/>
  <c r="P159" i="2"/>
  <c r="D159" i="2" s="1"/>
  <c r="E159" i="6" s="1"/>
  <c r="J159" i="13" s="1"/>
  <c r="L158" i="2"/>
  <c r="M158" i="2"/>
  <c r="N158" i="2"/>
  <c r="O158" i="2"/>
  <c r="P158" i="2"/>
  <c r="D158" i="2" s="1"/>
  <c r="E158" i="6" s="1"/>
  <c r="J158" i="13" s="1"/>
  <c r="L157" i="2"/>
  <c r="M157" i="2"/>
  <c r="N157" i="2"/>
  <c r="O157" i="2"/>
  <c r="P157" i="2"/>
  <c r="D157" i="2" s="1"/>
  <c r="E157" i="6" s="1"/>
  <c r="J157" i="13" s="1"/>
  <c r="L156" i="2"/>
  <c r="M156" i="2"/>
  <c r="N156" i="2"/>
  <c r="O156" i="2"/>
  <c r="P156" i="2"/>
  <c r="D156" i="2" s="1"/>
  <c r="E156" i="6" s="1"/>
  <c r="J156" i="13" s="1"/>
  <c r="L155" i="2"/>
  <c r="M155" i="2"/>
  <c r="N155" i="2"/>
  <c r="O155" i="2"/>
  <c r="P155" i="2"/>
  <c r="D155" i="2" s="1"/>
  <c r="E155" i="6" s="1"/>
  <c r="J155" i="13" s="1"/>
  <c r="L154" i="2"/>
  <c r="M154" i="2"/>
  <c r="N154" i="2"/>
  <c r="O154" i="2"/>
  <c r="P154" i="2"/>
  <c r="D154" i="2" s="1"/>
  <c r="E154" i="6" s="1"/>
  <c r="J154" i="13" s="1"/>
  <c r="L153" i="2"/>
  <c r="M153" i="2"/>
  <c r="N153" i="2"/>
  <c r="O153" i="2"/>
  <c r="P153" i="2"/>
  <c r="D153" i="2" s="1"/>
  <c r="E153" i="6" s="1"/>
  <c r="J153" i="13" s="1"/>
  <c r="L152" i="2"/>
  <c r="M152" i="2"/>
  <c r="N152" i="2"/>
  <c r="O152" i="2"/>
  <c r="P152" i="2"/>
  <c r="D152" i="2" s="1"/>
  <c r="E152" i="6" s="1"/>
  <c r="J152" i="13" s="1"/>
  <c r="L151" i="2"/>
  <c r="M151" i="2"/>
  <c r="N151" i="2"/>
  <c r="O151" i="2"/>
  <c r="P151" i="2"/>
  <c r="D151" i="2" s="1"/>
  <c r="E151" i="6" s="1"/>
  <c r="J151" i="13" s="1"/>
  <c r="L150" i="2"/>
  <c r="M150" i="2"/>
  <c r="N150" i="2"/>
  <c r="O150" i="2"/>
  <c r="P150" i="2"/>
  <c r="D150" i="2" s="1"/>
  <c r="E150" i="6" s="1"/>
  <c r="J150" i="13" s="1"/>
  <c r="L149" i="2"/>
  <c r="M149" i="2"/>
  <c r="N149" i="2"/>
  <c r="O149" i="2"/>
  <c r="P149" i="2"/>
  <c r="D149" i="2" s="1"/>
  <c r="E149" i="6" s="1"/>
  <c r="J149" i="13" s="1"/>
  <c r="L148" i="2"/>
  <c r="M148" i="2"/>
  <c r="N148" i="2"/>
  <c r="O148" i="2"/>
  <c r="P148" i="2"/>
  <c r="D148" i="2" s="1"/>
  <c r="E148" i="6" s="1"/>
  <c r="J148" i="13" s="1"/>
  <c r="L147" i="2"/>
  <c r="M147" i="2"/>
  <c r="N147" i="2"/>
  <c r="O147" i="2"/>
  <c r="P147" i="2"/>
  <c r="D147" i="2" s="1"/>
  <c r="E147" i="6" s="1"/>
  <c r="J147" i="13" s="1"/>
  <c r="L146" i="2"/>
  <c r="M146" i="2"/>
  <c r="N146" i="2"/>
  <c r="O146" i="2"/>
  <c r="P146" i="2"/>
  <c r="D146" i="2" s="1"/>
  <c r="E146" i="6" s="1"/>
  <c r="J146" i="13" s="1"/>
  <c r="L145" i="2"/>
  <c r="M145" i="2"/>
  <c r="N145" i="2"/>
  <c r="O145" i="2"/>
  <c r="P145" i="2"/>
  <c r="D145" i="2" s="1"/>
  <c r="E145" i="6" s="1"/>
  <c r="J145" i="13" s="1"/>
  <c r="L144" i="2"/>
  <c r="M144" i="2"/>
  <c r="N144" i="2"/>
  <c r="O144" i="2"/>
  <c r="P144" i="2"/>
  <c r="D144" i="2" s="1"/>
  <c r="E144" i="6" s="1"/>
  <c r="J144" i="13" s="1"/>
  <c r="L143" i="2"/>
  <c r="M143" i="2"/>
  <c r="N143" i="2"/>
  <c r="O143" i="2"/>
  <c r="P143" i="2"/>
  <c r="D143" i="2" s="1"/>
  <c r="E143" i="6" s="1"/>
  <c r="J143" i="13" s="1"/>
  <c r="L142" i="2"/>
  <c r="M142" i="2"/>
  <c r="N142" i="2"/>
  <c r="O142" i="2"/>
  <c r="P142" i="2"/>
  <c r="D142" i="2" s="1"/>
  <c r="E142" i="6" s="1"/>
  <c r="J142" i="13" s="1"/>
  <c r="L141" i="2"/>
  <c r="M141" i="2"/>
  <c r="N141" i="2"/>
  <c r="O141" i="2"/>
  <c r="P141" i="2"/>
  <c r="D141" i="2" s="1"/>
  <c r="E141" i="6" s="1"/>
  <c r="J141" i="13" s="1"/>
  <c r="L140" i="2"/>
  <c r="M140" i="2"/>
  <c r="N140" i="2"/>
  <c r="O140" i="2"/>
  <c r="P140" i="2"/>
  <c r="D140" i="2" s="1"/>
  <c r="E140" i="6" s="1"/>
  <c r="J140" i="13" s="1"/>
  <c r="L139" i="2"/>
  <c r="M139" i="2"/>
  <c r="N139" i="2"/>
  <c r="O139" i="2"/>
  <c r="P139" i="2"/>
  <c r="D139" i="2" s="1"/>
  <c r="E139" i="6" s="1"/>
  <c r="J139" i="13" s="1"/>
  <c r="L138" i="2"/>
  <c r="M138" i="2"/>
  <c r="N138" i="2"/>
  <c r="O138" i="2"/>
  <c r="P138" i="2"/>
  <c r="D138" i="2" s="1"/>
  <c r="E138" i="6" s="1"/>
  <c r="J138" i="13" s="1"/>
  <c r="L137" i="2"/>
  <c r="M137" i="2"/>
  <c r="N137" i="2"/>
  <c r="O137" i="2"/>
  <c r="P137" i="2"/>
  <c r="D137" i="2" s="1"/>
  <c r="E137" i="6" s="1"/>
  <c r="J137" i="13" s="1"/>
  <c r="L136" i="2"/>
  <c r="M136" i="2"/>
  <c r="N136" i="2"/>
  <c r="O136" i="2"/>
  <c r="P136" i="2"/>
  <c r="D136" i="2" s="1"/>
  <c r="E136" i="6" s="1"/>
  <c r="J136" i="13" s="1"/>
  <c r="L135" i="2"/>
  <c r="M135" i="2"/>
  <c r="N135" i="2"/>
  <c r="O135" i="2"/>
  <c r="P135" i="2"/>
  <c r="D135" i="2" s="1"/>
  <c r="E135" i="6" s="1"/>
  <c r="J135" i="13" s="1"/>
  <c r="L134" i="2"/>
  <c r="M134" i="2"/>
  <c r="N134" i="2"/>
  <c r="O134" i="2"/>
  <c r="P134" i="2"/>
  <c r="D134" i="2" s="1"/>
  <c r="E134" i="6" s="1"/>
  <c r="J134" i="13" s="1"/>
  <c r="L133" i="2"/>
  <c r="M133" i="2"/>
  <c r="N133" i="2"/>
  <c r="O133" i="2"/>
  <c r="P133" i="2"/>
  <c r="D133" i="2" s="1"/>
  <c r="E133" i="6" s="1"/>
  <c r="J133" i="13" s="1"/>
  <c r="L132" i="2"/>
  <c r="M132" i="2"/>
  <c r="N132" i="2"/>
  <c r="O132" i="2"/>
  <c r="P132" i="2"/>
  <c r="D132" i="2" s="1"/>
  <c r="E132" i="6" s="1"/>
  <c r="J132" i="13" s="1"/>
  <c r="L131" i="2"/>
  <c r="M131" i="2"/>
  <c r="N131" i="2"/>
  <c r="O131" i="2"/>
  <c r="P131" i="2"/>
  <c r="D131" i="2" s="1"/>
  <c r="E131" i="6" s="1"/>
  <c r="J131" i="13" s="1"/>
  <c r="L130" i="2"/>
  <c r="M130" i="2"/>
  <c r="N130" i="2"/>
  <c r="O130" i="2"/>
  <c r="P130" i="2"/>
  <c r="D130" i="2" s="1"/>
  <c r="E130" i="6" s="1"/>
  <c r="J130" i="13" s="1"/>
  <c r="L129" i="2"/>
  <c r="M129" i="2"/>
  <c r="N129" i="2"/>
  <c r="O129" i="2"/>
  <c r="P129" i="2"/>
  <c r="D129" i="2" s="1"/>
  <c r="E129" i="6" s="1"/>
  <c r="J129" i="13" s="1"/>
  <c r="L128" i="2"/>
  <c r="M128" i="2"/>
  <c r="N128" i="2"/>
  <c r="O128" i="2"/>
  <c r="P128" i="2"/>
  <c r="D128" i="2" s="1"/>
  <c r="E128" i="6" s="1"/>
  <c r="J128" i="13" s="1"/>
  <c r="L127" i="2"/>
  <c r="M127" i="2"/>
  <c r="N127" i="2"/>
  <c r="O127" i="2"/>
  <c r="P127" i="2"/>
  <c r="D127" i="2" s="1"/>
  <c r="E127" i="6" s="1"/>
  <c r="J127" i="13" s="1"/>
  <c r="L126" i="2"/>
  <c r="M126" i="2"/>
  <c r="N126" i="2"/>
  <c r="O126" i="2"/>
  <c r="P126" i="2"/>
  <c r="D126" i="2" s="1"/>
  <c r="E126" i="6" s="1"/>
  <c r="J126" i="13" s="1"/>
  <c r="L125" i="2"/>
  <c r="M125" i="2"/>
  <c r="N125" i="2"/>
  <c r="O125" i="2"/>
  <c r="P125" i="2"/>
  <c r="D125" i="2" s="1"/>
  <c r="E125" i="6" s="1"/>
  <c r="J125" i="13" s="1"/>
  <c r="L124" i="2"/>
  <c r="M124" i="2"/>
  <c r="N124" i="2"/>
  <c r="O124" i="2"/>
  <c r="P124" i="2"/>
  <c r="D124" i="2" s="1"/>
  <c r="E124" i="6" s="1"/>
  <c r="J124" i="13" s="1"/>
  <c r="L123" i="2"/>
  <c r="M123" i="2"/>
  <c r="N123" i="2"/>
  <c r="O123" i="2"/>
  <c r="P123" i="2"/>
  <c r="D123" i="2" s="1"/>
  <c r="E123" i="6" s="1"/>
  <c r="J123" i="13" s="1"/>
  <c r="L122" i="2"/>
  <c r="M122" i="2"/>
  <c r="N122" i="2"/>
  <c r="O122" i="2"/>
  <c r="P122" i="2"/>
  <c r="D122" i="2" s="1"/>
  <c r="E122" i="6" s="1"/>
  <c r="J122" i="13" s="1"/>
  <c r="L121" i="2"/>
  <c r="M121" i="2"/>
  <c r="N121" i="2"/>
  <c r="O121" i="2"/>
  <c r="P121" i="2"/>
  <c r="D121" i="2" s="1"/>
  <c r="E121" i="6" s="1"/>
  <c r="J121" i="13" s="1"/>
  <c r="L120" i="2"/>
  <c r="M120" i="2"/>
  <c r="N120" i="2"/>
  <c r="O120" i="2"/>
  <c r="P120" i="2"/>
  <c r="D120" i="2" s="1"/>
  <c r="E120" i="6" s="1"/>
  <c r="J120" i="13" s="1"/>
  <c r="L119" i="2"/>
  <c r="M119" i="2"/>
  <c r="N119" i="2"/>
  <c r="O119" i="2"/>
  <c r="P119" i="2"/>
  <c r="D119" i="2" s="1"/>
  <c r="E119" i="6" s="1"/>
  <c r="J119" i="13" s="1"/>
  <c r="L118" i="2"/>
  <c r="M118" i="2"/>
  <c r="N118" i="2"/>
  <c r="O118" i="2"/>
  <c r="P118" i="2"/>
  <c r="D118" i="2" s="1"/>
  <c r="E118" i="6" s="1"/>
  <c r="J118" i="13" s="1"/>
  <c r="L117" i="2"/>
  <c r="M117" i="2"/>
  <c r="N117" i="2"/>
  <c r="O117" i="2"/>
  <c r="P117" i="2"/>
  <c r="D117" i="2" s="1"/>
  <c r="E117" i="6" s="1"/>
  <c r="J117" i="13" s="1"/>
  <c r="L116" i="2"/>
  <c r="M116" i="2"/>
  <c r="N116" i="2"/>
  <c r="O116" i="2"/>
  <c r="P116" i="2"/>
  <c r="D116" i="2" s="1"/>
  <c r="E116" i="6" s="1"/>
  <c r="J116" i="13" s="1"/>
  <c r="L115" i="2"/>
  <c r="M115" i="2"/>
  <c r="N115" i="2"/>
  <c r="O115" i="2"/>
  <c r="P115" i="2"/>
  <c r="D115" i="2" s="1"/>
  <c r="E115" i="6" s="1"/>
  <c r="J115" i="13" s="1"/>
  <c r="L114" i="2"/>
  <c r="M114" i="2"/>
  <c r="N114" i="2"/>
  <c r="O114" i="2"/>
  <c r="P114" i="2"/>
  <c r="D114" i="2" s="1"/>
  <c r="E114" i="6" s="1"/>
  <c r="J114" i="13" s="1"/>
  <c r="L113" i="2"/>
  <c r="M113" i="2"/>
  <c r="N113" i="2"/>
  <c r="O113" i="2"/>
  <c r="P113" i="2"/>
  <c r="D113" i="2" s="1"/>
  <c r="E113" i="6" s="1"/>
  <c r="J113" i="13" s="1"/>
  <c r="L112" i="2"/>
  <c r="M112" i="2"/>
  <c r="N112" i="2"/>
  <c r="O112" i="2"/>
  <c r="P112" i="2"/>
  <c r="D112" i="2" s="1"/>
  <c r="E112" i="6" s="1"/>
  <c r="J112" i="13" s="1"/>
  <c r="L111" i="2"/>
  <c r="M111" i="2"/>
  <c r="N111" i="2"/>
  <c r="O111" i="2"/>
  <c r="P111" i="2"/>
  <c r="D111" i="2" s="1"/>
  <c r="E111" i="6" s="1"/>
  <c r="J111" i="13" s="1"/>
  <c r="L110" i="2"/>
  <c r="M110" i="2"/>
  <c r="N110" i="2"/>
  <c r="O110" i="2"/>
  <c r="P110" i="2"/>
  <c r="D110" i="2" s="1"/>
  <c r="E110" i="6" s="1"/>
  <c r="J110" i="13" s="1"/>
  <c r="L109" i="2"/>
  <c r="M109" i="2"/>
  <c r="N109" i="2"/>
  <c r="O109" i="2"/>
  <c r="P109" i="2"/>
  <c r="D109" i="2" s="1"/>
  <c r="E109" i="6" s="1"/>
  <c r="J109" i="13" s="1"/>
  <c r="L108" i="2"/>
  <c r="M108" i="2"/>
  <c r="N108" i="2"/>
  <c r="O108" i="2"/>
  <c r="P108" i="2"/>
  <c r="D108" i="2" s="1"/>
  <c r="E108" i="6" s="1"/>
  <c r="J108" i="13" s="1"/>
  <c r="L107" i="2"/>
  <c r="M107" i="2"/>
  <c r="N107" i="2"/>
  <c r="O107" i="2"/>
  <c r="P107" i="2"/>
  <c r="D107" i="2" s="1"/>
  <c r="E107" i="6" s="1"/>
  <c r="J107" i="13" s="1"/>
  <c r="L106" i="2"/>
  <c r="M106" i="2"/>
  <c r="N106" i="2"/>
  <c r="O106" i="2"/>
  <c r="P106" i="2"/>
  <c r="D106" i="2" s="1"/>
  <c r="E106" i="6" s="1"/>
  <c r="J106" i="13" s="1"/>
  <c r="L105" i="2"/>
  <c r="M105" i="2"/>
  <c r="N105" i="2"/>
  <c r="O105" i="2"/>
  <c r="P105" i="2"/>
  <c r="D105" i="2" s="1"/>
  <c r="E105" i="6" s="1"/>
  <c r="J105" i="13" s="1"/>
  <c r="L104" i="2"/>
  <c r="M104" i="2"/>
  <c r="N104" i="2"/>
  <c r="O104" i="2"/>
  <c r="P104" i="2"/>
  <c r="D104" i="2" s="1"/>
  <c r="E104" i="6" s="1"/>
  <c r="J104" i="13" s="1"/>
  <c r="L103" i="2"/>
  <c r="M103" i="2"/>
  <c r="N103" i="2"/>
  <c r="O103" i="2"/>
  <c r="P103" i="2"/>
  <c r="D103" i="2" s="1"/>
  <c r="E103" i="6" s="1"/>
  <c r="J103" i="13" s="1"/>
  <c r="L102" i="2"/>
  <c r="M102" i="2"/>
  <c r="N102" i="2"/>
  <c r="O102" i="2"/>
  <c r="P102" i="2"/>
  <c r="D102" i="2" s="1"/>
  <c r="E102" i="6" s="1"/>
  <c r="J102" i="13" s="1"/>
  <c r="L101" i="2"/>
  <c r="M101" i="2"/>
  <c r="N101" i="2"/>
  <c r="O101" i="2"/>
  <c r="P101" i="2"/>
  <c r="D101" i="2" s="1"/>
  <c r="E101" i="6" s="1"/>
  <c r="J101" i="13" s="1"/>
  <c r="L100" i="2"/>
  <c r="M100" i="2"/>
  <c r="N100" i="2"/>
  <c r="O100" i="2"/>
  <c r="P100" i="2"/>
  <c r="D100" i="2" s="1"/>
  <c r="E100" i="6" s="1"/>
  <c r="J100" i="13" s="1"/>
  <c r="L99" i="2"/>
  <c r="M99" i="2"/>
  <c r="N99" i="2"/>
  <c r="O99" i="2"/>
  <c r="P99" i="2"/>
  <c r="D99" i="2" s="1"/>
  <c r="E99" i="6" s="1"/>
  <c r="J99" i="13" s="1"/>
  <c r="L98" i="2"/>
  <c r="M98" i="2"/>
  <c r="N98" i="2"/>
  <c r="O98" i="2"/>
  <c r="P98" i="2"/>
  <c r="D98" i="2" s="1"/>
  <c r="E98" i="6" s="1"/>
  <c r="J98" i="13" s="1"/>
  <c r="L97" i="2"/>
  <c r="M97" i="2"/>
  <c r="N97" i="2"/>
  <c r="O97" i="2"/>
  <c r="P97" i="2"/>
  <c r="D97" i="2" s="1"/>
  <c r="E97" i="6" s="1"/>
  <c r="J97" i="13" s="1"/>
  <c r="L96" i="2"/>
  <c r="M96" i="2"/>
  <c r="N96" i="2"/>
  <c r="O96" i="2"/>
  <c r="P96" i="2"/>
  <c r="D96" i="2" s="1"/>
  <c r="E96" i="6" s="1"/>
  <c r="J96" i="13" s="1"/>
  <c r="L95" i="2"/>
  <c r="M95" i="2"/>
  <c r="N95" i="2"/>
  <c r="O95" i="2"/>
  <c r="P95" i="2"/>
  <c r="D95" i="2" s="1"/>
  <c r="E95" i="6" s="1"/>
  <c r="J95" i="13" s="1"/>
  <c r="L94" i="2"/>
  <c r="M94" i="2"/>
  <c r="N94" i="2"/>
  <c r="O94" i="2"/>
  <c r="P94" i="2"/>
  <c r="D94" i="2" s="1"/>
  <c r="E94" i="6" s="1"/>
  <c r="J94" i="13" s="1"/>
  <c r="L93" i="2"/>
  <c r="M93" i="2"/>
  <c r="N93" i="2"/>
  <c r="O93" i="2"/>
  <c r="P93" i="2"/>
  <c r="D93" i="2" s="1"/>
  <c r="E93" i="6" s="1"/>
  <c r="J93" i="13" s="1"/>
  <c r="L92" i="2"/>
  <c r="M92" i="2"/>
  <c r="N92" i="2"/>
  <c r="O92" i="2"/>
  <c r="P92" i="2"/>
  <c r="D92" i="2" s="1"/>
  <c r="E92" i="6" s="1"/>
  <c r="J92" i="13" s="1"/>
  <c r="L91" i="2"/>
  <c r="M91" i="2"/>
  <c r="N91" i="2"/>
  <c r="O91" i="2"/>
  <c r="P91" i="2"/>
  <c r="D91" i="2" s="1"/>
  <c r="E91" i="6" s="1"/>
  <c r="J91" i="13" s="1"/>
  <c r="L90" i="2"/>
  <c r="M90" i="2"/>
  <c r="N90" i="2"/>
  <c r="O90" i="2"/>
  <c r="P90" i="2"/>
  <c r="D90" i="2" s="1"/>
  <c r="E90" i="6" s="1"/>
  <c r="J90" i="13" s="1"/>
  <c r="L89" i="2"/>
  <c r="M89" i="2"/>
  <c r="N89" i="2"/>
  <c r="O89" i="2"/>
  <c r="P89" i="2"/>
  <c r="D89" i="2" s="1"/>
  <c r="E89" i="6" s="1"/>
  <c r="J89" i="13" s="1"/>
  <c r="L88" i="2"/>
  <c r="M88" i="2"/>
  <c r="N88" i="2"/>
  <c r="O88" i="2"/>
  <c r="P88" i="2"/>
  <c r="D88" i="2" s="1"/>
  <c r="E88" i="6" s="1"/>
  <c r="J88" i="13" s="1"/>
  <c r="L87" i="2"/>
  <c r="M87" i="2"/>
  <c r="N87" i="2"/>
  <c r="O87" i="2"/>
  <c r="P87" i="2"/>
  <c r="D87" i="2" s="1"/>
  <c r="E87" i="6" s="1"/>
  <c r="J87" i="13" s="1"/>
  <c r="L86" i="2"/>
  <c r="M86" i="2"/>
  <c r="N86" i="2"/>
  <c r="O86" i="2"/>
  <c r="P86" i="2"/>
  <c r="D86" i="2" s="1"/>
  <c r="E86" i="6" s="1"/>
  <c r="J86" i="13" s="1"/>
  <c r="L85" i="2"/>
  <c r="M85" i="2"/>
  <c r="N85" i="2"/>
  <c r="O85" i="2"/>
  <c r="P85" i="2"/>
  <c r="D85" i="2" s="1"/>
  <c r="E85" i="6" s="1"/>
  <c r="J85" i="13" s="1"/>
  <c r="L84" i="2"/>
  <c r="M84" i="2"/>
  <c r="N84" i="2"/>
  <c r="O84" i="2"/>
  <c r="P84" i="2"/>
  <c r="D84" i="2" s="1"/>
  <c r="E84" i="6" s="1"/>
  <c r="J84" i="13" s="1"/>
  <c r="L83" i="2"/>
  <c r="M83" i="2"/>
  <c r="N83" i="2"/>
  <c r="O83" i="2"/>
  <c r="P83" i="2"/>
  <c r="D83" i="2" s="1"/>
  <c r="E83" i="6" s="1"/>
  <c r="J83" i="13" s="1"/>
  <c r="L82" i="2"/>
  <c r="M82" i="2"/>
  <c r="N82" i="2"/>
  <c r="O82" i="2"/>
  <c r="P82" i="2"/>
  <c r="D82" i="2" s="1"/>
  <c r="E82" i="6" s="1"/>
  <c r="J82" i="13" s="1"/>
  <c r="L81" i="2"/>
  <c r="M81" i="2"/>
  <c r="N81" i="2"/>
  <c r="O81" i="2"/>
  <c r="P81" i="2"/>
  <c r="D81" i="2" s="1"/>
  <c r="E81" i="6" s="1"/>
  <c r="J81" i="13" s="1"/>
  <c r="L80" i="2"/>
  <c r="M80" i="2"/>
  <c r="N80" i="2"/>
  <c r="O80" i="2"/>
  <c r="P80" i="2"/>
  <c r="D80" i="2" s="1"/>
  <c r="E80" i="6" s="1"/>
  <c r="J80" i="13" s="1"/>
  <c r="L79" i="2"/>
  <c r="M79" i="2"/>
  <c r="N79" i="2"/>
  <c r="O79" i="2"/>
  <c r="P79" i="2"/>
  <c r="D79" i="2" s="1"/>
  <c r="E79" i="6" s="1"/>
  <c r="J79" i="13" s="1"/>
  <c r="L78" i="2"/>
  <c r="M78" i="2"/>
  <c r="N78" i="2"/>
  <c r="O78" i="2"/>
  <c r="P78" i="2"/>
  <c r="D78" i="2" s="1"/>
  <c r="E78" i="6" s="1"/>
  <c r="J78" i="13" s="1"/>
  <c r="L77" i="2"/>
  <c r="M77" i="2"/>
  <c r="N77" i="2"/>
  <c r="O77" i="2"/>
  <c r="P77" i="2"/>
  <c r="D77" i="2" s="1"/>
  <c r="E77" i="6" s="1"/>
  <c r="J77" i="13" s="1"/>
  <c r="L76" i="2"/>
  <c r="M76" i="2"/>
  <c r="N76" i="2"/>
  <c r="O76" i="2"/>
  <c r="P76" i="2"/>
  <c r="D76" i="2" s="1"/>
  <c r="E76" i="6" s="1"/>
  <c r="J76" i="13" s="1"/>
  <c r="L75" i="2"/>
  <c r="M75" i="2"/>
  <c r="N75" i="2"/>
  <c r="O75" i="2"/>
  <c r="P75" i="2"/>
  <c r="D75" i="2" s="1"/>
  <c r="E75" i="6" s="1"/>
  <c r="J75" i="13" s="1"/>
  <c r="L74" i="2"/>
  <c r="M74" i="2"/>
  <c r="N74" i="2"/>
  <c r="O74" i="2"/>
  <c r="P74" i="2"/>
  <c r="D74" i="2" s="1"/>
  <c r="E74" i="6" s="1"/>
  <c r="J74" i="13" s="1"/>
  <c r="L73" i="2"/>
  <c r="M73" i="2"/>
  <c r="N73" i="2"/>
  <c r="O73" i="2"/>
  <c r="P73" i="2"/>
  <c r="D73" i="2" s="1"/>
  <c r="E73" i="6" s="1"/>
  <c r="J73" i="13" s="1"/>
  <c r="L72" i="2"/>
  <c r="M72" i="2"/>
  <c r="N72" i="2"/>
  <c r="O72" i="2"/>
  <c r="P72" i="2"/>
  <c r="D72" i="2" s="1"/>
  <c r="E72" i="6" s="1"/>
  <c r="J72" i="13" s="1"/>
  <c r="L71" i="2"/>
  <c r="M71" i="2"/>
  <c r="N71" i="2"/>
  <c r="O71" i="2"/>
  <c r="P71" i="2"/>
  <c r="D71" i="2" s="1"/>
  <c r="E71" i="6" s="1"/>
  <c r="J71" i="13" s="1"/>
  <c r="L70" i="2"/>
  <c r="M70" i="2"/>
  <c r="N70" i="2"/>
  <c r="O70" i="2"/>
  <c r="P70" i="2"/>
  <c r="D70" i="2" s="1"/>
  <c r="E70" i="6" s="1"/>
  <c r="J70" i="13" s="1"/>
  <c r="L69" i="2"/>
  <c r="M69" i="2"/>
  <c r="N69" i="2"/>
  <c r="O69" i="2"/>
  <c r="P69" i="2"/>
  <c r="D69" i="2" s="1"/>
  <c r="E69" i="6" s="1"/>
  <c r="J69" i="13" s="1"/>
  <c r="L68" i="2"/>
  <c r="M68" i="2"/>
  <c r="N68" i="2"/>
  <c r="O68" i="2"/>
  <c r="P68" i="2"/>
  <c r="D68" i="2" s="1"/>
  <c r="E68" i="6" s="1"/>
  <c r="J68" i="13" s="1"/>
  <c r="L67" i="2"/>
  <c r="M67" i="2"/>
  <c r="N67" i="2"/>
  <c r="O67" i="2"/>
  <c r="P67" i="2"/>
  <c r="D67" i="2" s="1"/>
  <c r="E67" i="6" s="1"/>
  <c r="J67" i="13" s="1"/>
  <c r="L66" i="2"/>
  <c r="M66" i="2"/>
  <c r="N66" i="2"/>
  <c r="O66" i="2"/>
  <c r="P66" i="2"/>
  <c r="D66" i="2" s="1"/>
  <c r="E66" i="6" s="1"/>
  <c r="J66" i="13" s="1"/>
  <c r="L65" i="2"/>
  <c r="M65" i="2"/>
  <c r="N65" i="2"/>
  <c r="O65" i="2"/>
  <c r="P65" i="2"/>
  <c r="D65" i="2" s="1"/>
  <c r="E65" i="6" s="1"/>
  <c r="J65" i="13" s="1"/>
  <c r="L64" i="2"/>
  <c r="M64" i="2"/>
  <c r="N64" i="2"/>
  <c r="O64" i="2"/>
  <c r="P64" i="2"/>
  <c r="D64" i="2" s="1"/>
  <c r="E64" i="6" s="1"/>
  <c r="J64" i="13" s="1"/>
  <c r="L63" i="2"/>
  <c r="M63" i="2"/>
  <c r="N63" i="2"/>
  <c r="O63" i="2"/>
  <c r="P63" i="2"/>
  <c r="D63" i="2" s="1"/>
  <c r="E63" i="6" s="1"/>
  <c r="J63" i="13" s="1"/>
  <c r="L62" i="2"/>
  <c r="M62" i="2"/>
  <c r="N62" i="2"/>
  <c r="O62" i="2"/>
  <c r="P62" i="2"/>
  <c r="D62" i="2" s="1"/>
  <c r="E62" i="6" s="1"/>
  <c r="J62" i="13" s="1"/>
  <c r="L61" i="2"/>
  <c r="M61" i="2"/>
  <c r="N61" i="2"/>
  <c r="O61" i="2"/>
  <c r="P61" i="2"/>
  <c r="D61" i="2" s="1"/>
  <c r="E61" i="6" s="1"/>
  <c r="J61" i="13" s="1"/>
  <c r="L60" i="2"/>
  <c r="M60" i="2"/>
  <c r="N60" i="2"/>
  <c r="O60" i="2"/>
  <c r="P60" i="2"/>
  <c r="D60" i="2" s="1"/>
  <c r="E60" i="6" s="1"/>
  <c r="J60" i="13" s="1"/>
  <c r="L59" i="2"/>
  <c r="M59" i="2"/>
  <c r="N59" i="2"/>
  <c r="O59" i="2"/>
  <c r="P59" i="2"/>
  <c r="D59" i="2" s="1"/>
  <c r="E59" i="6" s="1"/>
  <c r="J59" i="13" s="1"/>
  <c r="L58" i="2"/>
  <c r="M58" i="2"/>
  <c r="N58" i="2"/>
  <c r="O58" i="2"/>
  <c r="P58" i="2"/>
  <c r="D58" i="2" s="1"/>
  <c r="E58" i="6" s="1"/>
  <c r="J58" i="13" s="1"/>
  <c r="L57" i="2"/>
  <c r="M57" i="2"/>
  <c r="N57" i="2"/>
  <c r="O57" i="2"/>
  <c r="P57" i="2"/>
  <c r="D57" i="2" s="1"/>
  <c r="E57" i="6" s="1"/>
  <c r="J57" i="13" s="1"/>
  <c r="L56" i="2"/>
  <c r="M56" i="2"/>
  <c r="N56" i="2"/>
  <c r="O56" i="2"/>
  <c r="P56" i="2"/>
  <c r="D56" i="2" s="1"/>
  <c r="E56" i="6" s="1"/>
  <c r="J56" i="13" s="1"/>
  <c r="L55" i="2"/>
  <c r="M55" i="2"/>
  <c r="N55" i="2"/>
  <c r="O55" i="2"/>
  <c r="P55" i="2"/>
  <c r="D55" i="2" s="1"/>
  <c r="E55" i="6" s="1"/>
  <c r="J55" i="13" s="1"/>
  <c r="L54" i="2"/>
  <c r="M54" i="2"/>
  <c r="N54" i="2"/>
  <c r="O54" i="2"/>
  <c r="P54" i="2"/>
  <c r="D54" i="2" s="1"/>
  <c r="E54" i="6" s="1"/>
  <c r="J54" i="13" s="1"/>
  <c r="L53" i="2"/>
  <c r="M53" i="2"/>
  <c r="N53" i="2"/>
  <c r="O53" i="2"/>
  <c r="P53" i="2"/>
  <c r="D53" i="2" s="1"/>
  <c r="E53" i="6" s="1"/>
  <c r="J53" i="13" s="1"/>
  <c r="L52" i="2"/>
  <c r="M52" i="2"/>
  <c r="N52" i="2"/>
  <c r="O52" i="2"/>
  <c r="P52" i="2"/>
  <c r="D52" i="2" s="1"/>
  <c r="E52" i="6" s="1"/>
  <c r="J52" i="13" s="1"/>
  <c r="L51" i="2"/>
  <c r="M51" i="2"/>
  <c r="N51" i="2"/>
  <c r="O51" i="2"/>
  <c r="P51" i="2"/>
  <c r="D51" i="2" s="1"/>
  <c r="E51" i="6" s="1"/>
  <c r="J51" i="13" s="1"/>
  <c r="L50" i="2"/>
  <c r="M50" i="2"/>
  <c r="N50" i="2"/>
  <c r="O50" i="2"/>
  <c r="P50" i="2"/>
  <c r="D50" i="2" s="1"/>
  <c r="E50" i="6" s="1"/>
  <c r="J50" i="13" s="1"/>
  <c r="L49" i="2"/>
  <c r="M49" i="2"/>
  <c r="N49" i="2"/>
  <c r="O49" i="2"/>
  <c r="P49" i="2"/>
  <c r="D49" i="2" s="1"/>
  <c r="E49" i="6" s="1"/>
  <c r="J49" i="13" s="1"/>
  <c r="L48" i="2"/>
  <c r="M48" i="2"/>
  <c r="N48" i="2"/>
  <c r="O48" i="2"/>
  <c r="P48" i="2"/>
  <c r="D48" i="2" s="1"/>
  <c r="E48" i="6" s="1"/>
  <c r="J48" i="13" s="1"/>
  <c r="L47" i="2"/>
  <c r="M47" i="2"/>
  <c r="N47" i="2"/>
  <c r="O47" i="2"/>
  <c r="P47" i="2"/>
  <c r="D47" i="2" s="1"/>
  <c r="E47" i="6" s="1"/>
  <c r="J47" i="13" s="1"/>
  <c r="L46" i="2"/>
  <c r="M46" i="2"/>
  <c r="N46" i="2"/>
  <c r="O46" i="2"/>
  <c r="P46" i="2"/>
  <c r="D46" i="2" s="1"/>
  <c r="E46" i="6" s="1"/>
  <c r="J46" i="13" s="1"/>
  <c r="L45" i="2"/>
  <c r="M45" i="2"/>
  <c r="N45" i="2"/>
  <c r="O45" i="2"/>
  <c r="P45" i="2"/>
  <c r="D45" i="2" s="1"/>
  <c r="E45" i="6" s="1"/>
  <c r="J45" i="13" s="1"/>
  <c r="L44" i="2"/>
  <c r="M44" i="2"/>
  <c r="N44" i="2"/>
  <c r="O44" i="2"/>
  <c r="P44" i="2"/>
  <c r="D44" i="2" s="1"/>
  <c r="E44" i="6" s="1"/>
  <c r="J44" i="13" s="1"/>
  <c r="L43" i="2"/>
  <c r="M43" i="2"/>
  <c r="N43" i="2"/>
  <c r="O43" i="2"/>
  <c r="P43" i="2"/>
  <c r="D43" i="2" s="1"/>
  <c r="E43" i="6" s="1"/>
  <c r="J43" i="13" s="1"/>
  <c r="L42" i="2"/>
  <c r="M42" i="2"/>
  <c r="N42" i="2"/>
  <c r="O42" i="2"/>
  <c r="P42" i="2"/>
  <c r="D42" i="2" s="1"/>
  <c r="E42" i="6" s="1"/>
  <c r="J42" i="13" s="1"/>
  <c r="L41" i="2"/>
  <c r="M41" i="2"/>
  <c r="N41" i="2"/>
  <c r="O41" i="2"/>
  <c r="P41" i="2"/>
  <c r="D41" i="2" s="1"/>
  <c r="E41" i="6" s="1"/>
  <c r="J41" i="13" s="1"/>
  <c r="L40" i="2"/>
  <c r="M40" i="2"/>
  <c r="N40" i="2"/>
  <c r="O40" i="2"/>
  <c r="P40" i="2"/>
  <c r="D40" i="2" s="1"/>
  <c r="E40" i="6" s="1"/>
  <c r="J40" i="13" s="1"/>
  <c r="L39" i="2"/>
  <c r="M39" i="2"/>
  <c r="N39" i="2"/>
  <c r="O39" i="2"/>
  <c r="P39" i="2"/>
  <c r="D39" i="2" s="1"/>
  <c r="E39" i="6" s="1"/>
  <c r="J39" i="13" s="1"/>
  <c r="L38" i="2"/>
  <c r="M38" i="2"/>
  <c r="N38" i="2"/>
  <c r="O38" i="2"/>
  <c r="P38" i="2"/>
  <c r="D38" i="2" s="1"/>
  <c r="E38" i="6" s="1"/>
  <c r="J38" i="13" s="1"/>
  <c r="L37" i="2"/>
  <c r="M37" i="2"/>
  <c r="N37" i="2"/>
  <c r="O37" i="2"/>
  <c r="P37" i="2"/>
  <c r="D37" i="2" s="1"/>
  <c r="E37" i="6" s="1"/>
  <c r="J37" i="13" s="1"/>
  <c r="L36" i="2"/>
  <c r="M36" i="2"/>
  <c r="N36" i="2"/>
  <c r="O36" i="2"/>
  <c r="P36" i="2"/>
  <c r="D36" i="2" s="1"/>
  <c r="E36" i="6" s="1"/>
  <c r="J36" i="13" s="1"/>
  <c r="L35" i="2"/>
  <c r="M35" i="2"/>
  <c r="N35" i="2"/>
  <c r="O35" i="2"/>
  <c r="P35" i="2"/>
  <c r="D35" i="2" s="1"/>
  <c r="E35" i="6" s="1"/>
  <c r="J35" i="13" s="1"/>
  <c r="L34" i="2"/>
  <c r="M34" i="2"/>
  <c r="N34" i="2"/>
  <c r="O34" i="2"/>
  <c r="P34" i="2"/>
  <c r="D34" i="2" s="1"/>
  <c r="E34" i="6" s="1"/>
  <c r="J34" i="13" s="1"/>
  <c r="L33" i="2"/>
  <c r="M33" i="2"/>
  <c r="N33" i="2"/>
  <c r="O33" i="2"/>
  <c r="P33" i="2"/>
  <c r="D33" i="2" s="1"/>
  <c r="E33" i="6" s="1"/>
  <c r="J33" i="13" s="1"/>
  <c r="L32" i="2"/>
  <c r="M32" i="2"/>
  <c r="N32" i="2"/>
  <c r="O32" i="2"/>
  <c r="P32" i="2"/>
  <c r="D32" i="2" s="1"/>
  <c r="E32" i="6" s="1"/>
  <c r="J32" i="13" s="1"/>
  <c r="L31" i="2"/>
  <c r="M31" i="2"/>
  <c r="N31" i="2"/>
  <c r="O31" i="2"/>
  <c r="P31" i="2"/>
  <c r="D31" i="2" s="1"/>
  <c r="E31" i="6" s="1"/>
  <c r="J31" i="13" s="1"/>
  <c r="L30" i="2"/>
  <c r="M30" i="2"/>
  <c r="N30" i="2"/>
  <c r="O30" i="2"/>
  <c r="P30" i="2"/>
  <c r="D30" i="2" s="1"/>
  <c r="E30" i="6" s="1"/>
  <c r="J30" i="13" s="1"/>
  <c r="L29" i="2"/>
  <c r="M29" i="2"/>
  <c r="N29" i="2"/>
  <c r="O29" i="2"/>
  <c r="P29" i="2"/>
  <c r="D29" i="2" s="1"/>
  <c r="E29" i="6" s="1"/>
  <c r="J29" i="13" s="1"/>
  <c r="L28" i="2"/>
  <c r="M28" i="2"/>
  <c r="N28" i="2"/>
  <c r="O28" i="2"/>
  <c r="P28" i="2"/>
  <c r="D28" i="2" s="1"/>
  <c r="E28" i="6" s="1"/>
  <c r="J28" i="13" s="1"/>
  <c r="L27" i="2"/>
  <c r="M27" i="2"/>
  <c r="N27" i="2"/>
  <c r="O27" i="2"/>
  <c r="P27" i="2"/>
  <c r="D27" i="2" s="1"/>
  <c r="E27" i="6" s="1"/>
  <c r="J27" i="13" s="1"/>
  <c r="L26" i="2"/>
  <c r="M26" i="2"/>
  <c r="N26" i="2"/>
  <c r="O26" i="2"/>
  <c r="P26" i="2"/>
  <c r="D26" i="2" s="1"/>
  <c r="E26" i="6" s="1"/>
  <c r="J26" i="13" s="1"/>
  <c r="L25" i="2"/>
  <c r="M25" i="2"/>
  <c r="N25" i="2"/>
  <c r="O25" i="2"/>
  <c r="P25" i="2"/>
  <c r="D25" i="2" s="1"/>
  <c r="E25" i="6" s="1"/>
  <c r="J25" i="13" s="1"/>
  <c r="L24" i="2"/>
  <c r="M24" i="2"/>
  <c r="N24" i="2"/>
  <c r="O24" i="2"/>
  <c r="P24" i="2"/>
  <c r="D24" i="2" s="1"/>
  <c r="E24" i="6" s="1"/>
  <c r="J24" i="13" s="1"/>
  <c r="L23" i="2"/>
  <c r="M23" i="2"/>
  <c r="N23" i="2"/>
  <c r="O23" i="2"/>
  <c r="P23" i="2"/>
  <c r="D23" i="2" s="1"/>
  <c r="E23" i="6" s="1"/>
  <c r="J23" i="13" s="1"/>
  <c r="L22" i="2"/>
  <c r="M22" i="2"/>
  <c r="N22" i="2"/>
  <c r="O22" i="2"/>
  <c r="P22" i="2"/>
  <c r="D22" i="2" s="1"/>
  <c r="E22" i="6" s="1"/>
  <c r="J22" i="13" s="1"/>
  <c r="L21" i="2"/>
  <c r="M21" i="2"/>
  <c r="N21" i="2"/>
  <c r="O21" i="2"/>
  <c r="P21" i="2"/>
  <c r="D21" i="2" s="1"/>
  <c r="E21" i="6" s="1"/>
  <c r="J21" i="13" s="1"/>
  <c r="L20" i="2"/>
  <c r="M20" i="2"/>
  <c r="N20" i="2"/>
  <c r="O20" i="2"/>
  <c r="P20" i="2"/>
  <c r="D20" i="2" s="1"/>
  <c r="E20" i="6" s="1"/>
  <c r="J20" i="13" s="1"/>
  <c r="L19" i="2"/>
  <c r="M19" i="2"/>
  <c r="N19" i="2"/>
  <c r="O19" i="2"/>
  <c r="P19" i="2"/>
  <c r="D19" i="2" s="1"/>
  <c r="E19" i="6" s="1"/>
  <c r="J19" i="13" s="1"/>
  <c r="L18" i="2"/>
  <c r="M18" i="2"/>
  <c r="N18" i="2"/>
  <c r="O18" i="2"/>
  <c r="P18" i="2"/>
  <c r="D18" i="2" s="1"/>
  <c r="E18" i="6" s="1"/>
  <c r="J18" i="13" s="1"/>
  <c r="L17" i="2"/>
  <c r="M17" i="2"/>
  <c r="N17" i="2"/>
  <c r="O17" i="2"/>
  <c r="P17" i="2"/>
  <c r="D17" i="2" s="1"/>
  <c r="E17" i="6" s="1"/>
  <c r="J17" i="13" s="1"/>
  <c r="L16" i="2"/>
  <c r="M16" i="2"/>
  <c r="N16" i="2"/>
  <c r="O16" i="2"/>
  <c r="P16" i="2"/>
  <c r="D16" i="2" s="1"/>
  <c r="E16" i="6" s="1"/>
  <c r="J16" i="13" s="1"/>
  <c r="L15" i="2"/>
  <c r="M15" i="2"/>
  <c r="N15" i="2"/>
  <c r="O15" i="2"/>
  <c r="P15" i="2"/>
  <c r="D15" i="2" s="1"/>
  <c r="E15" i="6" s="1"/>
  <c r="J15" i="13" s="1"/>
  <c r="L14" i="2"/>
  <c r="M14" i="2"/>
  <c r="N14" i="2"/>
  <c r="O14" i="2"/>
  <c r="P14" i="2"/>
  <c r="D14" i="2" s="1"/>
  <c r="E14" i="6" s="1"/>
  <c r="J14" i="13" s="1"/>
  <c r="L13" i="2"/>
  <c r="M13" i="2"/>
  <c r="N13" i="2"/>
  <c r="O13" i="2"/>
  <c r="P13" i="2"/>
  <c r="D13" i="2" s="1"/>
  <c r="E13" i="6" s="1"/>
  <c r="J13" i="13" s="1"/>
  <c r="L12" i="2"/>
  <c r="M12" i="2"/>
  <c r="N12" i="2"/>
  <c r="O12" i="2"/>
  <c r="P12" i="2"/>
  <c r="D12" i="2" s="1"/>
  <c r="E12" i="6" s="1"/>
  <c r="J12" i="13" s="1"/>
  <c r="L11" i="2"/>
  <c r="M11" i="2"/>
  <c r="N11" i="2"/>
  <c r="O11" i="2"/>
  <c r="P11" i="2"/>
  <c r="D11" i="2" s="1"/>
  <c r="E11" i="6" s="1"/>
  <c r="J11" i="13" s="1"/>
  <c r="L10" i="2"/>
  <c r="M10" i="2"/>
  <c r="N10" i="2"/>
  <c r="O10" i="2"/>
  <c r="P10" i="2"/>
  <c r="D10" i="2" s="1"/>
  <c r="E10" i="6" s="1"/>
  <c r="J10" i="13" s="1"/>
  <c r="L9" i="2"/>
  <c r="M9" i="2"/>
  <c r="N9" i="2"/>
  <c r="O9" i="2"/>
  <c r="P9" i="2"/>
  <c r="D9" i="2" s="1"/>
  <c r="E9" i="6" s="1"/>
  <c r="J9" i="13" s="1"/>
  <c r="L8" i="2"/>
  <c r="M8" i="2"/>
  <c r="N8" i="2"/>
  <c r="O8" i="2"/>
  <c r="P8" i="2"/>
  <c r="D8" i="2" s="1"/>
  <c r="E8" i="6" s="1"/>
  <c r="J8" i="13" s="1"/>
  <c r="D204" i="6"/>
  <c r="H204" i="13" s="1"/>
  <c r="D203" i="6"/>
  <c r="H203" i="13" s="1"/>
  <c r="D202" i="6"/>
  <c r="H202" i="13" s="1"/>
  <c r="D201" i="6"/>
  <c r="H201" i="13" s="1"/>
  <c r="D200" i="6"/>
  <c r="H200" i="13" s="1"/>
  <c r="D199" i="6"/>
  <c r="H199" i="13" s="1"/>
  <c r="D198" i="6"/>
  <c r="H198" i="13" s="1"/>
  <c r="D197" i="6"/>
  <c r="H197" i="13" s="1"/>
  <c r="D196" i="6"/>
  <c r="H196" i="13" s="1"/>
  <c r="D195" i="6"/>
  <c r="H195" i="13" s="1"/>
  <c r="D194" i="6"/>
  <c r="H194" i="13" s="1"/>
  <c r="D193" i="6"/>
  <c r="H193" i="13" s="1"/>
  <c r="D192" i="6"/>
  <c r="H192" i="13" s="1"/>
  <c r="D191" i="6"/>
  <c r="H191" i="13" s="1"/>
  <c r="D190" i="6"/>
  <c r="H190" i="13" s="1"/>
  <c r="D189" i="6"/>
  <c r="H189" i="13" s="1"/>
  <c r="D188" i="6"/>
  <c r="H188" i="13" s="1"/>
  <c r="D187" i="6"/>
  <c r="H187" i="13" s="1"/>
  <c r="D186" i="6"/>
  <c r="H186" i="13" s="1"/>
  <c r="D185" i="6"/>
  <c r="H185" i="13" s="1"/>
  <c r="D184" i="6"/>
  <c r="H184" i="13" s="1"/>
  <c r="D183" i="6"/>
  <c r="H183" i="13" s="1"/>
  <c r="D182" i="6"/>
  <c r="H182" i="13" s="1"/>
  <c r="D181" i="6"/>
  <c r="H181" i="13" s="1"/>
  <c r="D180" i="6"/>
  <c r="H180" i="13" s="1"/>
  <c r="D179" i="6"/>
  <c r="H179" i="13" s="1"/>
  <c r="D178" i="6"/>
  <c r="H178" i="13" s="1"/>
  <c r="D177" i="6"/>
  <c r="H177" i="13" s="1"/>
  <c r="D176" i="6"/>
  <c r="H176" i="13" s="1"/>
  <c r="D175" i="6"/>
  <c r="H175" i="13" s="1"/>
  <c r="D174" i="6"/>
  <c r="H174" i="13" s="1"/>
  <c r="D173" i="6"/>
  <c r="H173" i="13" s="1"/>
  <c r="D172" i="6"/>
  <c r="H172" i="13" s="1"/>
  <c r="D171" i="6"/>
  <c r="H171" i="13" s="1"/>
  <c r="D170" i="6"/>
  <c r="H170" i="13" s="1"/>
  <c r="D169" i="6"/>
  <c r="H169" i="13" s="1"/>
  <c r="D168" i="6"/>
  <c r="H168" i="13" s="1"/>
  <c r="D167" i="6"/>
  <c r="H167" i="13" s="1"/>
  <c r="D166" i="6"/>
  <c r="H166" i="13" s="1"/>
  <c r="D165" i="6"/>
  <c r="H165" i="13" s="1"/>
  <c r="D164" i="6"/>
  <c r="H164" i="13" s="1"/>
  <c r="D163" i="6"/>
  <c r="H163" i="13" s="1"/>
  <c r="D162" i="6"/>
  <c r="H162" i="13" s="1"/>
  <c r="D161" i="6"/>
  <c r="H161" i="13" s="1"/>
  <c r="D160" i="6"/>
  <c r="H160" i="13" s="1"/>
  <c r="D159" i="6"/>
  <c r="H159" i="13" s="1"/>
  <c r="D158" i="6"/>
  <c r="H158" i="13" s="1"/>
  <c r="D157" i="6"/>
  <c r="H157" i="13" s="1"/>
  <c r="D156" i="6"/>
  <c r="H156" i="13" s="1"/>
  <c r="D155" i="6"/>
  <c r="H155" i="13" s="1"/>
  <c r="D154" i="6"/>
  <c r="H154" i="13" s="1"/>
  <c r="D153" i="6"/>
  <c r="H153" i="13" s="1"/>
  <c r="D152" i="6"/>
  <c r="H152" i="13" s="1"/>
  <c r="D151" i="6"/>
  <c r="H151" i="13" s="1"/>
  <c r="D150" i="6"/>
  <c r="H150" i="13" s="1"/>
  <c r="D149" i="6"/>
  <c r="H149" i="13" s="1"/>
  <c r="D148" i="6"/>
  <c r="H148" i="13" s="1"/>
  <c r="D147" i="6"/>
  <c r="H147" i="13" s="1"/>
  <c r="D146" i="6"/>
  <c r="H146" i="13" s="1"/>
  <c r="D145" i="6"/>
  <c r="H145" i="13" s="1"/>
  <c r="D144" i="6"/>
  <c r="H144" i="13" s="1"/>
  <c r="D143" i="6"/>
  <c r="H143" i="13" s="1"/>
  <c r="D142" i="6"/>
  <c r="H142" i="13" s="1"/>
  <c r="D141" i="6"/>
  <c r="H141" i="13" s="1"/>
  <c r="D140" i="6"/>
  <c r="H140" i="13" s="1"/>
  <c r="D139" i="6"/>
  <c r="H139" i="13" s="1"/>
  <c r="D138" i="6"/>
  <c r="H138" i="13" s="1"/>
  <c r="D137" i="6"/>
  <c r="H137" i="13" s="1"/>
  <c r="D136" i="6"/>
  <c r="H136" i="13" s="1"/>
  <c r="D135" i="6"/>
  <c r="H135" i="13" s="1"/>
  <c r="D134" i="6"/>
  <c r="H134" i="13" s="1"/>
  <c r="D133" i="6"/>
  <c r="H133" i="13" s="1"/>
  <c r="D132" i="6"/>
  <c r="H132" i="13" s="1"/>
  <c r="D131" i="6"/>
  <c r="H131" i="13" s="1"/>
  <c r="D130" i="6"/>
  <c r="H130" i="13" s="1"/>
  <c r="D129" i="6"/>
  <c r="H129" i="13" s="1"/>
  <c r="D128" i="6"/>
  <c r="H128" i="13" s="1"/>
  <c r="D127" i="6"/>
  <c r="H127" i="13" s="1"/>
  <c r="D126" i="6"/>
  <c r="H126" i="13" s="1"/>
  <c r="D125" i="6"/>
  <c r="H125" i="13" s="1"/>
  <c r="D124" i="6"/>
  <c r="H124" i="13" s="1"/>
  <c r="D123" i="6"/>
  <c r="H123" i="13" s="1"/>
  <c r="D122" i="6"/>
  <c r="H122" i="13" s="1"/>
  <c r="D121" i="6"/>
  <c r="H121" i="13" s="1"/>
  <c r="D120" i="6"/>
  <c r="H120" i="13" s="1"/>
  <c r="D119" i="6"/>
  <c r="H119" i="13" s="1"/>
  <c r="D118" i="6"/>
  <c r="H118" i="13" s="1"/>
  <c r="D117" i="6"/>
  <c r="H117" i="13" s="1"/>
  <c r="D116" i="6"/>
  <c r="H116" i="13" s="1"/>
  <c r="D115" i="6"/>
  <c r="H115" i="13" s="1"/>
  <c r="D114" i="6"/>
  <c r="H114" i="13" s="1"/>
  <c r="D113" i="6"/>
  <c r="H113" i="13" s="1"/>
  <c r="D112" i="6"/>
  <c r="H112" i="13" s="1"/>
  <c r="D111" i="6"/>
  <c r="H111" i="13" s="1"/>
  <c r="D110" i="6"/>
  <c r="H110" i="13" s="1"/>
  <c r="D109" i="6"/>
  <c r="H109" i="13" s="1"/>
  <c r="D108" i="6"/>
  <c r="H108" i="13" s="1"/>
  <c r="D107" i="6"/>
  <c r="H107" i="13" s="1"/>
  <c r="D106" i="6"/>
  <c r="H106" i="13" s="1"/>
  <c r="D105" i="6"/>
  <c r="H105" i="13" s="1"/>
  <c r="D104" i="6"/>
  <c r="H104" i="13" s="1"/>
  <c r="D103" i="6"/>
  <c r="H103" i="13" s="1"/>
  <c r="D102" i="6"/>
  <c r="H102" i="13" s="1"/>
  <c r="D101" i="6"/>
  <c r="H101" i="13" s="1"/>
  <c r="D100" i="6"/>
  <c r="H100" i="13" s="1"/>
  <c r="D99" i="6"/>
  <c r="H99" i="13" s="1"/>
  <c r="D98" i="6"/>
  <c r="H98" i="13" s="1"/>
  <c r="D97" i="6"/>
  <c r="H97" i="13" s="1"/>
  <c r="D96" i="6"/>
  <c r="H96" i="13" s="1"/>
  <c r="D95" i="6"/>
  <c r="H95" i="13" s="1"/>
  <c r="D94" i="6"/>
  <c r="H94" i="13" s="1"/>
  <c r="D93" i="6"/>
  <c r="H93" i="13" s="1"/>
  <c r="D92" i="6"/>
  <c r="H92" i="13" s="1"/>
  <c r="D91" i="6"/>
  <c r="H91" i="13" s="1"/>
  <c r="D90" i="6"/>
  <c r="H90" i="13" s="1"/>
  <c r="D89" i="6"/>
  <c r="H89" i="13" s="1"/>
  <c r="D88" i="6"/>
  <c r="H88" i="13" s="1"/>
  <c r="D87" i="6"/>
  <c r="H87" i="13" s="1"/>
  <c r="D86" i="6"/>
  <c r="H86" i="13" s="1"/>
  <c r="D85" i="6"/>
  <c r="H85" i="13" s="1"/>
  <c r="D84" i="6"/>
  <c r="H84" i="13" s="1"/>
  <c r="D83" i="6"/>
  <c r="H83" i="13" s="1"/>
  <c r="D82" i="6"/>
  <c r="H82" i="13" s="1"/>
  <c r="D81" i="6"/>
  <c r="H81" i="13" s="1"/>
  <c r="D80" i="6"/>
  <c r="D79" i="6"/>
  <c r="H79" i="13" s="1"/>
  <c r="D78" i="6"/>
  <c r="H78" i="13" s="1"/>
  <c r="D77" i="6"/>
  <c r="H77" i="13" s="1"/>
  <c r="D76" i="6"/>
  <c r="H76" i="13" s="1"/>
  <c r="D75" i="6"/>
  <c r="H75" i="13" s="1"/>
  <c r="D74" i="6"/>
  <c r="H74" i="13" s="1"/>
  <c r="D73" i="6"/>
  <c r="H73" i="13" s="1"/>
  <c r="D72" i="6"/>
  <c r="H72" i="13" s="1"/>
  <c r="D71" i="6"/>
  <c r="H71" i="13" s="1"/>
  <c r="D70" i="6"/>
  <c r="H70" i="13" s="1"/>
  <c r="D69" i="6"/>
  <c r="H69" i="13" s="1"/>
  <c r="D68" i="6"/>
  <c r="H68" i="13" s="1"/>
  <c r="D67" i="6"/>
  <c r="H67" i="13" s="1"/>
  <c r="D66" i="6"/>
  <c r="H66" i="13" s="1"/>
  <c r="D65" i="6"/>
  <c r="H65" i="13" s="1"/>
  <c r="D64" i="6"/>
  <c r="H64" i="13" s="1"/>
  <c r="D63" i="6"/>
  <c r="H63" i="13" s="1"/>
  <c r="D62" i="6"/>
  <c r="H62" i="13" s="1"/>
  <c r="D61" i="6"/>
  <c r="H61" i="13" s="1"/>
  <c r="D60" i="6"/>
  <c r="H60" i="13" s="1"/>
  <c r="D59" i="6"/>
  <c r="H59" i="13" s="1"/>
  <c r="D58" i="6"/>
  <c r="H58" i="13" s="1"/>
  <c r="D57" i="6"/>
  <c r="H57" i="13" s="1"/>
  <c r="D56" i="6"/>
  <c r="H56" i="13" s="1"/>
  <c r="D55" i="6"/>
  <c r="H55" i="13" s="1"/>
  <c r="D54" i="6"/>
  <c r="H54" i="13" s="1"/>
  <c r="D53" i="6"/>
  <c r="H53" i="13" s="1"/>
  <c r="D52" i="6"/>
  <c r="H52" i="13" s="1"/>
  <c r="D51" i="6"/>
  <c r="H51" i="13" s="1"/>
  <c r="D50" i="6"/>
  <c r="H50" i="13" s="1"/>
  <c r="D49" i="6"/>
  <c r="H49" i="13" s="1"/>
  <c r="D48" i="6"/>
  <c r="H48" i="13" s="1"/>
  <c r="D47" i="6"/>
  <c r="H47" i="13" s="1"/>
  <c r="D46" i="6"/>
  <c r="H46" i="13" s="1"/>
  <c r="D45" i="6"/>
  <c r="H45" i="13" s="1"/>
  <c r="D44" i="6"/>
  <c r="H44" i="13" s="1"/>
  <c r="D43" i="6"/>
  <c r="H43" i="13" s="1"/>
  <c r="D42" i="6"/>
  <c r="H42" i="13" s="1"/>
  <c r="D41" i="6"/>
  <c r="H41" i="13" s="1"/>
  <c r="D40" i="6"/>
  <c r="H40" i="13" s="1"/>
  <c r="D39" i="6"/>
  <c r="H39" i="13" s="1"/>
  <c r="D38" i="6"/>
  <c r="H38" i="13" s="1"/>
  <c r="D37" i="6"/>
  <c r="H37" i="13" s="1"/>
  <c r="D36" i="6"/>
  <c r="H36" i="13" s="1"/>
  <c r="D35" i="6"/>
  <c r="H35" i="13" s="1"/>
  <c r="D34" i="6"/>
  <c r="H34" i="13" s="1"/>
  <c r="D33" i="6"/>
  <c r="H33" i="13" s="1"/>
  <c r="D32" i="6"/>
  <c r="H32" i="13" s="1"/>
  <c r="D31" i="6"/>
  <c r="H31" i="13" s="1"/>
  <c r="D30" i="6"/>
  <c r="H30" i="13" s="1"/>
  <c r="D29" i="6"/>
  <c r="H29" i="13" s="1"/>
  <c r="D28" i="6"/>
  <c r="H28" i="13" s="1"/>
  <c r="D27" i="6"/>
  <c r="H27" i="13" s="1"/>
  <c r="D26" i="6"/>
  <c r="H26" i="13" s="1"/>
  <c r="D25" i="6"/>
  <c r="H25" i="13" s="1"/>
  <c r="D24" i="6"/>
  <c r="H24" i="13" s="1"/>
  <c r="D23" i="6"/>
  <c r="H23" i="13" s="1"/>
  <c r="D22" i="6"/>
  <c r="H22" i="13" s="1"/>
  <c r="D21" i="6"/>
  <c r="H21" i="13" s="1"/>
  <c r="D20" i="6"/>
  <c r="H20" i="13" s="1"/>
  <c r="D19" i="6"/>
  <c r="H19" i="13" s="1"/>
  <c r="D18" i="6"/>
  <c r="H18" i="13" s="1"/>
  <c r="D17" i="6"/>
  <c r="H17" i="13" s="1"/>
  <c r="D16" i="6"/>
  <c r="H16" i="13" s="1"/>
  <c r="D15" i="6"/>
  <c r="H15" i="13" s="1"/>
  <c r="D14" i="6"/>
  <c r="H14" i="13" s="1"/>
  <c r="D13" i="6"/>
  <c r="H13" i="13" s="1"/>
  <c r="D12" i="6"/>
  <c r="H12" i="13" s="1"/>
  <c r="D11" i="6"/>
  <c r="H11" i="13" s="1"/>
  <c r="D10" i="6"/>
  <c r="H10" i="13" s="1"/>
  <c r="D9" i="6"/>
  <c r="H9" i="13" s="1"/>
  <c r="D8" i="6"/>
  <c r="H8" i="13" s="1"/>
  <c r="J7" i="2"/>
  <c r="K7" i="2"/>
  <c r="X220" i="2"/>
  <c r="AA220" i="2"/>
  <c r="V220" i="2"/>
  <c r="W220" i="2"/>
  <c r="Y220" i="2"/>
  <c r="Z220" i="2"/>
  <c r="AB220" i="2"/>
  <c r="F7" i="6"/>
  <c r="L7" i="13" s="1"/>
  <c r="B217" i="2"/>
  <c r="B216" i="2"/>
  <c r="P7" i="2"/>
  <c r="I7" i="2"/>
  <c r="H7" i="2"/>
  <c r="C207" i="6" l="1"/>
  <c r="F207" i="13" s="1"/>
  <c r="R207" i="13" s="1"/>
  <c r="DN207" i="13" s="1"/>
  <c r="C210" i="6"/>
  <c r="F210" i="13" s="1"/>
  <c r="R210" i="13" s="1"/>
  <c r="DN210" i="13" s="1"/>
  <c r="C206" i="6"/>
  <c r="F206" i="13" s="1"/>
  <c r="R206" i="13" s="1"/>
  <c r="DN206" i="13" s="1"/>
  <c r="C209" i="6"/>
  <c r="F209" i="13" s="1"/>
  <c r="R209" i="13" s="1"/>
  <c r="DN209" i="13" s="1"/>
  <c r="C208" i="6"/>
  <c r="F208" i="13" s="1"/>
  <c r="R208" i="13" s="1"/>
  <c r="DN208" i="13" s="1"/>
  <c r="C212" i="6"/>
  <c r="F212" i="13" s="1"/>
  <c r="R212" i="13" s="1"/>
  <c r="DN212" i="13" s="1"/>
  <c r="C205" i="6"/>
  <c r="F205" i="13" s="1"/>
  <c r="R205" i="13" s="1"/>
  <c r="DN205" i="13" s="1"/>
  <c r="C190" i="6"/>
  <c r="F190" i="13" s="1"/>
  <c r="R190" i="13" s="1"/>
  <c r="DN190" i="13" s="1"/>
  <c r="C192" i="6"/>
  <c r="F192" i="13" s="1"/>
  <c r="R192" i="13" s="1"/>
  <c r="DN192" i="13" s="1"/>
  <c r="C196" i="6"/>
  <c r="F196" i="13" s="1"/>
  <c r="R196" i="13" s="1"/>
  <c r="DN196" i="13" s="1"/>
  <c r="C188" i="6"/>
  <c r="F188" i="13" s="1"/>
  <c r="R188" i="13" s="1"/>
  <c r="DN188" i="13" s="1"/>
  <c r="C186" i="6"/>
  <c r="F186" i="13" s="1"/>
  <c r="R186" i="13" s="1"/>
  <c r="DN186" i="13" s="1"/>
  <c r="C193" i="6"/>
  <c r="F193" i="13" s="1"/>
  <c r="R193" i="13" s="1"/>
  <c r="DN193" i="13" s="1"/>
  <c r="C199" i="6"/>
  <c r="F199" i="13" s="1"/>
  <c r="R199" i="13" s="1"/>
  <c r="DN199" i="13" s="1"/>
  <c r="C200" i="6"/>
  <c r="F200" i="13" s="1"/>
  <c r="R200" i="13" s="1"/>
  <c r="DN200" i="13" s="1"/>
  <c r="C201" i="6"/>
  <c r="F201" i="13" s="1"/>
  <c r="R201" i="13" s="1"/>
  <c r="DN201" i="13" s="1"/>
  <c r="C203" i="6"/>
  <c r="F203" i="13" s="1"/>
  <c r="R203" i="13" s="1"/>
  <c r="DN203" i="13" s="1"/>
  <c r="C182" i="6"/>
  <c r="F182" i="13" s="1"/>
  <c r="R182" i="13" s="1"/>
  <c r="DN182" i="13" s="1"/>
  <c r="C185" i="6"/>
  <c r="F185" i="13" s="1"/>
  <c r="R185" i="13" s="1"/>
  <c r="DN185" i="13" s="1"/>
  <c r="H80" i="13"/>
  <c r="F218" i="6"/>
  <c r="F217" i="6"/>
  <c r="F216" i="6"/>
  <c r="F215" i="6"/>
  <c r="G181" i="6"/>
  <c r="G183" i="6"/>
  <c r="G184" i="6"/>
  <c r="G187" i="6"/>
  <c r="G189" i="6"/>
  <c r="G191" i="6"/>
  <c r="G194" i="6"/>
  <c r="G195" i="6"/>
  <c r="G197" i="6"/>
  <c r="G198" i="6"/>
  <c r="G202" i="6"/>
  <c r="G204" i="6"/>
  <c r="H7" i="6"/>
  <c r="P7" i="13" s="1"/>
  <c r="H217" i="2"/>
  <c r="H216" i="2"/>
  <c r="I217" i="2"/>
  <c r="I216" i="2"/>
  <c r="D7" i="2"/>
  <c r="P217" i="2"/>
  <c r="P216" i="2"/>
  <c r="K217" i="2"/>
  <c r="K216" i="2"/>
  <c r="J217" i="2"/>
  <c r="J216" i="2"/>
  <c r="O217" i="2"/>
  <c r="O216" i="2"/>
  <c r="N217" i="2"/>
  <c r="N216" i="2"/>
  <c r="M217" i="2"/>
  <c r="M216" i="2"/>
  <c r="L217" i="2"/>
  <c r="L216" i="2"/>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N108" i="13" s="1"/>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C80" i="6" s="1"/>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N7" i="13" s="1"/>
  <c r="F8" i="13" l="1"/>
  <c r="N8" i="13"/>
  <c r="C9" i="6"/>
  <c r="F9" i="13" s="1"/>
  <c r="N9" i="13"/>
  <c r="C10" i="6"/>
  <c r="F10" i="13" s="1"/>
  <c r="N10" i="13"/>
  <c r="C11" i="6"/>
  <c r="F11" i="13" s="1"/>
  <c r="N11" i="13"/>
  <c r="C12" i="6"/>
  <c r="F12" i="13" s="1"/>
  <c r="N12" i="13"/>
  <c r="C13" i="6"/>
  <c r="F13" i="13" s="1"/>
  <c r="N13" i="13"/>
  <c r="C14" i="6"/>
  <c r="F14" i="13" s="1"/>
  <c r="N14" i="13"/>
  <c r="C15" i="6"/>
  <c r="F15" i="13" s="1"/>
  <c r="N15" i="13"/>
  <c r="C16" i="6"/>
  <c r="F16" i="13" s="1"/>
  <c r="N16" i="13"/>
  <c r="C18" i="6"/>
  <c r="F18" i="13" s="1"/>
  <c r="N18" i="13"/>
  <c r="C19" i="6"/>
  <c r="F19" i="13" s="1"/>
  <c r="N19" i="13"/>
  <c r="C20" i="6"/>
  <c r="F20" i="13" s="1"/>
  <c r="N20" i="13"/>
  <c r="C21" i="6"/>
  <c r="F21" i="13" s="1"/>
  <c r="N21" i="13"/>
  <c r="C22" i="6"/>
  <c r="F22" i="13" s="1"/>
  <c r="N22" i="13"/>
  <c r="C23" i="6"/>
  <c r="F23" i="13" s="1"/>
  <c r="N23" i="13"/>
  <c r="C24" i="6"/>
  <c r="F24" i="13" s="1"/>
  <c r="N24" i="13"/>
  <c r="C25" i="6"/>
  <c r="F25" i="13" s="1"/>
  <c r="N25" i="13"/>
  <c r="F26" i="13"/>
  <c r="N26" i="13"/>
  <c r="C27" i="6"/>
  <c r="F27" i="13" s="1"/>
  <c r="N27" i="13"/>
  <c r="C28" i="6"/>
  <c r="F28" i="13" s="1"/>
  <c r="N28" i="13"/>
  <c r="C29" i="6"/>
  <c r="F29" i="13" s="1"/>
  <c r="N29" i="13"/>
  <c r="C30" i="6"/>
  <c r="F30" i="13" s="1"/>
  <c r="N30" i="13"/>
  <c r="C31" i="6"/>
  <c r="F31" i="13" s="1"/>
  <c r="N31" i="13"/>
  <c r="C32" i="6"/>
  <c r="F32" i="13" s="1"/>
  <c r="N32" i="13"/>
  <c r="C33" i="6"/>
  <c r="F33" i="13" s="1"/>
  <c r="N33" i="13"/>
  <c r="C34" i="6"/>
  <c r="F34" i="13" s="1"/>
  <c r="N34" i="13"/>
  <c r="C35" i="6"/>
  <c r="F35" i="13" s="1"/>
  <c r="N35" i="13"/>
  <c r="C37" i="6"/>
  <c r="F37" i="13" s="1"/>
  <c r="N37" i="13"/>
  <c r="C38" i="6"/>
  <c r="F38" i="13" s="1"/>
  <c r="N38" i="13"/>
  <c r="C39" i="6"/>
  <c r="F39" i="13" s="1"/>
  <c r="N39" i="13"/>
  <c r="C40" i="6"/>
  <c r="F40" i="13" s="1"/>
  <c r="N40" i="13"/>
  <c r="C41" i="6"/>
  <c r="F41" i="13" s="1"/>
  <c r="N41" i="13"/>
  <c r="C42" i="6"/>
  <c r="F42" i="13" s="1"/>
  <c r="N42" i="13"/>
  <c r="C43" i="6"/>
  <c r="F43" i="13" s="1"/>
  <c r="N43" i="13"/>
  <c r="C44" i="6"/>
  <c r="F44" i="13" s="1"/>
  <c r="N44" i="13"/>
  <c r="C45" i="6"/>
  <c r="F45" i="13" s="1"/>
  <c r="N45" i="13"/>
  <c r="C46" i="6"/>
  <c r="F46" i="13" s="1"/>
  <c r="N46" i="13"/>
  <c r="C47" i="6"/>
  <c r="F47" i="13" s="1"/>
  <c r="N47" i="13"/>
  <c r="C48" i="6"/>
  <c r="F48" i="13" s="1"/>
  <c r="N48" i="13"/>
  <c r="C49" i="6"/>
  <c r="F49" i="13" s="1"/>
  <c r="N49" i="13"/>
  <c r="C50" i="6"/>
  <c r="F50" i="13" s="1"/>
  <c r="N50" i="13"/>
  <c r="C51" i="6"/>
  <c r="F51" i="13" s="1"/>
  <c r="N51" i="13"/>
  <c r="C52" i="6"/>
  <c r="F52" i="13" s="1"/>
  <c r="N52" i="13"/>
  <c r="C53" i="6"/>
  <c r="F53" i="13" s="1"/>
  <c r="N53" i="13"/>
  <c r="C54" i="6"/>
  <c r="F54" i="13" s="1"/>
  <c r="N54" i="13"/>
  <c r="C55" i="6"/>
  <c r="F55" i="13" s="1"/>
  <c r="N55" i="13"/>
  <c r="C56" i="6"/>
  <c r="F56" i="13" s="1"/>
  <c r="N56" i="13"/>
  <c r="C57" i="6"/>
  <c r="F57" i="13" s="1"/>
  <c r="N57" i="13"/>
  <c r="C58" i="6"/>
  <c r="F58" i="13" s="1"/>
  <c r="N58" i="13"/>
  <c r="C59" i="6"/>
  <c r="F59" i="13" s="1"/>
  <c r="N59" i="13"/>
  <c r="C60" i="6"/>
  <c r="F60" i="13" s="1"/>
  <c r="N60" i="13"/>
  <c r="F61" i="13"/>
  <c r="N61" i="13"/>
  <c r="C62" i="6"/>
  <c r="F62" i="13" s="1"/>
  <c r="N62" i="13"/>
  <c r="C63" i="6"/>
  <c r="F63" i="13" s="1"/>
  <c r="N63" i="13"/>
  <c r="C64" i="6"/>
  <c r="F64" i="13" s="1"/>
  <c r="N64" i="13"/>
  <c r="C65" i="6"/>
  <c r="F65" i="13" s="1"/>
  <c r="N65" i="13"/>
  <c r="C66" i="6"/>
  <c r="F66" i="13" s="1"/>
  <c r="N66" i="13"/>
  <c r="C67" i="6"/>
  <c r="F67" i="13" s="1"/>
  <c r="N67" i="13"/>
  <c r="C68" i="6"/>
  <c r="F68" i="13" s="1"/>
  <c r="N68" i="13"/>
  <c r="C69" i="6"/>
  <c r="F69" i="13" s="1"/>
  <c r="N69" i="13"/>
  <c r="C70" i="6"/>
  <c r="F70" i="13" s="1"/>
  <c r="N70" i="13"/>
  <c r="C71" i="6"/>
  <c r="F71" i="13" s="1"/>
  <c r="N71" i="13"/>
  <c r="C72" i="6"/>
  <c r="F72" i="13" s="1"/>
  <c r="N72" i="13"/>
  <c r="C73" i="6"/>
  <c r="F73" i="13" s="1"/>
  <c r="N73" i="13"/>
  <c r="C74" i="6"/>
  <c r="F74" i="13" s="1"/>
  <c r="N74" i="13"/>
  <c r="C75" i="6"/>
  <c r="F75" i="13" s="1"/>
  <c r="N75" i="13"/>
  <c r="C76" i="6"/>
  <c r="F76" i="13" s="1"/>
  <c r="N76" i="13"/>
  <c r="C77" i="6"/>
  <c r="F77" i="13" s="1"/>
  <c r="N77" i="13"/>
  <c r="C78" i="6"/>
  <c r="F78" i="13" s="1"/>
  <c r="N78" i="13"/>
  <c r="C79" i="6"/>
  <c r="F79" i="13" s="1"/>
  <c r="N79" i="13"/>
  <c r="F80" i="13"/>
  <c r="N80" i="13"/>
  <c r="C81" i="6"/>
  <c r="F81" i="13" s="1"/>
  <c r="N81" i="13"/>
  <c r="C82" i="6"/>
  <c r="F82" i="13" s="1"/>
  <c r="N82" i="13"/>
  <c r="C83" i="6"/>
  <c r="F83" i="13" s="1"/>
  <c r="N83" i="13"/>
  <c r="C84" i="6"/>
  <c r="F84" i="13" s="1"/>
  <c r="N84" i="13"/>
  <c r="C85" i="6"/>
  <c r="F85" i="13" s="1"/>
  <c r="N85" i="13"/>
  <c r="C86" i="6"/>
  <c r="F86" i="13" s="1"/>
  <c r="N86" i="13"/>
  <c r="C88" i="6"/>
  <c r="F88" i="13" s="1"/>
  <c r="N88" i="13"/>
  <c r="C89" i="6"/>
  <c r="F89" i="13" s="1"/>
  <c r="N89" i="13"/>
  <c r="C90" i="6"/>
  <c r="F90" i="13" s="1"/>
  <c r="N90" i="13"/>
  <c r="C91" i="6"/>
  <c r="F91" i="13" s="1"/>
  <c r="N91" i="13"/>
  <c r="C92" i="6"/>
  <c r="F92" i="13" s="1"/>
  <c r="N92" i="13"/>
  <c r="C93" i="6"/>
  <c r="F93" i="13" s="1"/>
  <c r="N93" i="13"/>
  <c r="C94" i="6"/>
  <c r="F94" i="13" s="1"/>
  <c r="N94" i="13"/>
  <c r="C95" i="6"/>
  <c r="F95" i="13" s="1"/>
  <c r="N95" i="13"/>
  <c r="C96" i="6"/>
  <c r="F96" i="13" s="1"/>
  <c r="N96" i="13"/>
  <c r="C97" i="6"/>
  <c r="F97" i="13" s="1"/>
  <c r="N97" i="13"/>
  <c r="C98" i="6"/>
  <c r="F98" i="13" s="1"/>
  <c r="N98" i="13"/>
  <c r="C99" i="6"/>
  <c r="F99" i="13" s="1"/>
  <c r="N99" i="13"/>
  <c r="C100" i="6"/>
  <c r="F100" i="13" s="1"/>
  <c r="N100" i="13"/>
  <c r="C101" i="6"/>
  <c r="F101" i="13" s="1"/>
  <c r="N101" i="13"/>
  <c r="C102" i="6"/>
  <c r="F102" i="13" s="1"/>
  <c r="N102" i="13"/>
  <c r="C103" i="6"/>
  <c r="F103" i="13" s="1"/>
  <c r="N103" i="13"/>
  <c r="C104" i="6"/>
  <c r="F104" i="13" s="1"/>
  <c r="N104" i="13"/>
  <c r="C105" i="6"/>
  <c r="F105" i="13" s="1"/>
  <c r="N105" i="13"/>
  <c r="C106" i="6"/>
  <c r="F106" i="13" s="1"/>
  <c r="N106" i="13"/>
  <c r="C109" i="6"/>
  <c r="F109" i="13" s="1"/>
  <c r="N109" i="13"/>
  <c r="C110" i="6"/>
  <c r="F110" i="13" s="1"/>
  <c r="N110" i="13"/>
  <c r="C111" i="6"/>
  <c r="F111" i="13" s="1"/>
  <c r="N111" i="13"/>
  <c r="C113" i="6"/>
  <c r="F113" i="13" s="1"/>
  <c r="N113" i="13"/>
  <c r="C114" i="6"/>
  <c r="F114" i="13" s="1"/>
  <c r="N114" i="13"/>
  <c r="C115" i="6"/>
  <c r="F115" i="13" s="1"/>
  <c r="N115" i="13"/>
  <c r="C116" i="6"/>
  <c r="F116" i="13" s="1"/>
  <c r="N116" i="13"/>
  <c r="C117" i="6"/>
  <c r="F117" i="13" s="1"/>
  <c r="N117" i="13"/>
  <c r="C118" i="6"/>
  <c r="F118" i="13" s="1"/>
  <c r="N118" i="13"/>
  <c r="C119" i="6"/>
  <c r="F119" i="13" s="1"/>
  <c r="N119" i="13"/>
  <c r="C120" i="6"/>
  <c r="F120" i="13" s="1"/>
  <c r="N120" i="13"/>
  <c r="C121" i="6"/>
  <c r="F121" i="13" s="1"/>
  <c r="N121" i="13"/>
  <c r="C122" i="6"/>
  <c r="F122" i="13" s="1"/>
  <c r="N122" i="13"/>
  <c r="C123" i="6"/>
  <c r="F123" i="13" s="1"/>
  <c r="N123" i="13"/>
  <c r="C124" i="6"/>
  <c r="F124" i="13" s="1"/>
  <c r="N124" i="13"/>
  <c r="C125" i="6"/>
  <c r="F125" i="13" s="1"/>
  <c r="N125" i="13"/>
  <c r="C126" i="6"/>
  <c r="F126" i="13" s="1"/>
  <c r="N126" i="13"/>
  <c r="C128" i="6"/>
  <c r="F128" i="13" s="1"/>
  <c r="N128" i="13"/>
  <c r="C129" i="6"/>
  <c r="F129" i="13" s="1"/>
  <c r="N129" i="13"/>
  <c r="C130" i="6"/>
  <c r="F130" i="13" s="1"/>
  <c r="N130" i="13"/>
  <c r="C131" i="6"/>
  <c r="F131" i="13" s="1"/>
  <c r="N131" i="13"/>
  <c r="C132" i="6"/>
  <c r="F132" i="13" s="1"/>
  <c r="N132" i="13"/>
  <c r="C133" i="6"/>
  <c r="F133" i="13" s="1"/>
  <c r="N133" i="13"/>
  <c r="C134" i="6"/>
  <c r="F134" i="13" s="1"/>
  <c r="N134" i="13"/>
  <c r="C135" i="6"/>
  <c r="F135" i="13" s="1"/>
  <c r="N135" i="13"/>
  <c r="C136" i="6"/>
  <c r="F136" i="13" s="1"/>
  <c r="N136" i="13"/>
  <c r="C137" i="6"/>
  <c r="F137" i="13" s="1"/>
  <c r="N137" i="13"/>
  <c r="C138" i="6"/>
  <c r="F138" i="13" s="1"/>
  <c r="N138" i="13"/>
  <c r="C140" i="6"/>
  <c r="F140" i="13" s="1"/>
  <c r="N140" i="13"/>
  <c r="C141" i="6"/>
  <c r="F141" i="13" s="1"/>
  <c r="N141" i="13"/>
  <c r="C142" i="6"/>
  <c r="F142" i="13" s="1"/>
  <c r="N142" i="13"/>
  <c r="C143" i="6"/>
  <c r="F143" i="13" s="1"/>
  <c r="N143" i="13"/>
  <c r="C144" i="6"/>
  <c r="F144" i="13" s="1"/>
  <c r="N144" i="13"/>
  <c r="C145" i="6"/>
  <c r="F145" i="13" s="1"/>
  <c r="N145" i="13"/>
  <c r="C146" i="6"/>
  <c r="F146" i="13" s="1"/>
  <c r="N146" i="13"/>
  <c r="C147" i="6"/>
  <c r="F147" i="13" s="1"/>
  <c r="N147" i="13"/>
  <c r="C148" i="6"/>
  <c r="F148" i="13" s="1"/>
  <c r="N148" i="13"/>
  <c r="C149" i="6"/>
  <c r="F149" i="13" s="1"/>
  <c r="N149" i="13"/>
  <c r="C150" i="6"/>
  <c r="F150" i="13" s="1"/>
  <c r="N150" i="13"/>
  <c r="C151" i="6"/>
  <c r="F151" i="13" s="1"/>
  <c r="N151" i="13"/>
  <c r="C152" i="6"/>
  <c r="F152" i="13" s="1"/>
  <c r="N152" i="13"/>
  <c r="C153" i="6"/>
  <c r="F153" i="13" s="1"/>
  <c r="N153" i="13"/>
  <c r="C154" i="6"/>
  <c r="F154" i="13" s="1"/>
  <c r="N154" i="13"/>
  <c r="C155" i="6"/>
  <c r="F155" i="13" s="1"/>
  <c r="N155" i="13"/>
  <c r="C156" i="6"/>
  <c r="F156" i="13" s="1"/>
  <c r="N156" i="13"/>
  <c r="C157" i="6"/>
  <c r="F157" i="13" s="1"/>
  <c r="N157" i="13"/>
  <c r="C158" i="6"/>
  <c r="F158" i="13" s="1"/>
  <c r="N158" i="13"/>
  <c r="C159" i="6"/>
  <c r="F159" i="13" s="1"/>
  <c r="N159" i="13"/>
  <c r="C160" i="6"/>
  <c r="F160" i="13" s="1"/>
  <c r="N160" i="13"/>
  <c r="C161" i="6"/>
  <c r="F161" i="13" s="1"/>
  <c r="N161" i="13"/>
  <c r="C162" i="6"/>
  <c r="F162" i="13" s="1"/>
  <c r="N162" i="13"/>
  <c r="C163" i="6"/>
  <c r="F163" i="13" s="1"/>
  <c r="N163" i="13"/>
  <c r="C164" i="6"/>
  <c r="F164" i="13" s="1"/>
  <c r="N164" i="13"/>
  <c r="C165" i="6"/>
  <c r="F165" i="13" s="1"/>
  <c r="N165" i="13"/>
  <c r="C166" i="6"/>
  <c r="F166" i="13" s="1"/>
  <c r="N166" i="13"/>
  <c r="C167" i="6"/>
  <c r="F167" i="13" s="1"/>
  <c r="N167" i="13"/>
  <c r="C168" i="6"/>
  <c r="F168" i="13" s="1"/>
  <c r="N168" i="13"/>
  <c r="C169" i="6"/>
  <c r="F169" i="13" s="1"/>
  <c r="N169" i="13"/>
  <c r="C170" i="6"/>
  <c r="F170" i="13" s="1"/>
  <c r="N170" i="13"/>
  <c r="C171" i="6"/>
  <c r="F171" i="13" s="1"/>
  <c r="N171" i="13"/>
  <c r="C172" i="6"/>
  <c r="F172" i="13" s="1"/>
  <c r="N172" i="13"/>
  <c r="C173" i="6"/>
  <c r="F173" i="13" s="1"/>
  <c r="N173" i="13"/>
  <c r="C174" i="6"/>
  <c r="F174" i="13" s="1"/>
  <c r="N174" i="13"/>
  <c r="C175" i="6"/>
  <c r="F175" i="13" s="1"/>
  <c r="N175" i="13"/>
  <c r="C176" i="6"/>
  <c r="F176" i="13" s="1"/>
  <c r="N176" i="13"/>
  <c r="C177" i="6"/>
  <c r="F177" i="13" s="1"/>
  <c r="N177" i="13"/>
  <c r="C178" i="6"/>
  <c r="F178" i="13" s="1"/>
  <c r="N178" i="13"/>
  <c r="C179" i="6"/>
  <c r="F179" i="13" s="1"/>
  <c r="N179" i="13"/>
  <c r="C180" i="6"/>
  <c r="F180" i="13" s="1"/>
  <c r="N180" i="13"/>
  <c r="C204" i="6"/>
  <c r="F204" i="13" s="1"/>
  <c r="N204" i="13"/>
  <c r="C202" i="6"/>
  <c r="F202" i="13" s="1"/>
  <c r="N202" i="13"/>
  <c r="C198" i="6"/>
  <c r="F198" i="13" s="1"/>
  <c r="N198" i="13"/>
  <c r="C197" i="6"/>
  <c r="F197" i="13" s="1"/>
  <c r="N197" i="13"/>
  <c r="C195" i="6"/>
  <c r="F195" i="13" s="1"/>
  <c r="N195" i="13"/>
  <c r="C194" i="6"/>
  <c r="F194" i="13" s="1"/>
  <c r="N194" i="13"/>
  <c r="C191" i="6"/>
  <c r="F191" i="13" s="1"/>
  <c r="N191" i="13"/>
  <c r="C187" i="6"/>
  <c r="F187" i="13" s="1"/>
  <c r="N187" i="13"/>
  <c r="C184" i="6"/>
  <c r="F184" i="13" s="1"/>
  <c r="N184" i="13"/>
  <c r="C183" i="6"/>
  <c r="F183" i="13" s="1"/>
  <c r="N183" i="13"/>
  <c r="C181" i="6"/>
  <c r="F181" i="13" s="1"/>
  <c r="N181" i="13"/>
  <c r="F36" i="13"/>
  <c r="N36" i="13"/>
  <c r="F87" i="13"/>
  <c r="N87" i="13"/>
  <c r="F17" i="13"/>
  <c r="N17" i="13"/>
  <c r="F139" i="13"/>
  <c r="N139" i="13"/>
  <c r="C127" i="6"/>
  <c r="F127" i="13" s="1"/>
  <c r="N127" i="13"/>
  <c r="C189" i="6"/>
  <c r="F189" i="13" s="1"/>
  <c r="N189" i="13"/>
  <c r="C107" i="6"/>
  <c r="F107" i="13" s="1"/>
  <c r="N107" i="13"/>
  <c r="C112" i="6"/>
  <c r="F112" i="13" s="1"/>
  <c r="N112" i="13"/>
  <c r="H108" i="6"/>
  <c r="P108" i="13" s="1"/>
  <c r="E7" i="6"/>
  <c r="J7" i="13" s="1"/>
  <c r="D217" i="2"/>
  <c r="D216" i="2"/>
  <c r="D7" i="6"/>
  <c r="H7" i="13" s="1"/>
  <c r="G218" i="6"/>
  <c r="G217" i="6"/>
  <c r="G216" i="6"/>
  <c r="G215" i="6"/>
  <c r="R181" i="13" l="1"/>
  <c r="DN181" i="13" s="1"/>
  <c r="R183" i="13"/>
  <c r="DN183" i="13" s="1"/>
  <c r="R184" i="13"/>
  <c r="DN184" i="13" s="1"/>
  <c r="R187" i="13"/>
  <c r="DN187" i="13" s="1"/>
  <c r="R191" i="13"/>
  <c r="DN191" i="13" s="1"/>
  <c r="R194" i="13"/>
  <c r="DN194" i="13" s="1"/>
  <c r="R195" i="13"/>
  <c r="DN195" i="13" s="1"/>
  <c r="R197" i="13"/>
  <c r="DN197" i="13" s="1"/>
  <c r="R198" i="13"/>
  <c r="DN198" i="13" s="1"/>
  <c r="R202" i="13"/>
  <c r="DN202" i="13" s="1"/>
  <c r="R204" i="13"/>
  <c r="DN204" i="13" s="1"/>
  <c r="R180" i="13"/>
  <c r="DN180" i="13" s="1"/>
  <c r="R179" i="13"/>
  <c r="DN179" i="13" s="1"/>
  <c r="R178" i="13"/>
  <c r="DN178" i="13" s="1"/>
  <c r="R177" i="13"/>
  <c r="DN177" i="13" s="1"/>
  <c r="R176" i="13"/>
  <c r="DN176" i="13" s="1"/>
  <c r="R175" i="13"/>
  <c r="DN175" i="13" s="1"/>
  <c r="R174" i="13"/>
  <c r="DN174" i="13" s="1"/>
  <c r="R173" i="13"/>
  <c r="DN173" i="13" s="1"/>
  <c r="R172" i="13"/>
  <c r="DN172" i="13" s="1"/>
  <c r="R171" i="13"/>
  <c r="DN171" i="13" s="1"/>
  <c r="R170" i="13"/>
  <c r="DN170" i="13" s="1"/>
  <c r="R169" i="13"/>
  <c r="DN169" i="13" s="1"/>
  <c r="R168" i="13"/>
  <c r="DN168" i="13" s="1"/>
  <c r="R167" i="13"/>
  <c r="DN167" i="13" s="1"/>
  <c r="R166" i="13"/>
  <c r="DN166" i="13" s="1"/>
  <c r="R165" i="13"/>
  <c r="DN165" i="13" s="1"/>
  <c r="R164" i="13"/>
  <c r="DN164" i="13" s="1"/>
  <c r="R163" i="13"/>
  <c r="DN163" i="13" s="1"/>
  <c r="R162" i="13"/>
  <c r="DN162" i="13" s="1"/>
  <c r="R161" i="13"/>
  <c r="DN161" i="13" s="1"/>
  <c r="R160" i="13"/>
  <c r="DN160" i="13" s="1"/>
  <c r="R159" i="13"/>
  <c r="DN159" i="13" s="1"/>
  <c r="R158" i="13"/>
  <c r="DN158" i="13" s="1"/>
  <c r="R157" i="13"/>
  <c r="DN157" i="13" s="1"/>
  <c r="R156" i="13"/>
  <c r="DN156" i="13" s="1"/>
  <c r="R155" i="13"/>
  <c r="DN155" i="13" s="1"/>
  <c r="R154" i="13"/>
  <c r="DN154" i="13" s="1"/>
  <c r="R153" i="13"/>
  <c r="DN153" i="13" s="1"/>
  <c r="R152" i="13"/>
  <c r="DN152" i="13" s="1"/>
  <c r="R151" i="13"/>
  <c r="DN151" i="13" s="1"/>
  <c r="R150" i="13"/>
  <c r="DN150" i="13" s="1"/>
  <c r="R149" i="13"/>
  <c r="DN149" i="13" s="1"/>
  <c r="R148" i="13"/>
  <c r="DN148" i="13" s="1"/>
  <c r="R147" i="13"/>
  <c r="DN147" i="13" s="1"/>
  <c r="R146" i="13"/>
  <c r="DN146" i="13" s="1"/>
  <c r="R145" i="13"/>
  <c r="DN145" i="13" s="1"/>
  <c r="R144" i="13"/>
  <c r="DN144" i="13" s="1"/>
  <c r="R143" i="13"/>
  <c r="DN143" i="13" s="1"/>
  <c r="R142" i="13"/>
  <c r="DN142" i="13" s="1"/>
  <c r="R141" i="13"/>
  <c r="DN141" i="13" s="1"/>
  <c r="R140" i="13"/>
  <c r="DN140" i="13" s="1"/>
  <c r="R138" i="13"/>
  <c r="DN138" i="13" s="1"/>
  <c r="R137" i="13"/>
  <c r="DN137" i="13" s="1"/>
  <c r="R136" i="13"/>
  <c r="DN136" i="13" s="1"/>
  <c r="R135" i="13"/>
  <c r="DN135" i="13" s="1"/>
  <c r="R134" i="13"/>
  <c r="DN134" i="13" s="1"/>
  <c r="R133" i="13"/>
  <c r="DN133" i="13" s="1"/>
  <c r="R132" i="13"/>
  <c r="DN132" i="13" s="1"/>
  <c r="R131" i="13"/>
  <c r="DN131" i="13" s="1"/>
  <c r="R130" i="13"/>
  <c r="DN130" i="13" s="1"/>
  <c r="R129" i="13"/>
  <c r="DN129" i="13" s="1"/>
  <c r="R128" i="13"/>
  <c r="DN128" i="13" s="1"/>
  <c r="R126" i="13"/>
  <c r="DN126" i="13" s="1"/>
  <c r="R125" i="13"/>
  <c r="DN125" i="13" s="1"/>
  <c r="R124" i="13"/>
  <c r="DN124" i="13" s="1"/>
  <c r="R123" i="13"/>
  <c r="DN123" i="13" s="1"/>
  <c r="R122" i="13"/>
  <c r="DN122" i="13" s="1"/>
  <c r="R121" i="13"/>
  <c r="DN121" i="13" s="1"/>
  <c r="R120" i="13"/>
  <c r="DN120" i="13" s="1"/>
  <c r="R119" i="13"/>
  <c r="DN119" i="13" s="1"/>
  <c r="R118" i="13"/>
  <c r="DN118" i="13" s="1"/>
  <c r="R117" i="13"/>
  <c r="DN117" i="13" s="1"/>
  <c r="R116" i="13"/>
  <c r="DN116" i="13" s="1"/>
  <c r="R115" i="13"/>
  <c r="DN115" i="13" s="1"/>
  <c r="R114" i="13"/>
  <c r="DN114" i="13" s="1"/>
  <c r="R113" i="13"/>
  <c r="DN113" i="13" s="1"/>
  <c r="R111" i="13"/>
  <c r="DN111" i="13" s="1"/>
  <c r="R110" i="13"/>
  <c r="DN110" i="13" s="1"/>
  <c r="R109" i="13"/>
  <c r="DN109" i="13" s="1"/>
  <c r="R106" i="13"/>
  <c r="DN106" i="13" s="1"/>
  <c r="R105" i="13"/>
  <c r="DN105" i="13" s="1"/>
  <c r="R104" i="13"/>
  <c r="DN104" i="13" s="1"/>
  <c r="R103" i="13"/>
  <c r="DN103" i="13" s="1"/>
  <c r="R102" i="13"/>
  <c r="DN102" i="13" s="1"/>
  <c r="R101" i="13"/>
  <c r="DN101" i="13" s="1"/>
  <c r="R100" i="13"/>
  <c r="DN100" i="13" s="1"/>
  <c r="R99" i="13"/>
  <c r="DN99" i="13" s="1"/>
  <c r="R98" i="13"/>
  <c r="DN98" i="13" s="1"/>
  <c r="R97" i="13"/>
  <c r="DN97" i="13" s="1"/>
  <c r="R96" i="13"/>
  <c r="DN96" i="13" s="1"/>
  <c r="R95" i="13"/>
  <c r="DN95" i="13" s="1"/>
  <c r="R94" i="13"/>
  <c r="DN94" i="13" s="1"/>
  <c r="R93" i="13"/>
  <c r="DN93" i="13" s="1"/>
  <c r="R92" i="13"/>
  <c r="DN92" i="13" s="1"/>
  <c r="R91" i="13"/>
  <c r="DN91" i="13" s="1"/>
  <c r="R90" i="13"/>
  <c r="DN90" i="13" s="1"/>
  <c r="R89" i="13"/>
  <c r="DN89" i="13" s="1"/>
  <c r="R88" i="13"/>
  <c r="DN88" i="13" s="1"/>
  <c r="R86" i="13"/>
  <c r="DN86" i="13" s="1"/>
  <c r="R85" i="13"/>
  <c r="DN85" i="13" s="1"/>
  <c r="R84" i="13"/>
  <c r="DN84" i="13" s="1"/>
  <c r="R83" i="13"/>
  <c r="DN83" i="13" s="1"/>
  <c r="R82" i="13"/>
  <c r="DN82" i="13" s="1"/>
  <c r="R81" i="13"/>
  <c r="DN81" i="13" s="1"/>
  <c r="R80" i="13"/>
  <c r="DN80" i="13" s="1"/>
  <c r="R79" i="13"/>
  <c r="DN79" i="13" s="1"/>
  <c r="R78" i="13"/>
  <c r="DN78" i="13" s="1"/>
  <c r="R77" i="13"/>
  <c r="DN77" i="13" s="1"/>
  <c r="R76" i="13"/>
  <c r="DN76" i="13" s="1"/>
  <c r="R75" i="13"/>
  <c r="DN75" i="13" s="1"/>
  <c r="R74" i="13"/>
  <c r="DN74" i="13" s="1"/>
  <c r="R73" i="13"/>
  <c r="DN73" i="13" s="1"/>
  <c r="R72" i="13"/>
  <c r="DN72" i="13" s="1"/>
  <c r="R71" i="13"/>
  <c r="DN71" i="13" s="1"/>
  <c r="R70" i="13"/>
  <c r="DN70" i="13" s="1"/>
  <c r="R69" i="13"/>
  <c r="DN69" i="13" s="1"/>
  <c r="R68" i="13"/>
  <c r="DN68" i="13" s="1"/>
  <c r="R67" i="13"/>
  <c r="DN67" i="13" s="1"/>
  <c r="R66" i="13"/>
  <c r="DN66" i="13" s="1"/>
  <c r="R65" i="13"/>
  <c r="DN65" i="13" s="1"/>
  <c r="R64" i="13"/>
  <c r="DN64" i="13" s="1"/>
  <c r="R63" i="13"/>
  <c r="DN63" i="13" s="1"/>
  <c r="R62" i="13"/>
  <c r="DN62" i="13" s="1"/>
  <c r="R61" i="13"/>
  <c r="DN61" i="13" s="1"/>
  <c r="R60" i="13"/>
  <c r="DN60" i="13" s="1"/>
  <c r="R59" i="13"/>
  <c r="DN59" i="13" s="1"/>
  <c r="R58" i="13"/>
  <c r="DN58" i="13" s="1"/>
  <c r="R57" i="13"/>
  <c r="DN57" i="13" s="1"/>
  <c r="R56" i="13"/>
  <c r="DN56" i="13" s="1"/>
  <c r="R55" i="13"/>
  <c r="DN55" i="13" s="1"/>
  <c r="R54" i="13"/>
  <c r="DN54" i="13" s="1"/>
  <c r="R53" i="13"/>
  <c r="DN53" i="13" s="1"/>
  <c r="R52" i="13"/>
  <c r="DN52" i="13" s="1"/>
  <c r="R51" i="13"/>
  <c r="DN51" i="13" s="1"/>
  <c r="R50" i="13"/>
  <c r="DN50" i="13" s="1"/>
  <c r="R49" i="13"/>
  <c r="DN49" i="13" s="1"/>
  <c r="R48" i="13"/>
  <c r="DN48" i="13" s="1"/>
  <c r="R47" i="13"/>
  <c r="DN47" i="13" s="1"/>
  <c r="R46" i="13"/>
  <c r="DN46" i="13" s="1"/>
  <c r="R45" i="13"/>
  <c r="DN45" i="13" s="1"/>
  <c r="R44" i="13"/>
  <c r="DN44" i="13" s="1"/>
  <c r="R43" i="13"/>
  <c r="DN43" i="13" s="1"/>
  <c r="R42" i="13"/>
  <c r="DN42" i="13" s="1"/>
  <c r="R41" i="13"/>
  <c r="DN41" i="13" s="1"/>
  <c r="R40" i="13"/>
  <c r="DN40" i="13" s="1"/>
  <c r="R39" i="13"/>
  <c r="DN39" i="13" s="1"/>
  <c r="R38" i="13"/>
  <c r="DN38" i="13" s="1"/>
  <c r="R37" i="13"/>
  <c r="DN37" i="13" s="1"/>
  <c r="R35" i="13"/>
  <c r="DN35" i="13" s="1"/>
  <c r="R34" i="13"/>
  <c r="DN34" i="13" s="1"/>
  <c r="R33" i="13"/>
  <c r="DN33" i="13" s="1"/>
  <c r="R32" i="13"/>
  <c r="DN32" i="13" s="1"/>
  <c r="R31" i="13"/>
  <c r="DN31" i="13" s="1"/>
  <c r="R30" i="13"/>
  <c r="DN30" i="13" s="1"/>
  <c r="R29" i="13"/>
  <c r="DN29" i="13" s="1"/>
  <c r="R28" i="13"/>
  <c r="DN28" i="13" s="1"/>
  <c r="R27" i="13"/>
  <c r="DN27" i="13" s="1"/>
  <c r="R26" i="13"/>
  <c r="DN26" i="13" s="1"/>
  <c r="R25" i="13"/>
  <c r="DN25" i="13" s="1"/>
  <c r="R24" i="13"/>
  <c r="DN24" i="13" s="1"/>
  <c r="R23" i="13"/>
  <c r="DN23" i="13" s="1"/>
  <c r="R22" i="13"/>
  <c r="DN22" i="13" s="1"/>
  <c r="R21" i="13"/>
  <c r="DN21" i="13" s="1"/>
  <c r="R20" i="13"/>
  <c r="DN20" i="13" s="1"/>
  <c r="R19" i="13"/>
  <c r="DN19" i="13" s="1"/>
  <c r="R18" i="13"/>
  <c r="DN18" i="13" s="1"/>
  <c r="R16" i="13"/>
  <c r="DN16" i="13" s="1"/>
  <c r="R15" i="13"/>
  <c r="DN15" i="13" s="1"/>
  <c r="R14" i="13"/>
  <c r="DN14" i="13" s="1"/>
  <c r="R13" i="13"/>
  <c r="DN13" i="13" s="1"/>
  <c r="R12" i="13"/>
  <c r="DN12" i="13" s="1"/>
  <c r="R11" i="13"/>
  <c r="DN11" i="13" s="1"/>
  <c r="R10" i="13"/>
  <c r="DN10" i="13" s="1"/>
  <c r="R9" i="13"/>
  <c r="DN9" i="13" s="1"/>
  <c r="R8" i="13"/>
  <c r="DN8" i="13" s="1"/>
  <c r="R36" i="13"/>
  <c r="DN36" i="13" s="1"/>
  <c r="R87" i="13"/>
  <c r="DN87" i="13" s="1"/>
  <c r="R17" i="13"/>
  <c r="DN17" i="13" s="1"/>
  <c r="R139" i="13"/>
  <c r="DN139" i="13" s="1"/>
  <c r="R127" i="13"/>
  <c r="DN127" i="13" s="1"/>
  <c r="R189" i="13"/>
  <c r="DN189" i="13" s="1"/>
  <c r="R107" i="13"/>
  <c r="DN107" i="13" s="1"/>
  <c r="R112" i="13"/>
  <c r="DN112" i="13" s="1"/>
  <c r="C108" i="6"/>
  <c r="F108" i="13" s="1"/>
  <c r="R108" i="13" s="1"/>
  <c r="DN108" i="13" s="1"/>
  <c r="H218" i="6"/>
  <c r="H217" i="6"/>
  <c r="H216" i="6"/>
  <c r="H215" i="6"/>
  <c r="E218" i="6"/>
  <c r="E217" i="6"/>
  <c r="E216" i="6"/>
  <c r="E215" i="6"/>
  <c r="D218" i="6"/>
  <c r="D217" i="6"/>
  <c r="D216" i="6"/>
  <c r="D215" i="6"/>
  <c r="C7" i="6"/>
  <c r="F7" i="13" s="1"/>
  <c r="R7" i="13" s="1"/>
  <c r="DN7" i="13" s="1"/>
  <c r="C218" i="6" l="1"/>
  <c r="C217" i="6"/>
  <c r="C216" i="6"/>
  <c r="C215" i="6"/>
  <c r="C231" i="6"/>
  <c r="C230" i="6"/>
  <c r="C229" i="6"/>
  <c r="C228" i="6"/>
  <c r="C227" i="6"/>
  <c r="C226" i="6"/>
  <c r="C225" i="6"/>
  <c r="C224" i="6"/>
  <c r="C223" i="6"/>
  <c r="C222" i="6"/>
</calcChain>
</file>

<file path=xl/sharedStrings.xml><?xml version="1.0" encoding="utf-8"?>
<sst xmlns="http://schemas.openxmlformats.org/spreadsheetml/2006/main" count="12431" uniqueCount="974">
  <si>
    <t>Task 1: Problem identification
[20 /100 Marks]</t>
  </si>
  <si>
    <t>Task 2a: Implementing Dropout, Weight Penalty, Label Smoothing
[30 /100 Marks]</t>
  </si>
  <si>
    <r>
      <rPr>
        <b/>
        <sz val="11"/>
        <color rgb="FF000000"/>
        <rFont val="Calibri"/>
        <family val="2"/>
      </rPr>
      <t>Task 2b: Mitigating the problem (with Dropout and Weight Penalty, Soft Labels, custom activation function)
[</t>
    </r>
    <r>
      <rPr>
        <b/>
        <i/>
        <sz val="11"/>
        <color rgb="FF000000"/>
        <rFont val="Calibri"/>
        <family val="2"/>
      </rPr>
      <t xml:space="preserve">35 </t>
    </r>
    <r>
      <rPr>
        <b/>
        <sz val="11"/>
        <color rgb="FF000000"/>
        <rFont val="Calibri"/>
        <family val="2"/>
      </rPr>
      <t>/100 Marks]</t>
    </r>
  </si>
  <si>
    <t>Task 3: Literature Review and Conclusions 
[15 /100 Marks]</t>
  </si>
  <si>
    <t>Question 1:
Explain what these figures (Figures 1.a and 1.b) contain and how the curves evolve, and spot where overfitting occurs. Reason based on the min/max points and velocities (direction and magnitude of change) of the accuracy and error curves.</t>
  </si>
  <si>
    <t>Question
Table 1</t>
  </si>
  <si>
    <t>Question Figure 2</t>
  </si>
  <si>
    <t>Question 2:
Present your network width experiment results by using the relevant figure and table.
[see also Question 3]</t>
  </si>
  <si>
    <t>Question 3 
[Marking 2 &amp; 3 together, doesn't matter which answer has the info]:
Discuss whether varying width affects the results in a consistent way, and whether the results are expected and match well with the prior knowledge (by which we mean your expectations as are formed from the relevant Theory and literature)</t>
  </si>
  <si>
    <t>Question Table 2</t>
  </si>
  <si>
    <t>Question Figure 3</t>
  </si>
  <si>
    <t>Question 4:
Present your network depth experiment results by using the relevant figure and table
[see Question 5]</t>
  </si>
  <si>
    <t>Question 5:
[Marking 4 &amp; 5 together, doesn't matter which answer has the info]:
Discuss whether varying depth affects the results in a consistent way, and whether the results are expected and match well with the prior knowledge (by which we mean your expectations as are formed from the relevant Theory and literature)</t>
  </si>
  <si>
    <t>Code Marking:</t>
  </si>
  <si>
    <t>Question 6:
Explain how one could use a combination of L1 and L2 regularisation. Discuss any potential benefits of this approach. Present an equation for this combined loss function and explain all relevant variables and hyperparameters</t>
  </si>
  <si>
    <t>Question Table 3</t>
  </si>
  <si>
    <t>Question Figure 4</t>
  </si>
  <si>
    <t>Question Table 4</t>
  </si>
  <si>
    <t>Question Figure 5</t>
  </si>
  <si>
    <t>Question 7:
Assume you had a limited experiment budget for exactly 4 experiment runs dedicated to testing the effectiveness of your proposed combination of L1 and L2 Regularization in Section 3.2.1. Argue for which 4 configurations to run based on any previous results or other information you consider relevant. Run those experiments and add the results in Table 4 and Figure 5 (you will then discuss those results alongside all others in the next question below). (Even if you have not managed to implement your L1 and L2 combination; still argue based on your proposed approach).</t>
  </si>
  <si>
    <t>Question 8:
Explain the experimental details (e.g. hyperparameters), discuss the results in terms of their generalisation performance and overfitting. Select and test the best performing model as part of this analysis.</t>
  </si>
  <si>
    <t>Question Figure 6</t>
  </si>
  <si>
    <t>Question 9:
A colleague proposed using a custom activation function (which can be identified as Custom_ActivationLayer() in your Coursework_1.ipynb notebook and the mlp package). Run the prepared experiment in the "Problematic Training" cell in your Coursework_1.ipynb notebook, and display the results in Figure 6. Analyse the results. Is the model overfitting? Explain the cause of the problematic performance of the model?</t>
  </si>
  <si>
    <t>Question 10:
Briefly draw your conclusions based on the results from the previous sections (what are the take-away messages?), discussing them in the context of the overall literature, and conclude your report with a recommendation for future directions</t>
  </si>
  <si>
    <t>Checks -&gt;</t>
  </si>
  <si>
    <t>"Training accuracy increases."</t>
  </si>
  <si>
    <t>"Validation accuracy caps/reaches maximum/stops increasing..."</t>
  </si>
  <si>
    <t>"...around/at epoch ##"
[have quick glimpse this is very roughly correct for their Figure 1.a].</t>
  </si>
  <si>
    <t>States that there is an increase of the generalisation gap...</t>
  </si>
  <si>
    <t>... and points out where that is, using the graph.
[quick look at Figure 1.b; it should be around the same epoch as for the accuracy figure].</t>
  </si>
  <si>
    <t>Table 1 - It has been filled and results roughly around what we would expect (not obviously misacalucated or the result of a broken model)</t>
  </si>
  <si>
    <t>Figure 2 - Requested graphs are present and roughly as expected (ran for enough time-steps and not indicative of a broken model or run).</t>
  </si>
  <si>
    <t>Correctly states which models have been overfit...</t>
  </si>
  <si>
    <t>... and points to evidence in the figure for the specific training instance/models that overfit.
[This can be a statement on which models have their generalisation gap increasing or pointing out specific values on the figures].
[check Table 1 and Figure 2  that their statements are mostly concistent with their results].</t>
  </si>
  <si>
    <t>Correctly discusses the trend (or lack thereof) of the generalisation gap/overfitting as hyperparamer values change.
[check Table 1 and Figure 2 in case something else holds in the students case; what matters here is consistency with their own results].</t>
  </si>
  <si>
    <t>Points out the model with the best validation accuracy (from this series).</t>
  </si>
  <si>
    <t>Points out the model that overfits less (from this series).
[these are not necessarily the same, so the student should not just say "this model is best". If they simply state this charitably assume they are talking about overfitting].</t>
  </si>
  <si>
    <t>Uses relevant literature to form their expectations of how the experiment will/should have or would have been expected to turn out.</t>
  </si>
  <si>
    <t>Forms expectations via (reasonably) arguing based on model capacity.</t>
  </si>
  <si>
    <t>Goes beyond these expectations in successfully addressing Questions 2&amp;3 (not simply added information but either things that add to the argument or an excellent delivery of previous points).</t>
  </si>
  <si>
    <t>Table 2 - It has been filled and results roughly around what we would expect (not obviously misacalucated or the result of a broken model)</t>
  </si>
  <si>
    <t>Figure 3 - Requested graphs are present and roughly as expected (ran for enough time-steps and not indicative of a broken model or run).</t>
  </si>
  <si>
    <t>... and points to evidence in the figure for the specific training instance/models that overfit.
[This can be a statement on which models have their generalisation gap increasing or pointing out specific values on the figures].
[check Table 2 and Figure 3  that their statements are mostly concistent with their results].</t>
  </si>
  <si>
    <t>Discusses the trend (or lack thereof) of the generalisation gap/overfitting as hyperparamer values change.
[check Table 2 and Figure 3 in case something else holds in the students case; what matters here is consistency with their own results].</t>
  </si>
  <si>
    <t>Points out the model that overfits less  (from this series).
[these are not necessarily the same, so the student should not just say "this model is best". If they simply state this charitably assume they are talking about overfitting].</t>
  </si>
  <si>
    <t>Goes beyond these expectations in successfully addressing  Questions 4&amp;5 (not simply added information but either things that add to the argument or an excellent delivery of previous points).</t>
  </si>
  <si>
    <t>Check: Code exists</t>
  </si>
  <si>
    <t>Check: Test package exists</t>
  </si>
  <si>
    <t>Forward Propagation for DropoutLayer [auto-marked]</t>
  </si>
  <si>
    <t>Backwards Propagation for DropoutLayer [auto-marked]</t>
  </si>
  <si>
    <t>Call function for L1Penalty [auto-marked]</t>
  </si>
  <si>
    <t>Grad check for L1Penalty [auto-marked]</t>
  </si>
  <si>
    <t>Call func for L2Penalty [auto-marked]</t>
  </si>
  <si>
    <t>Grad check for L2Penalty [auto-marked]</t>
  </si>
  <si>
    <t>Label Smoothing correctly implemented</t>
  </si>
  <si>
    <t>L1 &amp; L2 mix is implemented (any form)</t>
  </si>
  <si>
    <t>L1 &amp; L2 mix implementation is of the described function in the answer to Question 6</t>
  </si>
  <si>
    <t>State we could add terms with L1 and L2 weights in the cost function.</t>
  </si>
  <si>
    <t>Give an equation for the new penalty term.
[e.g.: penalty = alpha * l1_penalty + (1 – alpha) * l2_penalty].</t>
  </si>
  <si>
    <t>Identify a relevant approach in the literature [this requires a reference].</t>
  </si>
  <si>
    <t>Mention this adds an extra hyperparameter.
[explicit statement, not just adding to equation]</t>
  </si>
  <si>
    <t>... and explain the importance of that.</t>
  </si>
  <si>
    <t>Explain the effect this L1&amp;L2 regularisation mix has on training. Why might someone use this setup over a plain L1 or L2 penalty?</t>
  </si>
  <si>
    <t>Goes beyond these expectations in successfully addressing  Questions 6 (not simply added information but either things that add to the argument or an excellent delivery of previous points).</t>
  </si>
  <si>
    <t>Table 3 - It has been filled and results roughly around what we would expect (not obviously misacalucated or the result of a broken model)</t>
  </si>
  <si>
    <t>Figure 4 - Requested graphs are present and roughly as expected (ran for enough time-steps and not indicative of a broken model or run).</t>
  </si>
  <si>
    <t>Table 4 - It has been filled and results roughly around what we would expect (not obviously misacalucated or the result of a broken model)</t>
  </si>
  <si>
    <t>Figure 5 - Requested graphs are present and roughly as expected (ran for enough time-steps and not indicative of a broken model or run).</t>
  </si>
  <si>
    <t>Stays within the expected 4 different experiment setups (as expressed in terms of what hyperparameters they pick; but it can also be a change in achitecture or similar if they want)
[Anything more than that is ignored; first 4 configurations are looked at along the relevant argumentation]</t>
  </si>
  <si>
    <t>An attempt (at minimum) to specify a question or what they would be trying to figure out from these experiments.</t>
  </si>
  <si>
    <t>... and that question goes  beyond trying to see which hyperparameter configurations would work best.
[Giving a bit more structure, like "Do smaller values of one hyperparameter value work better with larger values of this other one" is sufficient].</t>
  </si>
  <si>
    <t xml:space="preserve">... and successfully argues for the value of this question (that goes beyond a simple hyperparameter configuration) </t>
  </si>
  <si>
    <t>Successfully argues for how the proposed experiments will help address the question. [consider using evidence from the literature and previous experimental results in this coursework]</t>
  </si>
  <si>
    <t>Does an exceptional job delivering an argument or surprises positively with its insight.</t>
  </si>
  <si>
    <t>All regularisation methods can help with overfitting/overtraining for some hyper parameter value. 
[However, the point can be given by stating that this is in fact not the case. Check  Table 3. Consistency with presented results is what matters here].</t>
  </si>
  <si>
    <t>There are regularisation (hyper parameter) values for which performance degrades significantly. 
[If however, we have the case as in the previous point where all results are bad, this point is replaced with a need to discuss the expectation that some hyper parameter values make sense to reduce performance but others do not].</t>
  </si>
  <si>
    <t>Correctly state (based on their data) which model from the single-regularisation-approach performed best, based on validation accuracy (or error if they have that).</t>
  </si>
  <si>
    <t>Correctly state (based on their data) which model from the single-regularisation-approach performed best in terms of generalisation gap / not overfitting (the smaller the better).</t>
  </si>
  <si>
    <t>Compare the performance of baseline with softlabelled baseline.</t>
  </si>
  <si>
    <t>Compare performance with regularisation of any kind (any model from any set up or make a general comparison) with that of the baseline's performance.</t>
  </si>
  <si>
    <t>Make a reasonable (based on their evidence; see Figure 4 and Table 3) statement on whether overfitting is being tackled by some, any, or all of the approaches.</t>
  </si>
  <si>
    <t>Note some, valid based on their results, relationship between best performing (in terms of accuracy) model and the respective generalisation gap.</t>
  </si>
  <si>
    <t>Run and present test results for the best performing model in terms of accuracy and/or overfitting.
[Note that because they were given results for most models, they might have to train the best model before they can test. Don't penalise this, but check that they report test results. Same with next point].</t>
  </si>
  <si>
    <t>Goes beyond these expectations in successfully addressing  Question 8 (not simply added information but either things that add to the argument or an excellent delivery of previous points).</t>
  </si>
  <si>
    <t>Figure 6 - Requested graphs are present and roughly as expected (ran for enough time-steps and not indicative of a broken model or run).</t>
  </si>
  <si>
    <t>Clearly states whether the model is overfitting or underfitting, referring to the correct visual evidence from Figure 6.</t>
  </si>
  <si>
    <t>Accurately names or describes the type of training fault observed. [Avoid vague terms like “it’s unstable.”].</t>
  </si>
  <si>
    <t>Correctly identifies what element in the network setup or  design is producing the fault.</t>
  </si>
  <si>
    <t>Explains how that element leads to the observed behaviour.</t>
  </si>
  <si>
    <t>Discusses how the problem could be addressed.</t>
  </si>
  <si>
    <t>Goes beyond these expectations in successfully addressing  Question 9 (not simply added information but either things that add to the argument or an excellent delivery of previous points).</t>
  </si>
  <si>
    <t>(At least an attempt to) summarise the experiment results</t>
  </si>
  <si>
    <t>The sumary effectively conveys the range of things tested</t>
  </si>
  <si>
    <t>There is some relevant discussion (not just a mention) on some of the literature cited earlier in the report.</t>
  </si>
  <si>
    <t>Results are compared with relevant results in the literature (any literature)</t>
  </si>
  <si>
    <t>State whether dropout or L1/L2 helped with overfitting.
[not simply giving results that indicate that or say that X model helped; I am looking for a general statement on how the techniques seem to work, based on the results]</t>
  </si>
  <si>
    <t>Compare Dropout-only with Weight-only (either or both of L1 and L2) based on the experimental results.</t>
  </si>
  <si>
    <t>Indicate additional (that is: not asked for explicitly in the paper)  reasonable alternatives for combatting overfitting</t>
  </si>
  <si>
    <t>... and cite an appropriate  paper for that method</t>
  </si>
  <si>
    <t>Suggest any reasonable future work (at least incremental, as in "we could also try this") [Answer to Question 7 does not count for this one. You will need something new]</t>
  </si>
  <si>
    <t>Effectively make use of the literature in arguing for Future Work</t>
  </si>
  <si>
    <r>
      <rPr>
        <sz val="8"/>
        <color rgb="FF000000"/>
        <rFont val="Calibri"/>
        <family val="2"/>
      </rPr>
      <t>Explain the relevance of "</t>
    </r>
    <r>
      <rPr>
        <b/>
        <sz val="8"/>
        <color rgb="FF000000"/>
        <rFont val="Calibri"/>
        <family val="2"/>
      </rPr>
      <t>network capacity</t>
    </r>
    <r>
      <rPr>
        <sz val="8"/>
        <color rgb="FF000000"/>
        <rFont val="Calibri"/>
        <family val="2"/>
      </rPr>
      <t>" to overfitting. Discussing how both width and depth increase the newtworks size should be treated as equivalent to using the term; then also explain how that affects overfitting.</t>
    </r>
  </si>
  <si>
    <t>You can find one thing that shows quality extra/not anticipated from these points analysis.
[Maybe the future work suggestion is particularly interesting or shows good thought, or perhaps there is some further interesting analysis of the experiments, or they attempt a mini comparative review of different approaches using evidence from the literature]</t>
  </si>
  <si>
    <t>Easy - Pass requires a majority of these points</t>
  </si>
  <si>
    <t>Medium - Point of Merit</t>
  </si>
  <si>
    <t>These checks are used to get a good sense of the work. The marker then considers these against the University Common Marking Scheme, looks at the overall work in each Task, and judges the work in accordance. At a minimum, you should expect to meet most Points of Merit to receive a Merit for a Task, and almost all Points of Merit &amp; A Point of Distinction to receive a Distinction for a Task.</t>
  </si>
  <si>
    <t>Hard - Point of Distinction</t>
  </si>
  <si>
    <t>Points are NOT equally weighted, and the mark is NOT produced as a linear function of these points.</t>
  </si>
  <si>
    <t>Points -&gt;</t>
  </si>
  <si>
    <t>Marker</t>
  </si>
  <si>
    <t>SUM</t>
  </si>
  <si>
    <t>COUNT</t>
  </si>
  <si>
    <t>Total Marks</t>
  </si>
  <si>
    <t>Basic Sum</t>
  </si>
  <si>
    <t>Adv. Sum</t>
  </si>
  <si>
    <t>20</t>
  </si>
  <si>
    <t>30+</t>
  </si>
  <si>
    <t>40+</t>
  </si>
  <si>
    <t>50+</t>
  </si>
  <si>
    <t>60+</t>
  </si>
  <si>
    <t>70+</t>
  </si>
  <si>
    <t>80+</t>
  </si>
  <si>
    <t>90+</t>
  </si>
  <si>
    <t>Problem? (comment in cell)</t>
  </si>
  <si>
    <t>Report missing
(1 = missing)</t>
  </si>
  <si>
    <t>Student UUN</t>
  </si>
  <si>
    <t>Example Marker</t>
  </si>
  <si>
    <t>s#######</t>
  </si>
  <si>
    <t>Average</t>
  </si>
  <si>
    <t>STD</t>
  </si>
  <si>
    <t>Filled In</t>
  </si>
  <si>
    <t>Got Point</t>
  </si>
  <si>
    <t>Didn’t Get Point</t>
  </si>
  <si>
    <t>CW1: Roughly 135 hours total marking -&gt; Roughly 30 minutes per report total&amp;averaged</t>
  </si>
  <si>
    <t>Yifu
30 hours total (both CW)
(max: 6/6/6)
(rows 167 - 196)</t>
  </si>
  <si>
    <t>Pavlos / Hakan
(rows 197 -206)</t>
  </si>
  <si>
    <t>Mantas
40 hours total (both CW)
(rows 205-213)</t>
  </si>
  <si>
    <r>
      <rPr>
        <b/>
        <sz val="11"/>
        <color rgb="FF000000"/>
        <rFont val="Calibri"/>
        <family val="2"/>
        <charset val="1"/>
      </rPr>
      <t>Task 2a: Mitigating the problem with Dropout and Weight Penalty
[10 /</t>
    </r>
    <r>
      <rPr>
        <b/>
        <i/>
        <sz val="11"/>
        <color rgb="FF000000"/>
        <rFont val="Calibri"/>
        <family val="2"/>
        <charset val="1"/>
      </rPr>
      <t>100</t>
    </r>
    <r>
      <rPr>
        <b/>
        <sz val="11"/>
        <color rgb="FF000000"/>
        <rFont val="Calibri"/>
        <family val="2"/>
        <charset val="1"/>
      </rPr>
      <t xml:space="preserve"> Marks]</t>
    </r>
  </si>
  <si>
    <t>Ronald
30 hours total (both CW)
(max: 8/12/10)
(rows 137 - 166)</t>
  </si>
  <si>
    <t>Xiaoliang
60 hours total (both CW)
(max: 10/10/20)
(rows 7 - 66)</t>
  </si>
  <si>
    <t>Question 12:
Explain how one could use a combination of L1 and L2 regularization. Discuss any potential benefits of this approach.
[10 /100 Marks]</t>
  </si>
  <si>
    <t>Salvatore
30 hours total (both CW)
(max: 15/6/0)
(rows 107 - 136)</t>
  </si>
  <si>
    <t>Hao
40 hours total (both CW)
(max: 0/20/20)
(rows 67 - 106)</t>
  </si>
  <si>
    <t>They state we could add terms with L1 and L2 weights in the cost function.</t>
  </si>
  <si>
    <t>They give a rough equation for the new penalty term.
[e.g.: penalty = alpha * l1_penalty + (1 – alpha) * l2_penalty].</t>
  </si>
  <si>
    <t>They mention Elastic Nets.</t>
  </si>
  <si>
    <t>They cite: /Hui Zou,Trevor Hastie, Regularization and variable selection via the elastic net/
OR
use a another reference defining Elastic nets.</t>
  </si>
  <si>
    <t>They mention this adds an extra hyperparameter.
[explicit statement, not just adding to equation]</t>
  </si>
  <si>
    <t>They state that this might/could/does give us the benefits of both approaches.</t>
  </si>
  <si>
    <t>They state that this might not be better in practice, as it introduces an extra hyperparameter.</t>
  </si>
  <si>
    <t>Gives any added insight
[state what in comments]</t>
  </si>
  <si>
    <t>Comments: 
[point out good insight if relevant point given]
&amp;
[point out any obvious misunderstanding]</t>
  </si>
  <si>
    <t>Expert sum</t>
  </si>
  <si>
    <t>Submission Date</t>
  </si>
  <si>
    <t>-</t>
  </si>
  <si>
    <t>-2</t>
  </si>
  <si>
    <t>-3</t>
  </si>
  <si>
    <t>Good that you discuss when one might want to use a combined Loss.</t>
  </si>
  <si>
    <t>You start discussing individual benefits. A discussion of their interplay would have ben meaningful. Other than that, this was about the "how".</t>
  </si>
  <si>
    <t>Good point on the complementarity of the two approaches. Other than that, the questions is about the "how". What they are was covered earlier in the text.</t>
  </si>
  <si>
    <t>The answer is not relevant to L1 and L2.</t>
  </si>
  <si>
    <t>Some good discussion on the complementarity of the approaches.</t>
  </si>
  <si>
    <t>Good use of reference to adress the complementarity of the two approaches.</t>
  </si>
  <si>
    <t>Good discussion on how L1 and L2 are special cases of the new setup.</t>
  </si>
  <si>
    <t>Good discussion on the complementarity of the two approaches.</t>
  </si>
  <si>
    <t>Good job mentioning a specific case where L1-L2 combination might be helpful.</t>
  </si>
  <si>
    <t>Good job mentioning how we can find the optimal set of hyper-parameters.</t>
  </si>
  <si>
    <t>Good job mentioning computational benefits.</t>
  </si>
  <si>
    <t>Good job mentioning the advantage of domain knowledge.</t>
  </si>
  <si>
    <t>Good job mentioning properties of elastic net.</t>
  </si>
  <si>
    <t>I liked the extra detail on how the two regularisation approaches can work complementary (not just restating individual benefits).</t>
  </si>
  <si>
    <t>The question is about the "how".</t>
  </si>
  <si>
    <t>I like the final point where you demonstrate the equivalence of previous setups with edge cases of this one.</t>
  </si>
  <si>
    <t>Gives further clarification on benefits (beyond simple combo) with evidence from paper.</t>
  </si>
  <si>
    <t>The question is about "how" one can combine these. The metaphor did not add to the argument.</t>
  </si>
  <si>
    <t>The question only asks "how" and does not require interpretation of results from Table 3.</t>
  </si>
  <si>
    <t>Great point on how the parameters could control the proportion of each regularization type, including switching one on or off.</t>
  </si>
  <si>
    <t>Good point on Elastic Net allowing to control L1 and L2 trade-off.</t>
  </si>
  <si>
    <t>Indeed, we need to consider the balance between L1 and L2 for the best results.</t>
  </si>
  <si>
    <t>Good explanation on where the combined effect could be useful.</t>
  </si>
  <si>
    <t>Good use of additional reference.</t>
  </si>
  <si>
    <t>Lp is a general form of regularization expressed in terms of p-norm. The question asks about the combination of p=1 (L1/Lasso) and p=2 (L2/Ridge) regularizations.</t>
  </si>
  <si>
    <t>/10</t>
  </si>
  <si>
    <t>2023-11-03-11-37-24</t>
  </si>
  <si>
    <t>s1713033</t>
  </si>
  <si>
    <t>2023-11-05-18-21-04</t>
  </si>
  <si>
    <t>s1808795</t>
  </si>
  <si>
    <t>2023-11-03-03-32-57</t>
  </si>
  <si>
    <t>s1929142</t>
  </si>
  <si>
    <t>2023-11-03-04-38-55</t>
  </si>
  <si>
    <t>s1969917</t>
  </si>
  <si>
    <t>2023-11-10-19-29-27</t>
  </si>
  <si>
    <t>s1988734</t>
  </si>
  <si>
    <t>2023-11-03-10-32-29</t>
  </si>
  <si>
    <t>s2058118</t>
  </si>
  <si>
    <t>2023-11-03-11-57-13</t>
  </si>
  <si>
    <t>s2098340</t>
  </si>
  <si>
    <t>2023-11-02-11-55-53</t>
  </si>
  <si>
    <t>s2106887</t>
  </si>
  <si>
    <t>2023-11-16-11-41-32</t>
  </si>
  <si>
    <t>s2358436</t>
  </si>
  <si>
    <t>/100</t>
  </si>
  <si>
    <t>Total</t>
  </si>
  <si>
    <t>Task 1</t>
  </si>
  <si>
    <t>Task 2a</t>
  </si>
  <si>
    <t>Task 2b</t>
  </si>
  <si>
    <t>Task 2c</t>
  </si>
  <si>
    <t>Task 3</t>
  </si>
  <si>
    <t>Was 47. Edited for effort.</t>
  </si>
  <si>
    <t>Was 24. Edited for effort.</t>
  </si>
  <si>
    <t>Was 45. Edited for effort.</t>
  </si>
  <si>
    <t>Was 37. Edited for effort.</t>
  </si>
  <si>
    <t>Borderline - switched point.</t>
  </si>
  <si>
    <t>Was 49. Edited for effort.</t>
  </si>
  <si>
    <t>Borderline - switched points.</t>
  </si>
  <si>
    <t>Was 46. Edited for effort.</t>
  </si>
  <si>
    <t>then edited again after test pack</t>
  </si>
  <si>
    <t>Was 22. Edited for effort.</t>
  </si>
  <si>
    <t>Was 15. Edited for effort.</t>
  </si>
  <si>
    <t>Was 44. Turns out they atttempted a question.</t>
  </si>
  <si>
    <t>Late(r)</t>
  </si>
  <si>
    <t>Minimum</t>
  </si>
  <si>
    <t>Maximum</t>
  </si>
  <si>
    <t>[0,10)</t>
  </si>
  <si>
    <t>[10,20)</t>
  </si>
  <si>
    <t>[20,30)</t>
  </si>
  <si>
    <t>[30,40)</t>
  </si>
  <si>
    <t>[40,50)</t>
  </si>
  <si>
    <t>[50,60)</t>
  </si>
  <si>
    <t>[60,70)</t>
  </si>
  <si>
    <t>[70,80)</t>
  </si>
  <si>
    <t>[80,90)</t>
  </si>
  <si>
    <t>[90,100]</t>
  </si>
  <si>
    <t>Student UUN:</t>
  </si>
  <si>
    <t>CHAR(10)</t>
  </si>
  <si>
    <t>Total Mark:</t>
  </si>
  <si>
    <t>/Task 1 mark:</t>
  </si>
  <si>
    <t>/Task 2a mark:</t>
  </si>
  <si>
    <t>/Task 2b mark:</t>
  </si>
  <si>
    <t>/Task 2c mark:</t>
  </si>
  <si>
    <t>/Task 3 mark:</t>
  </si>
  <si>
    <t>. CHAR(10)</t>
  </si>
  <si>
    <t>Text Join</t>
  </si>
  <si>
    <t>[Details for Task 1:]</t>
  </si>
  <si>
    <t>/Question 1:</t>
  </si>
  <si>
    <t>/Question 2:</t>
  </si>
  <si>
    <t>/Question 5:</t>
  </si>
  <si>
    <t>/Question 6:</t>
  </si>
  <si>
    <t>/Question 7:</t>
  </si>
  <si>
    <t>/Question Table 1:</t>
  </si>
  <si>
    <t>/Question Figure 2:</t>
  </si>
  <si>
    <t>/Question 8:</t>
  </si>
  <si>
    <t>/Question 9:</t>
  </si>
  <si>
    <t>/Question Table 2:</t>
  </si>
  <si>
    <t>/Question Figure 3:</t>
  </si>
  <si>
    <t>/Question 10:</t>
  </si>
  <si>
    <t>/Question 11:</t>
  </si>
  <si>
    <t>[Details for Task 2a:]</t>
  </si>
  <si>
    <t>/Question 12:</t>
  </si>
  <si>
    <t>[Details for Task 2b:]</t>
  </si>
  <si>
    <t>/Fprop check for DropoutLayer:</t>
  </si>
  <si>
    <t>/Bprop check for DropoutLayer:</t>
  </si>
  <si>
    <t>/Call func for L1Penalty:</t>
  </si>
  <si>
    <t>/Grad check for L1Penalty:</t>
  </si>
  <si>
    <t>/Call func for L2Penalty:</t>
  </si>
  <si>
    <t>/Grad check for L2Penalty:</t>
  </si>
  <si>
    <t>/Effort</t>
  </si>
  <si>
    <t>[Details for Task 2c:]</t>
  </si>
  <si>
    <t>/Question Table 3:</t>
  </si>
  <si>
    <t>/Question Figure 4:</t>
  </si>
  <si>
    <t>/Question 13:</t>
  </si>
  <si>
    <t>/Question 14:</t>
  </si>
  <si>
    <t>/Question 3:</t>
  </si>
  <si>
    <t>[Details for Task 3:]</t>
  </si>
  <si>
    <t>/Question 15:</t>
  </si>
  <si>
    <t>/Question 4:</t>
  </si>
  <si>
    <t>Final Feedback</t>
  </si>
  <si>
    <t>.</t>
  </si>
  <si>
    <t>/Effort
2: means with test package
1: means with code but no test package
0: means no code or test package &gt;&gt;</t>
  </si>
  <si>
    <t>22-23 stats for comparison</t>
  </si>
  <si>
    <t>Auto-Collating</t>
  </si>
  <si>
    <t>s1745576</t>
  </si>
  <si>
    <t>Student UUN: s1745576  Total Mark: 67 /Task 1 mark: 15 /Task 2a mark: 7 /Task 2b mark: 20 /Task 2c mark: 17 /Task 3 mark: 8 .
[Details for Task 1:]  /Question 1: 1 1 1   /Question 2: 1 0   /Question 5: 1 0 0   /Question 6: 0 1 0 1 0   /Question 7: 1 1 1 1 1   /Question Table 1: 1  /Question Figure 2: 1  /Question 8: 1 1  /Question 9: 1 1 1 1 0   /Question Table 2: 1  /Question Figure 3: 1  /Question 10: 1 1  /Question 11: 1 1 1 1 0  .
[Details for Task 2a:]  /Question 12: 1 1 0 0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0 1 0 0 0 0 0   /Question 14: 1 1 1 0 0 0 0 0 0   /Question 3: 1 1 .
[Details for Task 3:]  /Question 15: 1 0 0 1 1 0 0 0 1 0 0   /Question 4: 0 1 .</t>
  </si>
  <si>
    <t>s1756028</t>
  </si>
  <si>
    <t>Student UUN: s1756028  Total Mark: 50 /Task 1 mark: 12 /Task 2a mark: 5 /Task 2b mark: 5 /Task 2c mark: 17 /Task 3 mark: 8 .
[Details for Task 1:]  /Question 1: 1 1 1   /Question 2: 1 0   /Question 5: 1 1 0   /Question 6: 0 1 0 1 0   /Question 7: 1 1 0 0 0   /Question Table 1: 1  /Question Figure 2: 0  /Question 8: 0 0  /Question 9: 1 0 0 1 0   /Question Table 2: 1  /Question Figure 3: 0  /Question 10: 0 0  /Question 11: 1 0 0 1 0  .
[Details for Task 2a:]  /Question 12: 0 0 1 0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1  /Question Figure 4: 0  /Question 13: 1 0 1 0 0 1 0 0 0 0 0   /Question 14: 0 0 0 0 0 0 0 0 0   /Question 3: 1 1 .
[Details for Task 3:]  /Question 15: 1 0 0 1 1 0 0 0 1 0 0   /Question 4: 1 1 .</t>
  </si>
  <si>
    <t>s1804274</t>
  </si>
  <si>
    <t>Student UUN: s1804274  Total Mark: 67 /Task 1 mark: 12 /Task 2a mark: 6 /Task 2b mark: 20 /Task 2c mark: 21 /Task 3 mark: 8 .
[Details for Task 1:]  /Question 1: 1 1 1   /Question 2: 1 0   /Question 5: 1 1 0   /Question 6: 0 1 1 1 0   /Question 7: 1 1 1 0 0   /Question Table 1: 1  /Question Figure 2: 1  /Question 8: 1 1  /Question 9: 1 0 1 0 0   /Question Table 2: 1  /Question Figure 3: 1  /Question 10: 1 1  /Question 11: 1 0 0 0 0  .
[Details for Task 2a:]  /Question 12: 1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0 0 0 0 0   /Question 14: 1 1 0 1 1 1 0 1 0   /Question 3: 1 1 .
[Details for Task 3:]  /Question 15: 1 0 0 1 1 0 0 0 1 0 0   /Question 4: 1 1 .</t>
  </si>
  <si>
    <t>s1820544</t>
  </si>
  <si>
    <t>Student UUN: s1820544  Total Mark: 75 /Task 1 mark: 12 /Task 2a mark: 5 /Task 2b mark: 20 /Task 2c mark: 27 /Task 3 mark: 11 .
[Details for Task 1:]  /Question 1: 1 1 1   /Question 2: 1 0   /Question 5: 1 0 0   /Question 6: 0 0 1 1 0   /Question 7: 1 1 0 1 1   /Question Table 1: 1  /Question Figure 2: 1  /Question 8: 1 1  /Question 9: 1 1 0 1 0   /Question Table 2: 1  /Question Figure 3: 1  /Question 10: 1 1  /Question 11: 1 0 0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1 0 1 0   /Question 3: 1 1 .
[Details for Task 3:]  /Question 15: 1 1 0 1 1 1 1 0 1 0 0   /Question 4: 1 1 .</t>
  </si>
  <si>
    <t>s1858933</t>
  </si>
  <si>
    <t>Student UUN: s1858933  Total Mark: 74 /Task 1 mark: 16 /Task 2a mark: 6 /Task 2b mark: 20 /Task 2c mark: 24 /Task 3 mark: 8 .
[Details for Task 1:]  /Question 1: 1 1 1   /Question 2: 1 0   /Question 5: 1 0 0   /Question 6: 1 1 1 1 0   /Question 7: 1 1 1 1 1   /Question Table 1: 1  /Question Figure 2: 1  /Question 8: 1 1  /Question 9: 1 1 1 0 0   /Question Table 2: 1  /Question Figure 3: 1  /Question 10: 1 1  /Question 11: 1 1 1 1 0 need to use reference correctly .
[Details for Task 2a:]  /Question 12: 1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0 1 1 0 0   /Question 14: 1 1 1 1 1 1 0 0 0   /Question 3: 1 1 .
[Details for Task 3:]  /Question 15: 1 0 0 1 1 0 0 0 1 0 0   /Question 4: 1 1 .</t>
  </si>
  <si>
    <t>s1862623</t>
  </si>
  <si>
    <t>Student UUN: s1862623  Total Mark: 76 /Task 1 mark: 14 /Task 2a mark: 7 /Task 2b mark: 20 /Task 2c mark: 24 /Task 3 mark: 11 .
[Details for Task 1:]  /Question 1: 1 1 1   /Question 2: 0 0   /Question 5: 0 0 0   /Question 6: 0 1 1 0 0   /Question 7: 1 1 1 1 1   /Question Table 1: 1  /Question Figure 2: 1  /Question 8: 1 1  /Question 9: 1 1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0 0 0   /Question 14: 1 1 1 1 1 1 0 0 0   /Question 3: 1 1 .
[Details for Task 3:]  /Question 15: 1 1 1 1 1 0 0 0 1 1 0   /Question 4: 1 1 .</t>
  </si>
  <si>
    <t>s1864499</t>
  </si>
  <si>
    <t>Student UUN: s1864499  Total Mark: 74 /Task 1 mark: 14 /Task 2a mark: 7 /Task 2b mark: 20 /Task 2c mark: 23 /Task 3 mark: 10 .
[Details for Task 1:]  /Question 1: 1 1 1   /Question 2: 1 0   /Question 5: 1 0 0   /Question 6: 0 1 0 0 0   /Question 7: 1 1 1 1 1   /Question Table 1: 1  /Question Figure 2: 1  /Question 8: 1 1  /Question 9: 1 1 1 1 0   /Question Table 2: 1  /Question Figure 3: 1  /Question 10: 1 1  /Question 11: 1 1 1 0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1 1 1 1 0 0 0   /Question 3: 1 1 .
[Details for Task 3:]  /Question 15: 1 0 0 1 1 1 1 0 1 0 0   /Question 4: 1 1 .</t>
  </si>
  <si>
    <t>s1910638</t>
  </si>
  <si>
    <t>Student UUN: s1910638  Total Mark: 63 /Task 1 mark: 13 /Task 2a mark: 5 /Task 2b mark: 20 /Task 2c mark: 17 /Task 3 mark: 8 .
[Details for Task 1:]  /Question 1: 1 1 1   /Question 2: 1 0   /Question 5: 1 0 0   /Question 6: 1 1 1 1 0   /Question 7: 1 1 1 1 1   /Question Table 1: 1  /Question Figure 2: 1  /Question 8: 1 1  /Question 9: 1 0 0 1 0   /Question Table 2: 1  /Question Figure 3: 1  /Question 10: 0 0  /Question 11: 1 0 0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0 0 1 0 0 0 0 0   /Question 14: 1 1 1 1 0 1 0 0 0   /Question 3: 1 1 .
[Details for Task 3:]  /Question 15: 1 0 0 1 1 0 0 0 1 0 0   /Question 4: 1 1 .</t>
  </si>
  <si>
    <t>s1911298</t>
  </si>
  <si>
    <t>Student UUN: s1911298  Total Mark: 67 /Task 1 mark: 14 /Task 2a mark: 5 /Task 2b mark: 20 /Task 2c mark: 18 /Task 3 mark: 10 .
[Details for Task 1:]  /Question 1: 1 1 1   /Question 2: 1 0   /Question 5: 1 0 0   /Question 6: 0 0 0 1 0   /Question 7: 1 1 1 1 1   /Question Table 1: 1  /Question Figure 2: 1  /Question 8: 1 1  /Question 9: 1 1 1 1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0 1 0 0 0 0 0   /Question 3: 1 1 .
[Details for Task 3:]  /Question 15: 1 1 0 1 1 0 0 0 1 1 0   /Question 4: 1 1 .</t>
  </si>
  <si>
    <t>s1911723</t>
  </si>
  <si>
    <t>Student UUN: s1911723  Total Mark: 62 /Task 1 mark: 11 /Task 2a mark: 6 /Task 2b mark: 20 /Task 2c mark: 17 /Task 3 mark: 8 .
[Details for Task 1:]  /Question 1: 1 0 0   /Question 2: 1 0   /Question 5: 1 0 0   /Question 6: 0 0 0 1 0   /Question 7: 1 1 1 1 1   /Question Table 1: 1  /Question Figure 2: 1  /Question 8: 0 0  /Question 9: 1 1 1 1 0   /Question Table 2: 1  /Question Figure 3: 1  /Question 10: 0 0  /Question 11: 1 1 1 0 0  .
[Details for Task 2a:]  /Question 12: 1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1 1 0 0 0 0   /Question 14: 1 1 0 0 0 0 0 0 0   /Question 3: 1 1 .
[Details for Task 3:]  /Question 15: 1 0 0 1 1 0 0 0 0 0 0   /Question 4: 1 1 .</t>
  </si>
  <si>
    <t>s1912084</t>
  </si>
  <si>
    <t>Student UUN: s1912084  Total Mark: 40 /Task 1 mark: 14 /Task 2a mark: 5 /Task 2b mark: 5 /Task 2c mark: 0 /Task 3 mark: 0 .
[Details for Task 1:]  /Question 1: 1 1 1   /Question 2: 1 0   /Question 5: 1 0 0   /Question 6: 0 1 0 1 0   /Question 7: 1 1 1 1 1   /Question Table 1: 1  /Question Figure 2: 1  /Question 8: 1 1  /Question 9: 1 1 1 0 0   /Question Table 2: 1  /Question Figure 3: 1  /Question 10: 1 1  /Question 11: 1 1 0 1 0  .
[Details for Task 2a:]  /Question 12: 1 0 0 0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0  /Question Figure 4: 0  /Question 13: 0 0 0 0 0 0 0 0 0 0 0   /Question 14: 0 0 0 0 0 0 0 0 0   /Question 3: 0 0 .
[Details for Task 3:]  /Question 15: 0 0 0 0 0 0 0 0 0 0 0   /Question 4: 0 0 .</t>
  </si>
  <si>
    <t>s1916676</t>
  </si>
  <si>
    <t>Student UUN: s1916676  Total Mark: 69 /Task 1 mark: 15 /Task 2a mark: 7 /Task 2b mark: 20 /Task 2c mark: 17 /Task 3 mark: 10 .
[Details for Task 1:]  /Question 1: 1 1 1   /Question 2: 1 0   /Question 5: 1 0 0   /Question 6: 0 0 0 1 0   /Question 7: 1 1 1 1 1   /Question Table 1: 1  /Question Figure 2: 1  /Question 8: 1 1  /Question 9: 1 1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0 0 0 0 0 0   /Question 3: 1 1 .
[Details for Task 3:]  /Question 15: 1 1 0 1 1 0 0 0 1 1 0   /Question 4: 1 1 .</t>
  </si>
  <si>
    <t>s1919579</t>
  </si>
  <si>
    <t>Student UUN: s1919579  Total Mark: 69 /Task 1 mark: 15 /Task 2a mark: 9 /Task 2b mark: 20 /Task 2c mark: 17 /Task 3 mark: 8 .
[Details for Task 1:]  /Question 1: 1 1 1   /Question 2: 1 0   /Question 5: 1 0 0   /Question 6: 0 0 1 1 0   /Question 7: 1 1 1 1 1   /Question Table 1: 1  /Question Figure 2: 1  /Question 8: 1 1  /Question 9: 1 1 1 1 0   /Question Table 2: 1  /Question Figure 3: 1  /Question 10: 1 1  /Question 11: 1 1 1 1 0  .
[Details for Task 2a:]  /Question 12: 1 1 1 1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1 0 0 0 0 0   /Question 3: 1 1 .
[Details for Task 3:]  /Question 15: 1 0 0 1 1 0 0 0 1 0 0   /Question 4: 1 1 .</t>
  </si>
  <si>
    <t>s1920057</t>
  </si>
  <si>
    <t>Student UUN: s1920057  Total Mark: 71 /Task 1 mark: 15 /Task 2a mark: 6 /Task 2b mark: 20 /Task 2c mark: 20 /Task 3 mark: 10 .
[Details for Task 1:]  /Question 1: 1 1 1   /Question 2: 1 0   /Question 5: 1 0 0   /Question 6: 0 0 0 1 1 cite the relevent work  /Question 7: 1 1 1 1 1   /Question Table 1: 1  /Question Figure 2: 1  /Question 8: 1 1  /Question 9: 1 1 1 1 0   /Question Table 2: 1  /Question Figure 3: 1  /Question 10: 1 1  /Question 11: 1 1 1 1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0 1 0 1 0 0 0   /Question 3: 1 1 .
[Details for Task 3:]  /Question 15: 1 1 1 1 1 0 0 0 1 0 0   /Question 4: 1 1 .</t>
  </si>
  <si>
    <t>s1920896</t>
  </si>
  <si>
    <t>Student UUN: s1920896  Total Mark: 71 /Task 1 mark: 16 /Task 2a mark: 7 /Task 2b mark: 20 /Task 2c mark: 20 /Task 3 mark: 8 .
[Details for Task 1:]  /Question 1: 1 1 1   /Question 2: 1 0   /Question 5: 1 0 0   /Question 6: 1 1 1 1 0   /Question 7: 1 1 1 1 1   /Question Table 1: 1  /Question Figure 2: 1  /Question 8: 1 1  /Question 9: 1 1 1 1 0   /Question Table 2: 1  /Question Figure 3: 1  /Question 10: 1 1  /Question 11: 1 1 0 1 0  .
[Details for Task 2a:]  /Question 12: 1 0 1 0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1 1 1 0 0 0   /Question 3: 1 1 .
[Details for Task 3:]  /Question 15: 1 0 0 1 1 0 0 0 1 0 0   /Question 4: 1 1 .</t>
  </si>
  <si>
    <t>s1922129</t>
  </si>
  <si>
    <t>Student UUN: s1922129  Total Mark: 68 /Task 1 mark: 13 /Task 2a mark: 7 /Task 2b mark: 20 /Task 2c mark: 18 /Task 3 mark: 10 .
[Details for Task 1:]  /Question 1: 1 1 1   /Question 2: 1 0   /Question 5: 1 0 0   /Question 6: 0 1 0 1 0   /Question 7: 1 1 1 1 1   /Question Table 1: 1  /Question Figure 2: 1  /Question 8: 1 1  /Question 9: 1 1 1 1 0   /Question Table 2: 1  /Question Figure 3: 1  /Question 10: 0 0  /Question 11: 1 1 0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1 0 0 0 0 0   /Question 14: 1 1 0 1 1 1 0 0 0   /Question 3: 1 1 .
[Details for Task 3:]  /Question 15: 1 1 1 1 1 0 0 0 1 0 0   /Question 4: 1 1 .</t>
  </si>
  <si>
    <t>s1923449</t>
  </si>
  <si>
    <t>Student UUN: s1923449  Total Mark: 66 /Task 1 mark: 12 /Task 2a mark: 6 /Task 2b mark: 20 /Task 2c mark: 20 /Task 3 mark: 8 .
[Details for Task 1:]  /Question 1: 1 1 1   /Question 2: 1 0   /Question 5: 1 0 0   /Question 6: 0 1 0 1 0   /Question 7: 1 1 1 1 1   /Question Table 1: 1  /Question Figure 2: 1  /Question 8: 1 1  /Question 9: 1 1 1 1 0   /Question Table 2: 1  /Question Figure 3: 1  /Question 10: 0 0  /Question 11: 1 0 0 0 0  .
[Details for Task 2a:]  /Question 12: 1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1 1 1 0 0 0   /Question 3: 1 1 .
[Details for Task 3:]  /Question 15: 1 0 0 1 1 0 0 0 1 0 0   /Question 4: 1 1 .</t>
  </si>
  <si>
    <t>s1923862</t>
  </si>
  <si>
    <t>Student UUN: s1923862  Total Mark: 63 /Task 1 mark: 12 /Task 2a mark: 6 /Task 2b mark: 20 /Task 2c mark: 17 /Task 3 mark: 8 .
[Details for Task 1:]  /Question 1: 1 1 1   /Question 2: 1 0   /Question 5: 1 0 0   /Question 6: 1 0 0 1 0   /Question 7: 1 1 1 1 1   /Question Table 1: 1  /Question Figure 2: 1  /Question 8: 1 1  /Question 9: 1 1 1 0 0   /Question Table 2: 1  /Question Figure 3: 1  /Question 10: 0 0  /Question 11: 1 0 0 0 0  .
[Details for Task 2a:]  /Question 12: 1 0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1 0 0 0 0 0   /Question 14: 1 1 0 1 0 0 0 0 0   /Question 3: 1 1 .
[Details for Task 3:]  /Question 15: 1 0 0 1 1 1 0 0 0 0 0   /Question 4: 1 1 .</t>
  </si>
  <si>
    <t>s1927035</t>
  </si>
  <si>
    <t>Student UUN: s1927035  Total Mark: 67 /Task 1 mark: 11 /Task 2a mark: 5 /Task 2b mark: 20 /Task 2c mark: 21 /Task 3 mark: 10 .
[Details for Task 1:]  /Question 1: 0 0 0   /Question 2: 1 0   /Question 5: 1 0 0   /Question 6: 0 0 0 0 0   /Question 7: 1 1 0 1 0   /Question Table 1: 1  /Question Figure 2: 1  /Question 8: 0 0  /Question 9: 1 0 0 1 0   /Question Table 2: 1  /Question Figure 3: 1  /Question 10: 0 0  /Question 11: 1 0 0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0 0 0 0   /Question 14: 1 1 0 1 1 1 0 0 0   /Question 3: 1 1 .
[Details for Task 3:]  /Question 15: 1 1 1 1 1 0 0 0 1 0 0   /Question 4: 1 1 .</t>
  </si>
  <si>
    <t>s1929139</t>
  </si>
  <si>
    <t>Student UUN: s1929139  Total Mark: 50 /Task 1 mark: 15 /Task 2a mark: 6 /Task 2b mark: 5 /Task 2c mark: 12 /Task 3 mark: 7 .
[Details for Task 1:]  /Question 1: 1 1 1   /Question 2: 1 0   /Question 5: 1 0 0   /Question 6: 1 0 1 1 0   /Question 7: 1 1 1 1 1   /Question Table 1: 1  /Question Figure 2: 0  /Question 8: 1 1  /Question 9: 1 1 1 1 0   /Question Table 2: 1  /Question Figure 3: 0  /Question 10: 1 1  /Question 11: 1 1 1 1 0  .
[Details for Task 2a:]  /Question 12: 1 0 1 0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0  /Question Figure 4: 0  /Question 13: 0 0 0 0 0 0 0 0 0 0 0   /Question 14: 1 1 0 0 0 0 0 0 0   /Question 3: 0 0 .
[Details for Task 3:]  /Question 15: 1 0 0 1 0 0 0 0 1 0 0   /Question 4: 0 0 .</t>
  </si>
  <si>
    <t>s1934577</t>
  </si>
  <si>
    <t>Student UUN: s1934577  Total Mark: 65 /Task 1 mark: 11 /Task 2a mark: 6 /Task 2b mark: 20 /Task 2c mark: 20 /Task 3 mark: 8 .
[Details for Task 1:]  /Question 1: 1 1 1   /Question 2: 1 0   /Question 5: 0 0 0   /Question 6: 0 0 0 1 0   /Question 7: 1 1 0 1 0   /Question Table 1: 1  /Question Figure 2: 1  /Question 8: 0 0  /Question 9: 1 0 0 0 0   /Question Table 2: 1  /Question Figure 3: 1  /Question 10: 0 0  /Question 11: 1 0 0 0 0  .
[Details for Task 2a:]  /Question 12: 1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0 0 0   /Question 14: 1 1 0 1 0 0 0 0 0   /Question 3: 1 1 .
[Details for Task 3:]  /Question 15: 1 0 0 1 1 0 0 0 1 0 0   /Question 4: 1 1 .</t>
  </si>
  <si>
    <t>s1935680</t>
  </si>
  <si>
    <t>Student UUN: s1935680  Total Mark: 69 /Task 1 mark: 15 /Task 2a mark: 5 /Task 2b mark: 20 /Task 2c mark: 21 /Task 3 mark: 8 .
[Details for Task 1:]  /Question 1: 1 1 1   /Question 2: 1 0   /Question 5: 1 0 0   /Question 6: 1 0 0 1 0   /Question 7: 1 1 1 1 1   /Question Table 1: 1  /Question Figure 2: 1  /Question 8: 1 1  /Question 9: 1 1 1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0 0 0 0   /Question 14: 1 1 0 1 1 1 0 0 0   /Question 3: 1 1 .
[Details for Task 3:]  /Question 15: 1 0 0 1 1 0 0 0 1 0 0   /Question 4: 1 1 .</t>
  </si>
  <si>
    <t>s1938652</t>
  </si>
  <si>
    <t>Student UUN: s1938652  Total Mark: 65 /Task 1 mark: 13 /Task 2a mark: 7 /Task 2b mark: 20 /Task 2c mark: 17 /Task 3 mark: 8 .
[Details for Task 1:]  /Question 1: 1 1 1   /Question 2: 1 0   /Question 5: 1 0 0   /Question 6: 0 0 0 1 0   /Question 7: 1 1 1 1 1   /Question Table 1: 1  /Question Figure 2: 1  /Question 8: 1 1  /Question 9: 1 1 1 0 0   /Question Table 2: 1  /Question Figure 3: 1  /Question 10: 1 1  /Question 11: 1 1 1 0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1 0 0 0 0 0   /Question 3: 1 1 .
[Details for Task 3:]  /Question 15: 1 0 0 1 1 0 0 0 1 0 0   /Question 4: 1 1 .</t>
  </si>
  <si>
    <t>s1949505</t>
  </si>
  <si>
    <t>Student UUN: s1949505  Total Mark: 67 /Task 1 mark: 13 /Task 2a mark: 5 /Task 2b mark: 20 /Task 2c mark: 20 /Task 3 mark: 9 .
[Details for Task 1:]  /Question 1: 1 1 1   /Question 2: 1 0   /Question 5: 1 0 0   /Question 6: 0 0 0 1 0   /Question 7: 1 1 1 1 1   /Question Table 1: 1  /Question Figure 2: 1  /Question 8: 1 1  /Question 9: 1 1 1 0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1 1 1 0 0 0   /Question 3: 1 1 .
[Details for Task 3:]  /Question 15: 1 0 0 1 1 0 0 0 1 1 0   /Question 4: 1 1 .</t>
  </si>
  <si>
    <t>s1962031</t>
  </si>
  <si>
    <t>Student UUN: s1962031  Total Mark: 69 /Task 1 mark: 13 /Task 2a mark: 8 /Task 2b mark: 20 /Task 2c mark: 20 /Task 3 mark: 8 .
[Details for Task 1:]  /Question 1: 1 1 1   /Question 2: 1 0   /Question 5: 1 0 0   /Question 6: 1 0 0 1 0   /Question 7: 1 1 0 1 0   /Question Table 1: 1  /Question Figure 2: 1  /Question 8: 1 1  /Question 9: 1 1 1 0 0   /Question Table 2: 1  /Question Figure 3: 1  /Question 10: 1 1  /Question 11: 1 1 1 1 0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1 1 1 0 0 0   /Question 3: 1 1 .
[Details for Task 3:]  /Question 15: 1 0 0 1 1 0 0 0 1 0 0   /Question 4: 1 1 .</t>
  </si>
  <si>
    <t>s1969239</t>
  </si>
  <si>
    <t>Student UUN: s1969239  Total Mark: 65 /Task 1 mark: 14 /Task 2a mark: 6 /Task 2b mark: 20 /Task 2c mark: 17 /Task 3 mark: 8 .
[Details for Task 1:]  /Question 1: 1 1 1   /Question 2: 1 0   /Question 5: 1 0 0   /Question 6: 1 0 0 1 0   /Question 7: 1 1 1 1 1   /Question Table 1: 1  /Question Figure 2: 1  /Question 8: 1 1  /Question 9: 1 1 1 0 0   /Question Table 2: 1  /Question Figure 3: 1  /Question 10: 1 1  /Question 11: 1 1 1 0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0  /Question 13: 1 0 1 1 1 1 1 0 0 0 0   /Question 14: 1 0 0 0 0 0 0 0 0   /Question 3: 1 1 .
[Details for Task 3:]  /Question 15: 1 0 0 0 1 0 0 0 1 0 0   /Question 4: 1 1 .</t>
  </si>
  <si>
    <t>s1970716</t>
  </si>
  <si>
    <t>Student UUN: s1970716  Total Mark: 78 /Task 1 mark: 16 /Task 2a mark: 8 /Task 2b mark: 20 /Task 2c mark: 26 /Task 3 mark: 8 .
[Details for Task 1:]  /Question 1: 1 1 1   /Question 2: 1 0   /Question 5: 1 0 0   /Question 6: 1 0 1 1 1 good: capacity is determined by many factors  /Question 7: 1 1 1 1 1 0  /Question Table 1: 1  /Question Figure 2: 1  /Question 8: 1 1  /Question 9: 1 1 1 1 0   /Question Table 2: 1  /Question Figure 3: 1  /Question 10: 1 1  /Question 11: 1 1 1 1 0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1 1 0 0   /Question 14: 1 1 0 1 1 1 1 0 0   /Question 3: 1 1 .
[Details for Task 3:]  /Question 15: 1 0 0 1 1 0 0 0 1 0 0   /Question 4: 1 1 .</t>
  </si>
  <si>
    <t>s1971734</t>
  </si>
  <si>
    <t>Student UUN: s1971734  Total Mark: 73 /Task 1 mark: 16 /Task 2a mark: 6 /Task 2b mark: 20 /Task 2c mark: 23 /Task 3 mark: 8 .
[Details for Task 1:]  /Question 1: 1 1 1   /Question 2: 1 0   /Question 5: 1 0 0   /Question 6: 1 0 1 1 0   /Question 7: 1 1 1 1 1   /Question Table 1: 1  /Question Figure 2: 1  /Question 8: 1 1  /Question 9: 1 1 1 1 0   /Question Table 2: 1  /Question Figure 3: 1  /Question 10: 1 1  /Question 11: 1 1 1 1 0  .
[Details for Task 2a:]  /Question 12: 1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0 0 0   /Question 14: 1 1 0 1 1 1 0 0 0   /Question 3: 1 1 .
[Details for Task 3:]  /Question 15: 1 0 0 1 1 0 0 0 1 0 0   /Question 4: 1 1 .</t>
  </si>
  <si>
    <t>s1973433</t>
  </si>
  <si>
    <t>Student UUN: s1973433  Total Mark: 73 /Task 1 mark: 16 /Task 2a mark: 7 /Task 2b mark: 20 /Task 2c mark: 20 /Task 3 mark: 10 .
[Details for Task 1:]  /Question 1: 1 1 1   /Question 2: 1 0   /Question 5: 1 0 0   /Question 6: 1 0 1 1 0   /Question 7: 1 1 1 1 1   /Question Table 1: 1  /Question Figure 2: 1  /Question 8: 1 1  /Question 9: 1 1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1 0 0 0 0   /Question 14: 1 1 0 1 1 1 0 0 0   /Question 3: 1 1 .
[Details for Task 3:]  /Question 15: 1 1 1 1 1 0 0 0 1 0 0   /Question 4: 1 1 .</t>
  </si>
  <si>
    <t>s1978107</t>
  </si>
  <si>
    <t>Student UUN: s1978107  Total Mark: 45 /Task 1 mark: 11 /Task 2a mark: 6 /Task 2b mark: 20 /Task 2c mark: 0 /Task 3 mark: 0 .
[Details for Task 1:]  /Question 1: 1 1 1   /Question 2: 0 0   /Question 5: 1 0 0   /Question 6: 1 0 1 1 0   /Question 7: 1 1 1 1 1   /Question Table 1: 1  /Question Figure 2: 1  /Question 8: 0 0  /Question 9: 1 0 0 0 0   /Question Table 2: 1  /Question Figure 3: 1  /Question 10: 0 0  /Question 11: 1 0 0 0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0  /Question Figure 4: 0  /Question 13: 0 0 0 0 0 0 0 0 0 0 0   /Question 14: 0 0 0 0 0 0 0 0 0   /Question 3: 0 0 .
[Details for Task 3:]  /Question 15: 0 0 0 0 0 0 0 0 0 0 0   /Question 4: 0 0 .</t>
  </si>
  <si>
    <t>s1979609</t>
  </si>
  <si>
    <t>Student UUN: s1979609  Total Mark: 71 /Task 1 mark: 16 /Task 2a mark: 6 /Task 2b mark: 20 /Task 2c mark: 21 /Task 3 mark: 8 .
[Details for Task 1:]  /Question 1: 1 1 1   /Question 2: 1 0   /Question 5: 1 0 0   /Question 6: 1 1 1 1 0   /Question 7: 1 1 1 1 1   /Question Table 1: 1  /Question Figure 2: 1  /Question 8: 1 1  /Question 9: 1 1 1 1 0   /Question Table 2: 1  /Question Figure 3: 1  /Question 10: 1 1  /Question 11: 1 1 1 1 0  .
[Details for Task 2a:]  /Question 12: 1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1 1 0 0   /Question 14: 1 1 0 1 0 0 0 0 0   /Question 3: 1 1 .
[Details for Task 3:]  /Question 15: 1 0 0 1 0 0 0 0 1 0 0   /Question 4: 1 1 .</t>
  </si>
  <si>
    <t>s1980013</t>
  </si>
  <si>
    <t>Student UUN: s1980013  Total Mark: 64 /Task 1 mark: 12 /Task 2a mark: 7 /Task 2b mark: 20 /Task 2c mark: 17 /Task 3 mark: 8 .
[Details for Task 1:]  /Question 1: 1 1 1   /Question 2: 1 0   /Question 5: 1 0 0   /Question 6: 0 1 1 1 0   /Question 7: 1 1 1 1 1   /Question Table 1: 1  /Question Figure 2: 1  /Question 8: 0 0  /Question 9: 1 0 0 1 0   /Question Table 2: 1  /Question Figure 3: 1  /Question 10: 0 0  /Question 11: 1 0 0 1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0 0 1 0 0 0 0 0   /Question 14: 1 1 0 0 0 0 0 0 0   /Question 3: 1 1 .
[Details for Task 3:]  /Question 15: 1 0 0 1 0 0 0 0 1 0 0   /Question 4: 1 1 .</t>
  </si>
  <si>
    <t>s2015345</t>
  </si>
  <si>
    <t>Student UUN: s2015345  Total Mark: 72 /Task 1 mark: 16 /Task 2a mark: 7 /Task 2b mark: 20 /Task 2c mark: 21 /Task 3 mark: 8 .
[Details for Task 1:]  /Question 1: 1 1 1   /Question 2: 1 0   /Question 5: 1 0 0   /Question 6: 1 1 1 1 0   /Question 7: 1 1 1 1 1   /Question Table 1: 1  /Question Figure 2: 1  /Question 8: 1 1  /Question 9: 1 1 1 1 0   /Question Table 2: 1  /Question Figure 3: 1  /Question 10: 1 1  /Question 11: 1 1 1 1 0  .
[Details for Task 2a:]  /Question 12: 1 0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0 1 1 1 0 0 0   /Question 3: 1 1 .
[Details for Task 3:]  /Question 15: 1 0 0 1 1 0 0 0 1 0 0   /Question 4: 1 1 .</t>
  </si>
  <si>
    <t>s2016022</t>
  </si>
  <si>
    <t>Student UUN: s2016022  Total Mark: 75 /Task 1 mark: 15 /Task 2a mark: 6 /Task 2b mark: 20 /Task 2c mark: 26 /Task 3 mark: 8 .
[Details for Task 1:]  /Question 1: 1 1 1   /Question 2: 1 0   /Question 5: 1 0 0   /Question 6: 1 0 0 1 0   /Question 7: 1 1 1 1 1   /Question Table 1: 1  /Question Figure 2: 1  /Question 8: 1 1  /Question 9: 1 1 1 1 0   /Question Table 2: 1  /Question Figure 3: 1  /Question 10: 1 1  /Question 11: 1 1 1 1 0  .
[Details for Task 2a:]  /Question 12: 1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0 1 1 1 0 0 0   /Question 3: 1 1 .
[Details for Task 3:]  /Question 15: 1 0 0 1 1 0 0 0 1 0 0   /Question 4: 1 1 .</t>
  </si>
  <si>
    <t>s2016765</t>
  </si>
  <si>
    <t>Student UUN: s2016765  Total Mark: 74 /Task 1 mark: 15 /Task 2a mark: 5 /Task 2b mark: 20 /Task 2c mark: 26 /Task 3 mark: 8 .
[Details for Task 1:]  /Question 1: 1 1 1   /Question 2: 1 0   /Question 5: 1 0 0   /Question 6: 0 0 0 1 0   /Question 7: 1 1 1 1 1   /Question Table 1: 1  /Question Figure 2: 1  /Question 8: 1 1  /Question 9: 1 1 1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0 1 1 1 0 0 0   /Question 3: 1 1 .
[Details for Task 3:]  /Question 15: 1 0 0 1 1 0 0 0 1 0 0   /Question 4: 1 1 .</t>
  </si>
  <si>
    <t>s2017185</t>
  </si>
  <si>
    <t>Student UUN: s2017185  Total Mark: 76 /Task 1 mark: 12 /Task 2a mark: 7 /Task 2b mark: 20 /Task 2c mark: 23 /Task 3 mark: 14 .
[Details for Task 1:]  /Question 1: 1 1 1   /Question 2: 1 0   /Question 5: 1 0 0   /Question 6: 0 0 0 1 0   /Question 7: 1 1 1 1 1   /Question Table 1: 1  /Question Figure 2: 1  /Question 8: 0 0  /Question 9: 1 0 1 1 0   /Question Table 2: 1  /Question Figure 3: 1  /Question 10: 0 0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0 1 1 1 1 0 0   /Question 3: 1 1 .
[Details for Task 3:]  /Question 15: 1 1 1 1 1 1 1 1 1 1 0   /Question 4: 1 1 .</t>
  </si>
  <si>
    <t>s2017377</t>
  </si>
  <si>
    <t>Student UUN: s2017377  Total Mark: 74 /Task 1 mark: 15 /Task 2a mark: 7 /Task 2b mark: 20 /Task 2c mark: 20 /Task 3 mark: 12 .
[Details for Task 1:]  /Question 1: 1 1 1   /Question 2: 1 0   /Question 5: 1 0 0   /Question 6: 0 0 1 1 0   /Question 7: 1 1 1 1 1   /Question Table 1: 1  /Question Figure 2: 1  /Question 8: 1 1  /Question 9: 1 1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0 0 0   /Question 14: 1 1 0 1 0 0 0 0 0   /Question 3: 1 1 .
[Details for Task 3:]  /Question 15: 1 1 1 1 0 1 1 1 1 1 0   /Question 4: 1 0 .</t>
  </si>
  <si>
    <t>s2017576</t>
  </si>
  <si>
    <t>Student UUN: s2017576  Total Mark: 73 /Task 1 mark: 13 /Task 2a mark: 6 /Task 2b mark: 20 /Task 2c mark: 26 /Task 3 mark: 8 .
[Details for Task 1:]  /Question 1: 1 1 1   /Question 2: 1 0   /Question 5: 1 0 0   /Question 6: 0 0 0 1 0   /Question 7: 1 1 1 1 1   /Question Table 1: 1  /Question Figure 2: 1  /Question 8: 1 1  /Question 9: 1 0 1 0 0   /Question Table 2: 1  /Question Figure 3: 1  /Question 10: 1 1  /Question 11: 1 0 1 1 0  .
[Details for Task 2a:]  /Question 12: 1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0 1 1 1 0 0 0   /Question 3: 1 1 .
[Details for Task 3:]  /Question 15: 1 0 0 1 1 0 0 0 1 0 0   /Question 4: 1 1 .</t>
  </si>
  <si>
    <t>s2018374</t>
  </si>
  <si>
    <t>Student UUN: s2018374  Total Mark: 64 /Task 1 mark: 14 /Task 2a mark: 5 /Task 2b mark: 20 /Task 2c mark: 17 /Task 3 mark: 8 .
[Details for Task 1:]  /Question 1: 1 1 1   /Question 2: 1 0   /Question 5: 1 0 0   /Question 6: 0 1 0 1 0   /Question 7: 1 1 1 1 1   /Question Table 1: 1  /Question Figure 2: 1  /Question 8: 1 1  /Question 9: 1 0 1 1 0   /Question Table 2: 1  /Question Figure 3: 1  /Question 10: 1 1  /Question 11: 1 0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0 0 0 0   /Question 14: 1 1 0 0 0 0 0 0 0   /Question 3: 1 1 .
[Details for Task 3:]  /Question 15: 1 0 0 1 1 0 0 0 1 0 0   /Question 4: 1 1 .</t>
  </si>
  <si>
    <t>s2020153</t>
  </si>
  <si>
    <t>Student UUN: s2020153  Total Mark: 73 /Task 1 mark: 14 /Task 2a mark: 7 /Task 2b mark: 20 /Task 2c mark: 24 /Task 3 mark: 8 .
[Details for Task 1:]  /Question 1: 1 1 1   /Question 2: 1 0   /Question 5: 1 0 0   /Question 6: 0 1 0 1 0   /Question 7: 1 1 1 1 1   /Question Table 1: 1  /Question Figure 2: 1  /Question 8: 1 1  /Question 9: 1 0 1 1 0   /Question Table 2: 1  /Question Figure 3: 1  /Question 10: 1 1  /Question 11: 1 0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1 1 0 0   /Question 14: 1 1 0 1 1 1 0 0 0   /Question 3: 1 1 .
[Details for Task 3:]  /Question 15: 1 0 0 1 1 0 0 0 1 0 0   /Question 4: 1 1 .</t>
  </si>
  <si>
    <t>s2020406</t>
  </si>
  <si>
    <t>Student UUN: s2020406  Total Mark: 66 /Task 1 mark: 13 /Task 2a mark: 5 /Task 2b mark: 20 /Task 2c mark: 20 /Task 3 mark: 8 .
[Details for Task 1:]  /Question 1: 1 1 1   /Question 2: 1 0   /Question 5: 1 0 0   /Question 6: 1 1 1 1 1 cite a lot of relevent work  /Question 7: 1 1 1 0 0   /Question Table 1: 1  /Question Figure 2: 1  /Question 8: 1 1  /Question 9: 1 1 0 0 0   /Question Table 2: 1  /Question Figure 3: 1  /Question 10: 1 1  /Question 11: 0 1 0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0 0 0 0 0   /Question 14: 1 1 0 1 1 1 0 1 0   /Question 3: 1 0 .
[Details for Task 3:]  /Question 15: 1 0 0 1 0 0 0 0 1 0 0   /Question 4: 1 1 .</t>
  </si>
  <si>
    <t>s2020514</t>
  </si>
  <si>
    <t>Student UUN: s2020514  Total Mark: 61 /Task 1 mark: 12 /Task 2a mark: 5 /Task 2b mark: 20 /Task 2c mark: 17 /Task 3 mark: 7 .
[Details for Task 1:]  /Question 1: 1 1 1   /Question 2: 1 0   /Question 5: 1 0 0   /Question 6: 0 1 0 1 0   /Question 7: 1 1 1 1 0   /Question Table 1: 1  /Question Figure 2: 1  /Question 8: 1 1  /Question 9: 1 0 0 0 0   /Question Table 2: 1  /Question Figure 3: 1  /Question 10: 1 1  /Question 11: 1 1 0 0 0  .
[Details for Task 2a:]  /Question 12: 0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1 0 0 0 0 0   /Question 14: 1 1 0 0 0 1 0 0 0   /Question 3: 1 1 .
[Details for Task 3:]  /Question 15: 1 0 0 1 0 0 0 0 0 0 0   /Question 4: 0 1 .</t>
  </si>
  <si>
    <t>s2020607</t>
  </si>
  <si>
    <t>Student UUN: s2020607  Total Mark: 62 /Task 1 mark: 13 /Task 2a mark: 4 /Task 2b mark: 20 /Task 2c mark: 17 /Task 3 mark: 8 .
[Details for Task 1:]  /Question 1: 1 1 1   /Question 2: 1 0   /Question 5: 1 0 0   /Question 6: 0 1 0 1 0   /Question 7: 1 1 1 1 1   /Question Table 1: 1  /Question Figure 2: 1  /Question 8: 1 1  /Question 9: 1 1 0 1 0   /Question Table 2: 1  /Question Figure 3: 1  /Question 10: 1 1  /Question 11: 1 1 0 0 0  .
[Details for Task 2a:]  /Question 12: 0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0 0 0 0 0 0   /Question 14: 1 1 0 0 0 1 0 0 0   /Question 3: 1 1 .
[Details for Task 3:]  /Question 15: 1 0 0 1 0 0 0 0 0 0 0   /Question 4: 1 1 .</t>
  </si>
  <si>
    <t>s2021030</t>
  </si>
  <si>
    <t>Student UUN: s2021030  Total Mark: 65 /Task 1 mark: 13 /Task 2a mark: 7 /Task 2b mark: 20 /Task 2c mark: 17 /Task 3 mark: 8 .
[Details for Task 1:]  /Question 1: 1 1 1   /Question 2: 1 0   /Question 5: 1 0 0   /Question 6: 0 1 0 1 1 cite a lot of relevent work  /Question 7: 1 1 1 1 1   /Question Table 1: 1  /Question Figure 2: 1  /Question 8: 1 1  /Question 9: 1 0 0 0 0   /Question Table 2: 1  /Question Figure 3: 1  /Question 10: 1 1  /Question 11: 1 0 0 0 1 discuss and cite some relevent work .
[Details for Task 2a:]  /Question 12: 0 1 1 1 1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0 1 1 0 1 0 0 0   /Question 14: 1 1 0 0 0 1 0 0 0   /Question 3: 1 1 .
[Details for Task 3:]  /Question 15: 1 0 0 1 0 0 0 0 1 0 0   /Question 4: 1 1 .</t>
  </si>
  <si>
    <t>s2021615</t>
  </si>
  <si>
    <t>Student UUN: s2021615  Total Mark: 69 /Task 1 mark: 13 /Task 2a mark: 7 /Task 2b mark: 20 /Task 2c mark: 21 /Task 3 mark: 8 .
[Details for Task 1:]  /Question 1: 1 1 1   /Question 2: 1 0   /Question 5: 1 0 0   /Question 6: 0 1 0 1 0   /Question 7: 1 1 1 1 1   /Question Table 1: 1  /Question Figure 2: 1  /Question 8: 1 1  /Question 9: 1 1 0 1 0   /Question Table 2: 1  /Question Figure 3: 1  /Question 10: 1 1  /Question 11: 0 1 0 1 0  .
[Details for Task 2a:]  /Question 12: 0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1 1 0 0   /Question 14: 1 1 0 1 0 0 0 0 0   /Question 3: 1 1 .
[Details for Task 3:]  /Question 15: 1 0 0 1 0 1 1 0 1 0 0   /Question 4: 0 0 .</t>
  </si>
  <si>
    <t>s2024006</t>
  </si>
  <si>
    <t>Student UUN: s2024006  Total Mark: 65 /Task 1 mark: 15 /Task 2a mark: 5 /Task 2b mark: 20 /Task 2c mark: 17 /Task 3 mark: 8 .
[Details for Task 1:]  /Question 1: 1 1 1   /Question 2: 1 0   /Question 5: 1 0 0   /Question 6: 0 1 1 1 0   /Question 7: 1 1 1 1 1   /Question Table 1: 1  /Question Figure 2: 1  /Question 8: 1 1  /Question 9: 1 1 0 1 0   /Question Table 2: 1  /Question Figure 3: 1  /Question 10: 1 1  /Question 11: 1 1 0 1 0  .
[Details for Task 2a:]  /Question 12: 0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0 1 1 0 0 0 0   /Question 14: 1 1 0 1 0 1 0 0 0   /Question 3: 1 1 .
[Details for Task 3:]  /Question 15: 1 0 0 1 0 0 0 0 1 1 0   /Question 4: 1 1 .</t>
  </si>
  <si>
    <t>s2024553</t>
  </si>
  <si>
    <t>Student UUN: s2024553  Total Mark: 58 /Task 1 mark: 11 /Task 2a mark: 4 /Task 2b mark: 20 /Task 2c mark: 17 /Task 3 mark: 6 .
[Details for Task 1:]  /Question 1: 1 1 1   /Question 2: 1 0   /Question 5: 1 0 0   /Question 6: 0 1 0 1 0   /Question 7: 1 1 1 0 0   /Question Table 1: 1  /Question Figure 2: 1  /Question 8: 1 1  /Question 9: 1 1 0 0 0   /Question Table 2: 1  /Question Figure 3: 1  /Question 10: 1 1  /Question 11: 1 0 0 0 0  .
[Details for Task 2a:]  /Question 12: 1 0 0 0 0 0 0 0 You start discussing individual benefits. A discussion of their interplay would have ben meaningful. Other than that, this was about the "how".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0 0 0 0 0   /Question 14: 1 1 0 0 0 0 0 0 0   /Question 3: 1 1 .
[Details for Task 3:]  /Question 15: 0 0 0 0 0 0 0 0 1 0 0   /Question 4: 0 0 .</t>
  </si>
  <si>
    <t>s2025451</t>
  </si>
  <si>
    <t>Student UUN: s2025451  Total Mark: 62 /Task 1 mark: 12 /Task 2a mark: 5 /Task 2b mark: 20 /Task 2c mark: 17 /Task 3 mark: 8 .
[Details for Task 1:]  /Question 1: 1 1 1   /Question 2: 1 0   /Question 5: 1 0 0   /Question 6: 0 1 1 1 0   /Question 7: 1 1 1 0 0   /Question Table 1: 1  /Question Figure 2: 1  /Question 8: 1 1  /Question 9: 1 0 0 0 0   /Question Table 2: 1  /Question Figure 3: 1  /Question 10: 1 1  /Question 11: 1 0 0 1 0  .
[Details for Task 2a:]  /Question 12: 0 0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1 0 0 0 0 0   /Question 14: 1 1 0 0 0 0 0 0 0   /Question 3: 1 1 .
[Details for Task 3:]  /Question 15: 1 0 0 1 1 0 0 0 1 0 0   /Question 4: 1 1 .</t>
  </si>
  <si>
    <t>s2026099</t>
  </si>
  <si>
    <t>Student UUN: s2026099  Total Mark: 65 /Task 1 mark: 12 /Task 2a mark: 5 /Task 2b mark: 20 /Task 2c mark: 20 /Task 3 mark: 8 .
[Details for Task 1:]  /Question 1: 1 1 1   /Question 2: 1 0   /Question 5: 1 0 0   /Question 6: 0 1 1 1 0   /Question 7: 1 1 1 0 0   /Question Table 1: 1  /Question Figure 2: 1  /Question 8: 1 1  /Question 9: 1 0 0 1 0   /Question Table 2: 1  /Question Figure 3: 1  /Question 10: 1 1  /Question 11: 1 0 0 0 0  .
[Details for Task 2a:]  /Question 12: 0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1 1 0 0   /Question 14: 1 1 0 0 0 0 0 0 0   /Question 3: 1 1 .
[Details for Task 3:]  /Question 15: 1 0 1 0 1 0 0 0 1 0 0   /Question 4: 1 1 .</t>
  </si>
  <si>
    <t>s2027011</t>
  </si>
  <si>
    <t>Student UUN: s2027011  Total Mark: 64 /Task 1 mark: 14 /Task 2a mark: 5 /Task 2b mark: 20 /Task 2c mark: 17 /Task 3 mark: 8 .
[Details for Task 1:]  /Question 1: 1 1 1   /Question 2: 1 0   /Question 5: 1 0 0   /Question 6: 0 1 0 1 1 cite the relevent work  /Question 7: 1 1 1 0 0   /Question Table 1: 1  /Question Figure 2: 1  /Question 8: 1 1  /Question 9: 1 0 0 1 0   /Question Table 2: 1  /Question Figure 3: 1  /Question 10: 1 1  /Question 11: 1 1 0 1 0  .
[Details for Task 2a:]  /Question 12: 0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1 0 1 1 0 0   /Question 14: 1 1 0 0 0 0 0 0 0   /Question 3: 1 1 .
[Details for Task 3:]  /Question 15: 1 1 0 1 0 0 0 0 1 0 0   /Question 4: 1 1 .</t>
  </si>
  <si>
    <t>s2028388</t>
  </si>
  <si>
    <t>Student UUN: s2028388  Total Mark: 60 /Task 1 mark: 11 /Task 2a mark: 5 /Task 2b mark: 20 /Task 2c mark: 17 /Task 3 mark: 7 .
[Details for Task 1:]  /Question 1: 1 1 1   /Question 2: 1 0   /Question 5: 1 0 0   /Question 6: 0 1 1 1 0   /Question 7: 1 1 0 0 0   /Question Table 1: 1  /Question Figure 2: 1  /Question 8: 1 1  /Question 9: 1 0 0 0 0   /Question Table 2: 1  /Question Figure 3: 1  /Question 10: 0 0  /Question 11: 0 0 0 0 0  .
[Details for Task 2a:]  /Question 12: 0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0 0 0 0 0 0   /Question 14: 1 0 0 0 0 0 0 0 0   /Question 3: 1 1 .
[Details for Task 3:]  /Question 15: 1 0 0 1 0 0 0 0 1 0 0   /Question 4: 0 0 .</t>
  </si>
  <si>
    <t>s2029216</t>
  </si>
  <si>
    <t>Student UUN: s2029216  Total Mark: 64 /Task 1 mark: 12 /Task 2a mark: 7 /Task 2b mark: 20 /Task 2c mark: 17 /Task 3 mark: 8 .
[Details for Task 1:]  /Question 1: 1 1 1   /Question 2: 1 0   /Question 5: 1 0 0   /Question 6: 0 1 1 1 0   /Question 7: 1 1 1 0 0   /Question Table 1: 1  /Question Figure 2: 1  /Question 8: 1 1  /Question 9: 1 1 0 0 0   /Question Table 2: 1  /Question Figure 3: 1  /Question 10: 1 1  /Question 11: 0 0 1 0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0 0 1 0 0 0 0 0   /Question 14: 1 1 0 0 0 0 0 0 0   /Question 3: 1 1 .
[Details for Task 3:]  /Question 15: 1 0 0 1 0 0 0 0 0 0 0   /Question 4: 1 1 .</t>
  </si>
  <si>
    <t>s2029442</t>
  </si>
  <si>
    <t>Student UUN: s2029442  Total Mark: 62 /Task 1 mark: 12 /Task 2a mark: 5 /Task 2b mark: 20 /Task 2c mark: 17 /Task 3 mark: 8 .
[Details for Task 1:]  /Question 1: 1 1 1   /Question 2: 1 0   /Question 5: 1 0 0   /Question 6: 0 1 0 1 0   /Question 7: 1 1 1 0 0   /Question Table 1: 1  /Question Figure 2: 1  /Question 8: 1 1  /Question 9: 1 1 0 0 0   /Question Table 2: 1  /Question Figure 3: 1  /Question 10: 1 1  /Question 11: 1 1 1 0 0  .
[Details for Task 2a:]  /Question 12: 0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0 0 0 0 0 0   /Question 14: 1 1 0 1 0 0 0 0 0   /Question 3: 1 1 .
[Details for Task 3:]  /Question 15: 1 0 0 1 1 0 0 0 1 0 0   /Question 4: 1 1 .</t>
  </si>
  <si>
    <t>s2029717</t>
  </si>
  <si>
    <t>Student UUN: s2029717  Total Mark: 64 /Task 1 mark: 12 /Task 2a mark: 5 /Task 2b mark: 20 /Task 2c mark: 17 /Task 3 mark: 10 .
[Details for Task 1:]  /Question 1: 1 1 1   /Question 2: 1 0   /Question 5: 1 1 0   /Question 6: 0 1 0 1 0   /Question 7: 1 1 1 1 0   /Question Table 1: 1  /Question Figure 2: 1  /Question 8: 1 1  /Question 9: 1 0 0 1 0   /Question Table 2: 1  /Question Figure 3: 1  /Question 10: 1 1  /Question 11: 1 0 0 0 0  .
[Details for Task 2a:]  /Question 12: 0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1 0 0 0 0 0 0 0 0   /Question 14: 1 1 0 1 1 1 0 0 0   /Question 3: 1 1 .
[Details for Task 3:]  /Question 15: 1 1 1 1 1 0 0 0 1 0 0   /Question 4: 1 1 .</t>
  </si>
  <si>
    <t>s2029769</t>
  </si>
  <si>
    <t>Student UUN: s2029769  Total Mark: 50 /Task 1 mark: 12 /Task 2a mark: 5 /Task 2b mark: 20 /Task 2c mark: 8 /Task 3 mark: 4 .
[Details for Task 1:]  /Question 1: 1 1 1   /Question 2: 0 0   /Question 5: 1 0 0   /Question 6: 0 1 1 1 0   /Question 7: 1 1 1 1 1   /Question Table 1: 1  /Question Figure 2: 1  /Question 8: 1 1  /Question 9: 1 0 0 0 0   /Question Table 2: 1  /Question Figure 3: 1  /Question 10: 1 1  /Question 11: 1 0 0 0 0  .
[Details for Task 2a:]  /Question 12: 0 0 0 0 0 1 0 1 Good point on the complementarity of the two approaches. Other than that, the questions is about the "how". What they are was covered earlier in the text.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0 0 0 0 0 0 0 0 0   /Question 14: 1 0 0 0 0 0 0 0 0   /Question 3: 0 0 .
[Details for Task 3:]  /Question 15: 0 0 0 0 0 0 0 0 0 0 0   /Question 4: 0 0 .</t>
  </si>
  <si>
    <t>s2029970</t>
  </si>
  <si>
    <t>Student UUN: s2029970  Total Mark: 50 /Task 1 mark: 11 /Task 2a mark: 4 /Task 2b mark: 20 /Task 2c mark: 8 /Task 3 mark: 7 .
[Details for Task 1:]  /Question 1: 1 1 1   /Question 2: 1 0   /Question 5: 1 0 0   /Question 6: 0 1 0 1 0   /Question 7: 0 0 0 0 0   /Question Table 1: 1  /Question Figure 2: 1  /Question 8: 1 1  /Question 9: 1 0 0 0 0   /Question Table 2: 1  /Question Figure 3: 1  /Question 10: 1 1  /Question 11: 1 0 0 0 0  .
[Details for Task 2a:]  /Question 12: 0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0 0 0 0 0 0 0 0 0   /Question 14: 1 0 0 0 0 0 0 0 0   /Question 3: 0 0 .
[Details for Task 3:]  /Question 15: 0 0 0 0 0 0 0 0 1 0 0   /Question 4: 1 1 .</t>
  </si>
  <si>
    <t>s2030275</t>
  </si>
  <si>
    <t>Student UUN: s2030275  Total Mark: 63 /Task 1 mark: 13 /Task 2a mark: 5 /Task 2b mark: 20 /Task 2c mark: 17 /Task 3 mark: 8 .
[Details for Task 1:]  /Question 1: 1 1 1   /Question 2: 1 0   /Question 5: 1 0 0   /Question 6: 1 1 0 1 1 cite the relevent work  /Question 7: 1 1 0 1 1   /Question Table 1: 1  /Question Figure 2: 1  /Question 8: 1 1  /Question 9: 1 1 0 0 0   /Question Table 2: 1  /Question Figure 3: 1  /Question 10: 1 1  /Question 11: 1 1 0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0 0 0 0 0   /Question 14: 1 1 0 0 0 0 0 0 0   /Question 3: 1 1 .
[Details for Task 3:]  /Question 15: 0 0 0 1 1 0 0 0 0 0 0   /Question 4: 1 1 .</t>
  </si>
  <si>
    <t>s2030861</t>
  </si>
  <si>
    <t>Student UUN: s2030861  Total Mark: 63 /Task 1 mark: 12 /Task 2a mark: 6 /Task 2b mark: 20 /Task 2c mark: 17 /Task 3 mark: 8 .
[Details for Task 1:]  /Question 1: 1 1 1   /Question 2: 1 0   /Question 5: 1 0 0   /Question 6: 0 1 0 1 0   /Question 7: 1 1 1 0 0   /Question Table 1: 1  /Question Figure 2: 1  /Question 8: 1 1  /Question 9: 1 1 1 0 0   /Question Table 2: 1  /Question Figure 3: 1  /Question 10: 1 1  /Question 11: 1 1 0 0 0  .
[Details for Task 2a:]  /Question 12: 1 0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1 0 0 1 1 0 0 0 0   /Question 14: 1 1 0 0 0 0 0 0 0   /Question 3: 1 1 .
[Details for Task 3:]  /Question 15: 0 0 0 1 1 0 0 0 1 0 0   /Question 4: 1 1 .</t>
  </si>
  <si>
    <t>s2031209</t>
  </si>
  <si>
    <t>Student UUN: s2031209  Total Mark: 65 /Task 1 mark: 15 /Task 2a mark: 5 /Task 2b mark: 20 /Task 2c mark: 17 /Task 3 mark: 8 .
[Details for Task 1:]  /Question 1: 1 1 1   /Question 2: 1 0   /Question 5: 1 1 0   /Question 6: 0 1 0 1 1 cite the relevent work  /Question 7: 1 1 1 0 0   /Question Table 1: 1  /Question Figure 2: 1  /Question 8: 1 1  /Question 9: 1 1 0 1 1 the author suggested to use other metrics and cided the paper  /Question Table 2: 1  /Question Figure 3: 1  /Question 10: 1 1  /Question 11: 1 0 1 1 0  .
[Details for Task 2a:]  /Question 12: 0 1 0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1 1 0 0 0 0 0   /Question 14: 1 1 0 0 0 0 0 0 0   /Question 3: 1 1 .
[Details for Task 3:]  /Question 15: 1 0 1 1 0 0 0 0 1 0 0   /Question 4: 1 1 .</t>
  </si>
  <si>
    <t>s2031389</t>
  </si>
  <si>
    <t>Student UUN: s2031389  Total Mark: 60 /Task 1 mark: 12 /Task 2a mark: 5 /Task 2b mark: 18 /Task 2c mark: 17 /Task 3 mark: 8 .
[Details for Task 1:]  /Question 1: 1 1 1   /Question 2: 1 0   /Question 5: 1 0 0   /Question 6: 0 1 0 1 0   /Question 7: 1 1 1 0 0   /Question Table 1: 1  /Question Figure 2: 1  /Question 8: 1 1  /Question 9: 1 0 0 1 0   /Question Table 2: 1  /Question Figure 3: 1  /Question 10: 1 1  /Question 11: 1 0 0 1 0  .
[Details for Task 2a:]  /Question 12: 1 0 0 0 0 1 0 0  .
[Details for Task 2b:]  /Fprop check for DropoutLayer: 1  /Bprop check for DropoutLayer: 0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0 0 0 0 0 0   /Question 14: 0 0 0 0 0 0 0 0 0   /Question 3: 0 1 .
[Details for Task 3:]  /Question 15: 1 0 0 1 0 0 0 0 1 0 0   /Question 4: 1 1 .</t>
  </si>
  <si>
    <t>s2036394</t>
  </si>
  <si>
    <t>Student UUN: s2036394  Total Mark: 65 /Task 1 mark: 11 /Task 2a mark: 7 /Task 2b mark: 20 /Task 2c mark: 18 /Task 3 mark: 9 .
[Details for Task 1:]  /Question 1: 1 1 1   /Question 2: 1 0   /Question 5: 1 0 0   /Question 6: 0 1 0 1 0   /Question 7: 1 1 1 0 0   /Question Table 1: 1  /Question Figure 2: 1  /Question 8: 1 1  /Question 9: 1 0 0 0 0   /Question Table 2: 1  /Question Figure 3: 1  /Question 10: 1 1  /Question 11: 1 1 0 0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1 1 0 0 1 0 0   /Question 14: 1 1 1 0 0 0 0 0 0   /Question 3: 1 1 .
[Details for Task 3:]  /Question 15: 1 0 0 1 1 1 1 0 0 0 0   /Question 4: 1 1 .</t>
  </si>
  <si>
    <t>s2036401</t>
  </si>
  <si>
    <t>Student UUN: s2036401  Total Mark: 68 /Task 1 mark: 16 /Task 2a mark: 6 /Task 2b mark: 20 /Task 2c mark: 17 /Task 3 mark: 9 .
[Details for Task 1:]  /Question 1: 1 1 1   /Question 2: 1 0   /Question 5: 1 0 0   /Question 6: 1 1 0 1 0   /Question 7: 1 1 1 1 1   /Question Table 1: 1  /Question Figure 2: 1  /Question 8: 1 1  /Question 9: 1 1 1 1 0   /Question Table 2: 1  /Question Figure 3: 1  /Question 10: 1 1  /Question 11: 1 1 1 1 0  .
[Details for Task 2a:]  /Question 12: 1 0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1 1 0 0 0   /Question 14: 1 1 1 0 0 0 0 0 0   /Question 3: 0 0 .
[Details for Task 3:]  /Question 15: 1 1 1 1 0 0 0 0 1 0 0   /Question 4: 1 1 .</t>
  </si>
  <si>
    <t>s2038222</t>
  </si>
  <si>
    <t>Student UUN: s2038222  Total Mark: 62 /Task 1 mark: 11 /Task 2a mark: 6 /Task 2b mark: 20 /Task 2c mark: 17 /Task 3 mark: 8 .
[Details for Task 1:]  /Question 1: 1 1 1   /Question 2: 1 0   /Question 5: 1 0 1 Your citation of medical instance supports your statement  /Question 6: 0 0 0 1 0   /Question 7: 1 1 1 0 0   /Question Table 1: 1  /Question Figure 2: 1  /Question 8: 1 1  /Question 9: 1 0 0 0 0   /Question Table 2: 1  /Question Figure 3: 1  /Question 10: 1 1  /Question 11: 1 0 0 0 0  .
[Details for Task 2a:]  /Question 12: 1 0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0 0 0 0 0 0 0 0   /Question 3: 1 1 .
[Details for Task 3:]  /Question 15: 1 0 0 1 0 1 1 0 1 0 0   /Question 4: 1 0 .</t>
  </si>
  <si>
    <t>s2044819</t>
  </si>
  <si>
    <t>Student UUN: s2044819  Total Mark: 65 /Task 1 mark: 12 /Task 2a mark: 6 /Task 2b mark: 20 /Task 2c mark: 17 /Task 3 mark: 10 .
[Details for Task 1:]  /Question 1: 1 1 1   /Question 2: 1 0   /Question 5: 0 0 0 You should answer why overfitting is a problem rather than how it occurs.  /Question 6: 0 1 1 1 0   /Question 7: 1 1 1 1 1   /Question Table 1: 1  /Question Figure 2: 1  /Question 8: 1 1  /Question 9: 1 0 0 0 0   /Question Table 2: 1  /Question Figure 3: 1  /Question 10: 1 1  /Question 11: 1 0 0 0 0  .
[Details for Task 2a:]  /Question 12: 1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0 0 0 0   /Question 14: 1 1 1 0 0 0 0 0 0   /Question 3: 1 1 .
[Details for Task 3:]  /Question 15: 1 0 0 1 1 1 1 0 1 0 0   /Question 4: 1 1 .</t>
  </si>
  <si>
    <t>s2045318</t>
  </si>
  <si>
    <t>Student UUN: s2045318  Total Mark: 65 /Task 1 mark: 12 /Task 2a mark: 8 /Task 2b mark: 20 /Task 2c mark: 17 /Task 3 mark: 8 .
[Details for Task 1:]  /Question 1: 1 1 1   /Question 2: 1 0   /Question 5: 1 0 0   /Question 6: 0 0 0 1 0   /Question 7: 0 0 0 1 1   /Question Table 1: 1  /Question Figure 2: 1  /Question 8: 1 1  /Question 9: 1 1 1 0 0   /Question Table 2: 1  /Question Figure 3: 1  /Question 10: 1 1  /Question 11: 1 1 1 0 0  .
[Details for Task 2a:]  /Question 12: 1 1 1 0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1 0 1 0 0 0   /Question 14: 1 1 0 0 0 0 0 0 0   /Question 3: 1 1 .
[Details for Task 3:]  /Question 15: 1 0 0 1 1 0 0 0 0 0 0   /Question 4: 1 1 .</t>
  </si>
  <si>
    <t>s2047311</t>
  </si>
  <si>
    <t>Student UUN: s2047311  Total Mark: 69 /Task 1 mark: 13 /Task 2a mark: 7 /Task 2b mark: 20 /Task 2c mark: 17 /Task 3 mark: 12 .
[Details for Task 1:]  /Question 1: 1 1 1   /Question 2: 1 0   /Question 5: 1 0 0   /Question 6: 0 1 0 0 0   /Question 7: 1 1 1 1 1   /Question Table 1: 1  /Question Figure 2: 1  /Question 8: 1 1  /Question 9: 1 1 1 0 0   /Question Table 2: 1  /Question Figure 3: 1  /Question 10: 1 1  /Question 11: 1 1 1 0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0 0 0 0   /Question 14: 1 1 1 0 0 0 0 0 0   /Question 3: 1 1 .
[Details for Task 3:]  /Question 15: 1 1 1 1 1 1 1 0 1 0 0   /Question 4: 1 1 .</t>
  </si>
  <si>
    <t>s2047783</t>
  </si>
  <si>
    <t>Student UUN: s2047783  Total Mark: 64 /Task 1 mark: 12 /Task 2a mark: 6 /Task 2b mark: 20 /Task 2c mark: 18 /Task 3 mark: 8 .
[Details for Task 1:]  /Question 1: 1 1 1   /Question 2: 1 0   /Question 5: 1 1 0   /Question 6: 0 0 1 1 0   /Question 7: 1 1 1 0 0   /Question Table 1: 1  /Question Figure 2: 1  /Question 8: 1 1  /Question 9: 0 0 0 1 0   /Question Table 2: 1  /Question Figure 3: 1  /Question 10: 1 1  /Question 11: 1 1 0 0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1 1 0 0 0 0 0 0   /Question 3: 1 1 .
[Details for Task 3:]  /Question 15: 1 0 0 1 1 0 0 0 0 0 0   /Question 4: 1 1 .</t>
  </si>
  <si>
    <t>s2050808</t>
  </si>
  <si>
    <t>Student UUN: s2050808  Total Mark: 65 /Task 1 mark: 11 /Task 2a mark: 8 /Task 2b mark: 20 /Task 2c mark: 18 /Task 3 mark: 8 .
[Details for Task 1:]  /Question 1: 1 1 1   /Question 2: 1 0   /Question 5: 1 1 0   /Question 6: 0 1 0 1 0   /Question 7: 1 1 1 0 0   /Question Table 1: 1  /Question Figure 2: 1  /Question 8: 1 1  /Question 9: 1 0 0 1 0   /Question Table 2: 1  /Question Figure 3: 1  /Question 10: 0 0  /Question 11: 0 1 0 0 0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1 1 0 0 0 0 0 0   /Question 3: 1 1 .
[Details for Task 3:]  /Question 15: 1 0 0 1 1 0 0 0 1 0 0   /Question 4: 1 1 .</t>
  </si>
  <si>
    <t>s2051131</t>
  </si>
  <si>
    <t>Student UUN: s2051131  Total Mark: 66 /Task 1 mark: 15 /Task 2a mark: 4 /Task 2b mark: 20 /Task 2c mark: 17 /Task 3 mark: 10 .
[Details for Task 1:]  /Question 1: 1 1 1   /Question 2: 1 0   /Question 5: 1 0 0   /Question 6: 0 1 1 1 1 Your citation supports your statement.  /Question 7: 1 1 1 1 1   /Question Table 1: 1  /Question Figure 2: 1  /Question 8: 1 1  /Question 9: 1 0 0 1 0   /Question Table 2: 1  /Question Figure 3: 1  /Question 10: 1 1  /Question 11: 1 0 1 1 0  .
[Details for Task 2a:]  /Question 12: 1 0 0 0 0 0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1 0 0 0 0 0 0 0   /Question 3: 1 1 .
[Details for Task 3:]  /Question 15: 1 1 1 1 1 0 0 0 1 0 0   /Question 4: 1 1 .</t>
  </si>
  <si>
    <t>s2053510</t>
  </si>
  <si>
    <t>Student UUN: s2053510  Total Mark: 61 /Task 1 mark: 11 /Task 2a mark: 5 /Task 2b mark: 20 /Task 2c mark: 17 /Task 3 mark: 8 .
[Details for Task 1:]  /Question 1: 1 1 1   /Question 2: 1 0   /Question 5: 1 0 0   /Question 6: 0 0 0 1 0   /Question 7: 1 1 1 1 1   /Question Table 1: 1  /Question Figure 2: 1  /Question 8: 0 0  /Question 9: 1 1 0 0 0   /Question Table 2: 1  /Question Figure 3: 1  /Question 10: 0 0  /Question 11: 1 1 0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0 1 0 0 0 0   /Question 14: 1 1 1 0 0 0 0 0 0   /Question 3: 1 1 .
[Details for Task 3:]  /Question 15: 1 0 0 1 0 0 0 0 1 0 0   /Question 4: 1 1 .</t>
  </si>
  <si>
    <t>s2053560</t>
  </si>
  <si>
    <t>Student UUN: s2053560  Total Mark: 67 /Task 1 mark: 16 /Task 2a mark: 5 /Task 2b mark: 20 /Task 2c mark: 18 /Task 3 mark: 8 .
[Details for Task 1:]  /Question 1: 1 1 1   /Question 2: 1 0   /Question 5: 1 0 0   /Question 6: 0 1 1 1 1 Good point on finding the balance.  /Question 7: 1 1 1 1 1   /Question Table 1: 1  /Question Figure 2: 1  /Question 8: 1 1  /Question 9: 1 1 1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1 1 0 0 1 0 0   /Question 14: 1 1 1 0 0 0 0 0 0   /Question 3: 1 1 .
[Details for Task 3:]  /Question 15: 1 0 0 1 1 0 0 0 0 0 0   /Question 4: 1 1 .</t>
  </si>
  <si>
    <t>s2056170</t>
  </si>
  <si>
    <t>Student UUN: s2056170  Total Mark: 56 /Task 1 mark: 13 /Task 2a mark: 7 /Task 2b mark: 5 /Task 2c mark: 18 /Task 3 mark: 13 .
[Details for Task 1:]  /Question 1: 1 1 1   /Question 2: 1 0   /Question 5: 1 0 0   /Question 6: 0 1 0 1 1 Good point on the dataset.  /Question 7: 1 1 1 1 1   /Question Table 1: 1  /Question Figure 2: 1  /Question 8: 0 0  /Question 9: 1 1 1 0 0   /Question Table 2: 1  /Question Figure 3: 1  /Question 10: 1 1  /Question 11: 1 1 1 0 0  .
[Details for Task 2a:]  /Question 12: 1 1 1 1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1  /Question Figure 4: 1  /Question 13: 1 1 0 1 0 1 1 0 1 0 0   /Question 14: 1 1 1 0 0 0 0 0 0   /Question 3: 1 1 .
[Details for Task 3:]  /Question 15: 1 1 0 1 1 1 1 1 1 1 0   /Question 4: 1 1 .</t>
  </si>
  <si>
    <t>s2057810</t>
  </si>
  <si>
    <t>Student UUN: s2057810  Total Mark: 62 /Task 1 mark: 11 /Task 2a mark: 6 /Task 2b mark: 20 /Task 2c mark: 17 /Task 3 mark: 8 .
[Details for Task 1:]  /Question 1: 1 1 1   /Question 2: 1 0   /Question 5: 1 0 0   /Question 6: 0 1 0 1 0   /Question 7: 1 0 0 0 0   /Question Table 1: 1  /Question Figure 2: 1  /Question 8: 1 1  /Question 9: 1 1 1 0 0   /Question Table 2: 1  /Question Figure 3: 1  /Question 10: 0 0  /Question 11: 1 1 0 1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0 1 0 0 0 0 0   /Question 14: 1 1 1 1 0 1 0 0 0   /Question 3: 1 1 .
[Details for Task 3:]  /Question 15: 1 0 0 1 1 0 0 0 0 0 0   /Question 4: 1 1 .</t>
  </si>
  <si>
    <t>s2061408</t>
  </si>
  <si>
    <t>Student UUN: s2061408  Total Mark: 50 /Task 1 mark: 16 /Task 2a mark: 0 /Task 2b mark: 5 /Task 2c mark: 17 /Task 3 mark: 8 .
[Details for Task 1:]  /Question 1: 1 1 1   /Question 2: 1 0   /Question 5: 1 0 0   /Question 6: 0 1 1 1 0   /Question 7: 1 1 1 1 1   /Question Table 1: 1  /Question Figure 2: 1  /Question 8: 1 1  /Question 9: 1 1 1 1 0   /Question Table 2: 1  /Question Figure 3: 1  /Question 10: 1 1  /Question 11: 1 1 1 1 0  .
[Details for Task 2a:]  /Question 12: 0 0 0 0 0 0 0 0 The answer is not relevant to L1 and L2.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1  /Question Figure 4: 1  /Question 13: 1 1 1 0 1 1 0 0 0 0 0   /Question 14: 1 1 1 0 0 0 0 0 0   /Question 3: 1 1 .
[Details for Task 3:]  /Question 15: 1 0 0 1 1 0 0 0 0 0 0   /Question 4: 1 1 .</t>
  </si>
  <si>
    <t>s2062378</t>
  </si>
  <si>
    <t>Student UUN: s2062378  Total Mark: 68 /Task 1 mark: 13 /Task 2a mark: 7 /Task 2b mark: 20 /Task 2c mark: 18 /Task 3 mark: 10 .
[Details for Task 1:]  /Question 1: 1 1 1   /Question 2: 1 0   /Question 5: 1 0 0   /Question 6: 1 1 0 1 0   /Question 7: 1 1 1 1 1   /Question Table 1: 1  /Question Figure 2: 1  /Question 8: 0 0  /Question 9: 1 0 0 1 0   /Question Table 2: 1  /Question Figure 3: 1  /Question 10: 1 1  /Question 11: 1 1 0 1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1 0 1 0 0   /Question 14: 1 1 1 0 0 0 0 0 0   /Question 3: 1 1 .
[Details for Task 3:]  /Question 15: 1 0 0 1 1 1 1 0 1 0 0   /Question 4: 1 1 .</t>
  </si>
  <si>
    <t>s2063614</t>
  </si>
  <si>
    <t>Student UUN: s2063614  Total Mark: 61 /Task 1 mark: 11 /Task 2a mark: 5 /Task 2b mark: 20 /Task 2c mark: 17 /Task 3 mark: 8 .
[Details for Task 1:]  /Question 1: 1 1 1   /Question 2: 1 0   /Question 5: 1 0 0   /Question 6: 0 0 0 1 0   /Question 7: 1 1 0 1 1   /Question Table 1: 1  /Question Figure 2: 1  /Question 8: 1 1  /Question 9: 0 1 1 0 0   /Question Table 2: 1  /Question Figure 3: 1  /Question 10: 1 1  /Question 11: 1 0 0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1 0 0 0 0 0   /Question 14: 1 1 0 0 0 0 0 0 0   /Question 3: 1 1 .
[Details for Task 3:]  /Question 15: 1 0 0 1 0 0 0 0 1 0 0   /Question 4: 1 1 .</t>
  </si>
  <si>
    <t>s2064457</t>
  </si>
  <si>
    <t>Student UUN: s2064457  Total Mark: 61 /Task 1 mark: 15 /Task 2a mark: 5 /Task 2b mark: 15 /Task 2c mark: 18 /Task 3 mark: 8 .
[Details for Task 1:]  /Question 1: 1 1 1   /Question 2: 1 0   /Question 5: 1 0 0   /Question 6: 1 1 0 1 1   /Question 7: 1 1 1 1 1   /Question Table 1: 1  /Question Figure 2: 1  /Question 8: 1 1  /Question 9: 1 0 0 1 0   /Question Table 2: 1  /Question Figure 3: 1  /Question 10: 1 1  /Question 11: 1 1 1 0 0  .
[Details for Task 2a:]  /Question 12: 1 0 0 0 0 1 0 0  .
[Details for Task 2b:]  /Fprop check for DropoutLayer: 0  /Bprop check for DropoutLayer: 1  /Call func for L1Penalty: 0  /Grad check for L1Penalty: 1  /Call func for L2Penalty: 1  /Grad check for L2Penalty: 1  /Effort
2: means with test package
1: means with code but no test package
0: means no code or test package &gt;&gt; 2 .
[Details for Task 2c:]  /Question Table 3: 1  /Question Figure 4: 1  /Question 13: 1 1 0 1 0 1 1 0 1 0 0   /Question 14: 1 1 1 0 0 0 0 0 0   /Question 3: 1 1 .
[Details for Task 3:]  /Question 15: 1 0 0 1 0 0 0 0 0 0 0   /Question 4: 1 1 .</t>
  </si>
  <si>
    <t>s2070437</t>
  </si>
  <si>
    <t>Student UUN: s2070437  Total Mark: 62 /Task 1 mark: 13 /Task 2a mark: 6 /Task 2b mark: 20 /Task 2c mark: 15 /Task 3 mark: 8 .
[Details for Task 1:]  /Question 1: 1 1 1   /Question 2: 1 0   /Question 5: 1 1 0   /Question 6: 1 0 0 1 0   /Question 7: 1 1 1 1 1   /Question Table 1: 1  /Question Figure 2: 1  /Question 8: 1 1  /Question 9: 1 0 1 1 0   /Question Table 2: 1  /Question Figure 3: 1  /Question 10: 0 0  /Question 11: 1 0 1 1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1 0 0 0 0 1 0 0 0   /Question 14: 0 0 0 0 0 0 0 0 0   /Question 3: 1 1 .
[Details for Task 3:]  /Question 15: 1 1 0 1 0 0 0 0 0 0 0   /Question 4: 1 1 .</t>
  </si>
  <si>
    <t>s2077992</t>
  </si>
  <si>
    <t>Student UUN: s2077992  Total Mark: 67 /Task 1 mark: 14 /Task 2a mark: 5 /Task 2b mark: 20 /Task 2c mark: 20 /Task 3 mark: 8 .
[Details for Task 1:]  /Question 1: 1 1 1   /Question 2: 1 0   /Question 5: 1 0 0   /Question 6: 0 1 0 1 0   /Question 7: 1 1 1 1 1   /Question Table 1: 1  /Question Figure 2: 1  /Question 8: 1 1  /Question 9: 1 1 1 0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1 0 1 0 0   /Question 14: 1 1 1 0 1 0 0 0 0   /Question 3: 1 1 .
[Details for Task 3:]  /Question 15: 1 0 0 1 1 0 0 0 1 0 0   /Question 4: 1 1 .</t>
  </si>
  <si>
    <t>s2078236</t>
  </si>
  <si>
    <t>Student UUN: s2078236  Total Mark: 63 /Task 1 mark: 13 /Task 2a mark: 5 /Task 2b mark: 20 /Task 2c mark: 17 /Task 3 mark: 8 .
[Details for Task 1:]  /Question 1: 1 1 1   /Question 2: 1 0   /Question 5: 1 0 0   /Question 6: 0 1 0 1 0   /Question 7: 1 1 0 1 0   /Question Table 1: 1  /Question Figure 2: 1  /Question 8: 1 1  /Question 9: 1 1 1 0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1 0 0 0 0 0 0 0   /Question 3: 1 1 .
[Details for Task 3:]  /Question 15: 1 0 0 1 0 0 0 0 0 0 0   /Question 4: 1 1 .</t>
  </si>
  <si>
    <t>s2083848</t>
  </si>
  <si>
    <t>Student UUN: s2083848  Total Mark: 40 /Task 1 mark: 11 /Task 2a mark: 6 /Task 2b mark: 5 /Task 2c mark: 0 /Task 3 mark: 0 .
[Details for Task 1:]  /Question 1: 1 1 1   /Question 2: 1 0   /Question 5: 1 0 0   /Question 6: 0 1 0 1 0   /Question 7: 1 1 1 1 1   /Question Table 1: 1  /Question Figure 2: 1  /Question 8: 0 0  /Question 9: 0 0 0 0 0   /Question Table 2: 1  /Question Figure 3: 1  /Question 10: 1 0  /Question 11: 0 0 0 0 0  .
[Details for Task 2a:]  /Question 12: 1 0 1 0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0  /Question Figure 4: 0  /Question 13: 0 0 0 0 0 0 0 0 0 0 0   /Question 14: 0 0 0 0 0 0 0 0 0   /Question 3: 0 0 .
[Details for Task 3:]  /Question 15: 0 0 0 0 0 0 0 0 0 0 0   /Question 4: 0 0 .</t>
  </si>
  <si>
    <t>s2085313</t>
  </si>
  <si>
    <t>Student UUN: s2085313  Total Mark: 64 /Task 1 mark: 12 /Task 2a mark: 6 /Task 2b mark: 20 /Task 2c mark: 18 /Task 3 mark: 8 .
[Details for Task 1:]  /Question 1: 1 1 1   /Question 2: 1 1 Good that you pointed out threshold.  /Question 5: 1 0 0   /Question 6: 0 1 0 1 0   /Question 7: 1 1 1 0 0   /Question Table 1: 1  /Question Figure 2: 1  /Question 8: 1 1  /Question 9: 1 1 0 0 0   /Question Table 2: 1  /Question Figure 3: 1  /Question 10: 1 1  /Question 11: 1 0 0 0 0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1 1 1 0 0 0   /Question 14: 1 1 1 0 0 0 0 0 0   /Question 3: 1 1 .
[Details for Task 3:]  /Question 15: 1 0 0 1 0 0 0 0 1 0 0   /Question 4: 1 1 .</t>
  </si>
  <si>
    <t>s2085615</t>
  </si>
  <si>
    <t>Student UUN: s2085615  Total Mark: 71 /Task 1 mark: 15 /Task 2a mark: 7 /Task 2b mark: 20 /Task 2c mark: 21 /Task 3 mark: 8 .
[Details for Task 1:]  /Question 1: 1 1 1   /Question 2: 1 0   /Question 5: 1 0 1 Your citation supports your statement.  /Question 6: 0 1 0 1 0   /Question 7: 1 1 1 1 1   /Question Table 1: 1  /Question Figure 2: 1  /Question 8: 1 1  /Question 9: 1 1 1 1 0   /Question Table 2: 1  /Question Figure 3: 1  /Question 10: 1 1  /Question 11: 1 0 0 1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0 1 0 0   /Question 14: 1 1 1 1 0 0 0 0 0   /Question 3: 1 1 .
[Details for Task 3:]  /Question 15: 1 0 0 1 1 0 0 0 0 0 0   /Question 4: 1 1 .</t>
  </si>
  <si>
    <t>s2087805</t>
  </si>
  <si>
    <t>Student UUN: s2087805  Total Mark: 74 /Task 1 mark: 16 /Task 2a mark: 7 /Task 2b mark: 20 /Task 2c mark: 23 /Task 3 mark: 8 .
[Details for Task 1:]  /Question 1: 1 1 1   /Question 2: 1 0   /Question 5: 1 0 0   /Question 6: 1 1 1 1 0   /Question 7: 1 1 1 1 1   /Question Table 1: 1  /Question Figure 2: 1  /Question 8: 1 1  /Question 9: 1 1 1 1 0   /Question Table 2: 1  /Question Figure 3: 1  /Question 10: 1 1  /Question 11: 1 1 1 0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1 1 1 1 1 0 0 0   /Question 3: 1 1 .
[Details for Task 3:]  /Question 15: 1 0 0 1 0 0 0 0 1 0 0   /Question 4: 1 1 .</t>
  </si>
  <si>
    <t>s2088639</t>
  </si>
  <si>
    <t>Student UUN: s2088639  Total Mark: 60 /Task 1 mark: 14 /Task 2a mark: 6 /Task 2b mark: 15 /Task 2c mark: 17 /Task 3 mark: 8 .
[Details for Task 1:]  /Question 1: 1 1 1   /Question 2: 1 0   /Question 5: 1 0 0   /Question 6: 1 0 0 1 0   /Question 7: 1 1 1 1 1   /Question Table 1: 1  /Question Figure 2: 1  /Question 8: 1 1  /Question 9: 1 1 1 0 0   /Question Table 2: 1  /Question Figure 3: 1  /Question 10: 1 1  /Question 11: 1 1 1 0 0  .
[Details for Task 2a:]  /Question 12: 1 0 0 0 0 1 0 1 Some good discussion on the complementarity of the approaches. .
[Details for Task 2b:]  /Fprop check for DropoutLayer: 0  /Bprop check for DropoutLayer: 1  /Call func for L1Penalty: 0  /Grad check for L1Penalty: 1  /Call func for L2Penalty: 1  /Grad check for L2Penalty: 1  /Effort
2: means with test package
1: means with code but no test package
0: means no code or test package &gt;&gt; 2 .
[Details for Task 2c:]  /Question Table 3: 1  /Question Figure 4: 1  /Question 13: 1 1 1 1 0 0 0 1 0 0 0   /Question 14: 1 1 0 1 0 0 0 0 0   /Question 3: 1 1 .
[Details for Task 3:]  /Question 15: 1 0 0 1 1 0 0 0 0 1 0   /Question 4: 1 1 .</t>
  </si>
  <si>
    <t>s2089135</t>
  </si>
  <si>
    <t>Student UUN: s2089135  Total Mark: 65 /Task 1 mark: 12 /Task 2a mark: 6 /Task 2b mark: 20 /Task 2c mark: 18 /Task 3 mark: 9 .
[Details for Task 1:]  /Question 1: 1 1 1   /Question 2: 1 0   /Question 5: 1 0 1 Your example supports your statement.  /Question 6: 0 1 0 1 0   /Question 7: 1 1 1 1 1   /Question Table 1: 1  /Question Figure 2: 0  /Question 8: 1 0  /Question 9: 0 1 0 0 0   /Question Table 2: 1  /Question Figure 3: 0  /Question 10: 1 0  /Question 11: 0 1 0 1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1 1 0 1 0 1 0 0 0   /Question 14: 1 1 1 1 0 1 0 0 0   /Question 3: 1 1 .
[Details for Task 3:]  /Question 15: 1 1 1 1 0 0 0 0 0 0 0   /Question 4: 1 1 .</t>
  </si>
  <si>
    <t>s2094045</t>
  </si>
  <si>
    <t>Student UUN: s2094045  Total Mark: 77 /Task 1 mark: 16 /Task 2a mark: 8 /Task 2b mark: 20 /Task 2c mark: 21 /Task 3 mark: 12 .
[Details for Task 1:]  /Question 1: 1 1 1   /Question 2: 1 0   /Question 5: 1 0 1 Your citation supports your statement.  /Question 6: 0 1 0 1 1   /Question 7: 1 1 1 1 1   /Question Table 1: 1  /Question Figure 2: 1  /Question 8: 1 1  /Question 9: 1 1 1 1 0   /Question Table 2: 1  /Question Figure 3: 1  /Question 10: 1 1  /Question 11: 1 1 1 0 0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1 1 1 0 1 0 0   /Question 14: 1 1 0 1 0 1 0 0 0   /Question 3: 1 1 .
[Details for Task 3:]  /Question 15: 1 0 0 1 1 1 1 1 1 1 0   /Question 4: 1 1 .</t>
  </si>
  <si>
    <t>s2095157</t>
  </si>
  <si>
    <t>Student UUN: s2095157  Total Mark: 71 /Task 1 mark: 17 /Task 2a mark: 8 /Task 2b mark: 20 /Task 2c mark: 17 /Task 3 mark: 9 .
[Details for Task 1:]  /Question 1: 1 1 1 The model isn't more or less flexible because it has overfit.  /Question 2: 1 0 Overfiting does not cause better test or validation results.  /Question 5: 1 1 1 Good discussion of strategies that might have to be employed duting deployment as a result.  /Question 6: 0 1 0 1 1 Your citation supports your statement.  /Question 7: 1 1 1 1 1   /Question Table 1: 1  /Question Figure 2: 1  /Question 8: 1 1  /Question 9: 1 1 1 1 1 Good discussion on the presence of an optimal width. Note that this will depend on other hyperparameters as well.  /Question Table 2: 1  /Question Figure 3: 1  /Question 10: 1 1  /Question 11: 1 1 1 1 0 It is not clear what evidence is taken from the reference. Be explicit.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0 0 0 0 0 0 0 0 0   /Question 3: 1 1 .
[Details for Task 3:]  /Question 15: 1 0 0 1 0 1 1 0 1 0 0   /Question 4: 1 1 .</t>
  </si>
  <si>
    <t>s2096890</t>
  </si>
  <si>
    <t>Student UUN: s2096890  Total Mark: 74 /Task 1 mark: 16 /Task 2a mark: 7 /Task 2b mark: 20 /Task 2c mark: 18 /Task 3 mark: 13 .
[Details for Task 1:]  /Question 1: 1 1 1   /Question 2: 1 1 Not sure if you are referring to the increased variance with "more information", but I will assume so.  /Question 5: 1 0 0 The model architecture remains the same, so the number of operations and comp. resources does not change. If you are referring to training time, that requires a more nuanced discussion, and a clearer statement.  /Question 6: 0 1 1 1 0   /Question 7: 1 1 1 1 1   /Question Table 1: 1  /Question Figure 2: 1  /Question 8: 1 1  /Question 9: 1 1 1 0 0   /Question Table 2: 1  /Question Figure 3: 1  /Question 10: 1 1  /Question 11: 1 0 1 1 1 Good use of citation .
[Details for Task 2a:]  /Question 12: 1 0 1 1 0 1 0 1 Good use of reference to adress the complementarity of the two approaches.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0 0 1 0 0   /Question 14: 1 1 0 1 0 1 0 0 0   /Question 3: 1 1 .
[Details for Task 3:]  /Question 15: 1 1 0 1 1 1 1 1 1 1 0   /Question 4: 1 1 .</t>
  </si>
  <si>
    <t>s2098632</t>
  </si>
  <si>
    <t>Student UUN: s2098632  Total Mark: 70 /Task 1 mark: 11 /Task 2a mark: 8 /Task 2b mark: 20 /Task 2c mark: 23 /Task 3 mark: 8 .
[Details for Task 1:]  /Question 1: 1 1 1   /Question 2: 1 0   /Question 5: 1 0 0   /Question 6: 0 1 0 1 0   /Question 7: 1 1 1 1 1   /Question Table 1: 1  /Question Figure 2: 1  /Question 8: 0 0  /Question 9: 0 0 1 0 0   /Question Table 2: 1  /Question Figure 3: 1  /Question 10: 0 0  /Question 11: 0 0 1 0 0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0 0 1 0 0   /Question 14: 1 1 1 1 1 1 0 0 1   /Question 3: 1 1 .
[Details for Task 3:]  /Question 15: 1 0 0 1 1 0 0 0 0 0 0   /Question 4: 1 1 .</t>
  </si>
  <si>
    <t>s2100273</t>
  </si>
  <si>
    <t>Student UUN: s2100273  Total Mark: 63 /Task 1 mark: 13 /Task 2a mark: 5 /Task 2b mark: 20 /Task 2c mark: 17 /Task 3 mark: 8 .
[Details for Task 1:]  /Question 1: 1 1 1   /Question 2: 1 0   /Question 5: 1 0 0   /Question 6: 0 0 0 1 0   /Question 7: 1 1 1 1 1   /Question Table 1: 1  /Question Figure 2: 1  /Question 8: 1 1  /Question 9: 1 1 1 0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0 0 0 0 0   /Question 14: 1 1 1 0 0 0 0 0 0   /Question 3: 1 1 .
[Details for Task 3:]  /Question 15: 1 0 0 1 1 0 0 0 0 0 0   /Question 4: 1 1 .</t>
  </si>
  <si>
    <t>s2101906</t>
  </si>
  <si>
    <t>Student UUN: s2101906  Total Mark: 77 /Task 1 mark: 15 /Task 2a mark: 7 /Task 2b mark: 20 /Task 2c mark: 24 /Task 3 mark: 11 .
[Details for Task 1:]  /Question 1: 1 1 1   /Question 2: 1 0   /Question 5: 1 0 0   /Question 6: 0 0 0 1 1   /Question 7: 0 1 1 1 1   /Question Table 1: 1  /Question Figure 2: 1  /Question 8: 1 1  /Question 9: 1 1 1 1 0   /Question Table 2: 1  /Question Figure 3: 1  /Question 10: 1 1  /Question 11: 1 1 1 1 0  .
[Details for Task 2a:]  /Question 12: 1 0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1 0 0 0   /Question 14: 1 1 1 1 1 1 0 0 0   /Question 3: 1 1 .
[Details for Task 3:]  /Question 15: 1 1 1 1 0 1 1 0 1 0 0   /Question 4: 1 1 .</t>
  </si>
  <si>
    <t>s2102597</t>
  </si>
  <si>
    <t>Student UUN: s2102597  Total Mark: 66 /Task 1 mark: 11 /Task 2a mark: 6 /Task 2b mark: 20 /Task 2c mark: 21 /Task 3 mark: 8 .
[Details for Task 1:]  /Question 1: 1 1 1   /Question 2: 1 0   /Question 5: 1 0 0   /Question 6: 0 1 0 1 0   /Question 7: 1 1 0 1 0   /Question Table 1: 1  /Question Figure 2: 1  /Question 8: 0 0  /Question 9: 1 0 0 0 0   /Question Table 2: 1  /Question Figure 3: 1  /Question 10: 0 0  /Question 11: 1 0 0 0 0  .
[Details for Task 2a:]  /Question 12: 1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0 0 1 0 0   /Question 14: 1 1 1 1 0 1 0 0 0   /Question 3: 1 1 .
[Details for Task 3:]  /Question 15: 1 0 0 1 0 0 0 0 1 0 0   /Question 4: 1 1 .</t>
  </si>
  <si>
    <t>s2103701</t>
  </si>
  <si>
    <t>Student UUN: s2103701  Total Mark: 65 /Task 1 mark: 13 /Task 2a mark: 6 /Task 2b mark: 20 /Task 2c mark: 18 /Task 3 mark: 8 .
[Details for Task 1:]  /Question 1: 1 1 1   /Question 2: 0 0   /Question 5: 1 0 0   /Question 6: 0 1 0 1 0   /Question 7: 1 1 1 1 1   /Question Table 1: 1  /Question Figure 2: 1  /Question 8: 1 1  /Question 9: 1 1 1 0 0   /Question Table 2: 1  /Question Figure 3: 1  /Question 10: 1 1  /Question 11: 1 1 1 0 0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1 1 0 0 0 0   /Question 14: 1 1 1 1 0 0 0 0 0   /Question 3: 1 1 .
[Details for Task 3:]  /Question 15: 1 0 0 1 1 0 0 0 1 0 0   /Question 4: 1 1 .</t>
  </si>
  <si>
    <t>s2104454</t>
  </si>
  <si>
    <t>Student UUN: s2104454  Total Mark: 69 /Task 1 mark: 14 /Task 2a mark: 8 /Task 2b mark: 20 /Task 2c mark: 17 /Task 3 mark: 10 .
[Details for Task 1:]  /Question 1: 1 1 1   /Question 2: 1 0   /Question 5: 1 0 0   /Question 6: 0 0 1 1 0   /Question 7: 1 1 1 1 1   /Question Table 1: 1  /Question Figure 2: 1  /Question 8: 1 1  /Question 9: 1 1 1 0 0   /Question Table 2: 1  /Question Figure 3: 1  /Question 10: 1 1  /Question 11: 1 1 1 0 0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1 1 0 0 0 0 0   /Question 14: 1 1 1 0 0 0 0 0 0   /Question 3: 1 1 .
[Details for Task 3:]  /Question 15: 1 0 0 1 1 1 1 0 1 0 0   /Question 4: 1 1 .</t>
  </si>
  <si>
    <t>s2104760</t>
  </si>
  <si>
    <t>Student UUN: s2104760  Total Mark: 77 /Task 1 mark: 16 /Task 2a mark: 7 /Task 2b mark: 20 /Task 2c mark: 26 /Task 3 mark: 8 .
[Details for Task 1:]  /Question 1: 1 1 1   /Question 2: 1 0   /Question 5: 1 0 1 Your example supports your statement.  /Question 6: 0 1 0 1 1 Good citations.  /Question 7: 1 1 1 1 1   /Question Table 1: 1  /Question Figure 2: 1  /Question 8: 1 1  /Question 9: 1 1 1 1 0   /Question Table 2: 1  /Question Figure 3: 1  /Question 10: 1 1  /Question 11: 1 1 1 1 0  .
[Details for Task 2a:]  /Question 12: 1 0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1 1 1 0 0 0 0   /Question 3: 1 1 .
[Details for Task 3:]  /Question 15: 1 0 0 1 1 0 0 0 1 0 0   /Question 4: 1 1 .</t>
  </si>
  <si>
    <t>s2105338</t>
  </si>
  <si>
    <t>Student UUN: s2105338  Total Mark: 72 /Task 1 mark: 15 /Task 2a mark: 6 /Task 2b mark: 20 /Task 2c mark: 21 /Task 3 mark: 10 .
[Details for Task 1:]  /Question 1: 1 1 1   /Question 2: 1 0   /Question 5: 1 0 0   /Question 6: 0 1 0 1 0   /Question 7: 1 1 1 1 1   /Question Table 1: 1  /Question Figure 2: 1  /Question 8: 1 1  /Question 9: 1 1 1 1 0   /Question Table 2: 1  /Question Figure 3: 1  /Question 10: 1 1  /Question 11: 1 1 1 1 0  .
[Details for Task 2a:]  /Question 12: 1 0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1 1 1 0 1 0 0 0   /Question 3: 1 1 .
[Details for Task 3:]  /Question 15: 1 0 0 1 1 1 1 0 1 0 0   /Question 4: 1 1 .</t>
  </si>
  <si>
    <t>s2106380</t>
  </si>
  <si>
    <t>Student UUN: s2106380  Total Mark: 68 /Task 1 mark: 11 /Task 2a mark: 6 /Task 2b mark: 20 /Task 2c mark: 23 /Task 3 mark: 8 .
[Details for Task 1:]  /Question 1: 1 1 1   /Question 2: 1 0   /Question 5: 1 0 0   /Question 6: 0 0 0 1 0   /Question 7: 0 1 0 1 0   /Question Table 1: 1  /Question Figure 2: 1  /Question 8: 1 1  /Question 9: 1 1 0 0 0   /Question Table 2: 1  /Question Figure 3: 1  /Question 10: 1 1  /Question 11: 1 1 1 0 0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0 0 0   /Question 14: 1 1 1 1 0 1 0 0 0   /Question 3: 1 1 .
[Details for Task 3:]  /Question 15: 1 0 0 1 1 0 0 0 1 0 0   /Question 4: 1 1 .</t>
  </si>
  <si>
    <t>s2106809</t>
  </si>
  <si>
    <t>Student UUN: s2106809  Total Mark: 70 /Task 1 mark: 15 /Task 2a mark: 6 /Task 2b mark: 20 /Task 2c mark: 21 /Task 3 mark: 8 .
[Details for Task 1:]  /Question 1: 1 1 1   /Question 2: 1 0   /Question 5: 1 0 0   /Question 6: 0 1 0 1 0   /Question 7: 1 1 1 1 1   /Question Table 1: 1  /Question Figure 2: 1  /Question 8: 1 1  /Question 9: 1 1 1 1 0   /Question Table 2: 1  /Question Figure 3: 1  /Question 10: 1 1  /Question 11: 1 1 1 0 0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1 0 1 0 0   /Question 14: 1 1 1 1 0 1 0 0 0   /Question 3: 1 1 .
[Details for Task 3:]  /Question 15: 1 0 0 1 1 0 0 0 1 0 0   /Question 4: 1 1 .</t>
  </si>
  <si>
    <t>s2107370</t>
  </si>
  <si>
    <t>Student UUN: s2107370  Total Mark: 74 /Task 1 mark: 17 /Task 2a mark: 7 /Task 2b mark: 20 /Task 2c mark: 21 /Task 3 mark: 9 .
[Details for Task 1:]  /Question 1: 1 1 1   /Question 2: 1 0   /Question 5: 1 0 1 Your citation supports your statement.  /Question 6: 1 1 1 1 0   /Question 7: 1 1 1 1 1   /Question Table 1: 1  /Question Figure 2: 1  /Question 8: 1 1  /Question 9: 1 1 1 1 0   /Question Table 2: 1  /Question Figure 3: 1  /Question 10: 1 1  /Question 11: 1 1 1 1 0  .
[Details for Task 2a:]  /Question 12: 1 0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1 1 0 0 0   /Question 14: 1 1 1 1 0 0 0 0 0   /Question 3: 1 1 .
[Details for Task 3:]  /Question 15: 1 0 0 1 1 0 0 0 1 1 0   /Question 4: 1 1 .</t>
  </si>
  <si>
    <t>s2134605</t>
  </si>
  <si>
    <t>Student UUN: s2134605  Total Mark: 67 /Task 1 mark: 12 /Task 2a mark: 7 /Task 2b mark: 20 /Task 2c mark: 20 /Task 3 mark: 8 .
[Details for Task 1:]  /Question 1: 1 1 1   /Question 2: 1 0   /Question 5: 1 0 0   /Question 6: 0 1 1 0 0   /Question 7: 1 0 1 1 1   /Question Table 1: 1  /Question Figure 2: 1  /Question 8: 1 1  /Question 9: 1 1 0 0 0   /Question Table 2: 1  /Question Figure 3: 1  /Question 10: 1 1  /Question 11: 1 1 0 0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0 0 1 0 0   /Question 14: 1 1 1 1 0 1 0 0 0   /Question 3: 1 1 .
[Details for Task 3:]  /Question 15: 1 0 0 1 1 0 0 0 1 0 0   /Question 4: 1 1 .</t>
  </si>
  <si>
    <t>s2260856</t>
  </si>
  <si>
    <t>Student UUN: s2260856  Total Mark: 72 /Task 1 mark: 15 /Task 2a mark: 6 /Task 2b mark: 20 /Task 2c mark: 23 /Task 3 mark: 8 .
[Details for Task 1:]  /Question 1: 1 1 1   /Question 2: 1 0   /Question 5: 1 0 0   /Question 6: 1 1 1 1 1   /Question 7: 1 1 1 1 1   /Question Table 1: 1  /Question Figure 2: 1  /Question 8: 1 1  /Question 9: 1 0 1 0 0   /Question Table 2: 1  /Question Figure 3: 1  /Question 10: 1 1  /Question 11: 1 1 1 0 0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0 1 1 0 0   /Question 14: 1 1 1 1 1 1 0 0 0   /Question 3: 1 1 .
[Details for Task 3:]  /Question 15: 1 0 0 1 1 0 0 0 0 0 0   /Question 4: 1 1 .</t>
  </si>
  <si>
    <t>s2299194</t>
  </si>
  <si>
    <t>Student UUN: s2299194  Total Mark: 63 /Task 1 mark: 11 /Task 2a mark: 6 /Task 2b mark: 20 /Task 2c mark: 17 /Task 3 mark: 9 .
[Details for Task 1:]  /Question 1: 1 1 0   /Question 2: 1 0   /Question 5: 1 0 0   /Question 6: 1 0 0 1 0   /Question 7: 1 1 1 0 1   /Question Table 1: 1  /Question Figure 2: 1  /Question 8: 1 1  /Question 9: 0 1 0 0 0   /Question Table 2: 1  /Question Figure 3: 1  /Question 10: 1 1  /Question 11: 0 1 0 0 0  .
[Details for Task 2a:]  /Question 12: 1 0 0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0 1 1 1 0 0   /Question 14: 1 0 0 0 0 1 1 0 0   /Question 3: 1 1 .
[Details for Task 3:]  /Question 15: 1 1 0 1 1 0 0 0 1 0 0   /Question 4: 1 1 .</t>
  </si>
  <si>
    <t>s2300915</t>
  </si>
  <si>
    <t>Student UUN: s2300915  Total Mark: 63 /Task 1 mark: 11 /Task 2a mark: 6 /Task 2b mark: 20 /Task 2c mark: 18 /Task 3 mark: 8 .
[Details for Task 1:]  /Question 1: 1 1 1   /Question 2: 1 0   /Question 5: 1 0 0   /Question 6: 1 0 0 1 0   /Question 7: 0 1 1 0 1   /Question Table 1: 1  /Question Figure 2: 1  /Question 8: 0 1  /Question 9: 0 1 0 0 0   /Question Table 2: 1  /Question Figure 3: 1  /Question 10: 0 0  /Question 11: 1 0 0 0 0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1 1 1 0 1 0 0   /Question 14: 1 1 0 0 1 0 0 0 0   /Question 3: 1 1 .
[Details for Task 3:]  /Question 15: 1 0 0 1 1 0 0 0 0 0 0   /Question 4: 1 1 .</t>
  </si>
  <si>
    <t>s2347371</t>
  </si>
  <si>
    <t>Student UUN: s2347371  Total Mark: 62 /Task 1 mark: 11 /Task 2a mark: 6 /Task 2b mark: 20 /Task 2c mark: 17 /Task 3 mark: 8 .
[Details for Task 1:]  /Question 1: 1 1 1   /Question 2: 0 0   /Question 5: 1 0 0   /Question 6: 1 0 0 1 0   /Question 7: 1 1 0 0 0   /Question Table 1: 1  /Question Figure 2: 1  /Question 8: 0 0  /Question 9: 0 0 0 0 0   /Question Table 2: 1  /Question Figure 3: 0  /Question 10: 0 1  /Question 11: 0 0 0 0 0  .
[Details for Task 2a:]  /Question 12: 1 0 0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1 0 0 0 0 0 0 0 0   /Question 14: 1 0 1 0 1 1 0 0 0   /Question 3: 1 1 .
[Details for Task 3:]  /Question 15: 1 0 0 1 1 0 0 0 1 0 0   /Question 4: 1 1 .</t>
  </si>
  <si>
    <t>s2439263</t>
  </si>
  <si>
    <t>Student UUN: s2439263  Total Mark: 70 /Task 1 mark: 12 /Task 2a mark: 8 /Task 2b mark: 20 /Task 2c mark: 20 /Task 3 mark: 10 .
[Details for Task 1:]  /Question 1: 1 1 1   /Question 2: 1 1 Good point on initial improvements giving way to overfitting. The rest of the analysis is not a good fit (theory and arguments in main text).  /Question 5: 1 0 0   /Question 6: 1 0 1 1 0   /Question 7: 1 1 1 0 1   /Question Table 1: 1  /Question Figure 2: 1  /Question 8: 0 1  /Question 9: 1 1 1 0 0   /Question Table 2: 1  /Question Figure 3: 1  /Question 10: 0 1  /Question 11: 0 0 0 0 0  .
[Details for Task 2a:]  /Question 12: 1 1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1 0 1 0 1 0 0 There will be values for the L1 hyperparameter for which you can get good results. You are generalising too much from little info.  /Question 14: 1 0 1 1 0 1 0 1 0   /Question 3: 1 1 .
[Details for Task 3:]  /Question 15: 1 1 0 1 1 1 0 0 1 0 0   /Question 4: 1 1 .</t>
  </si>
  <si>
    <t>s2447408</t>
  </si>
  <si>
    <t>Student UUN: s2447408  Total Mark: 66 /Task 1 mark: 12 /Task 2a mark: 7 /Task 2b mark: 20 /Task 2c mark: 18 /Task 3 mark: 9 .
[Details for Task 1:]  /Question 1: 1 1 1   /Question 2: 1 0   /Question 5: 1 1 0   /Question 6: 1 0 1 1 0   /Question 7: 1 1 1 1 1   /Question Table 1: 1  /Question Figure 2: 1  /Question 8: 0 1  /Question 9: 1 1 0 0 0   /Question Table 2: 1  /Question Figure 3: 1  /Question 10: 0 1  /Question 11: 1 0 0 0 0  .
[Details for Task 2a:]  /Question 12: 1 1 0 0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1 0 1 0 0 1 0 0 0   /Question 14: 1 1 1 0 0 1 0 1 0   /Question 3: 1 1 .
[Details for Task 3:]  /Question 15: 1 1 1 1 0 1 0 0 0 0 0   /Question 4: 1 1 .</t>
  </si>
  <si>
    <t>s2447930</t>
  </si>
  <si>
    <t>Student UUN: s2447930  Total Mark: 73 /Task 1 mark: 14 /Task 2a mark: 8 /Task 2b mark: 20 /Task 2c mark: 21 /Task 3 mark: 10 .
[Details for Task 1:]  /Question 1: 1 1 1   /Question 2: 1 0   /Question 5: 1 1 1 Good reference  /Question 6: 0 0 0 1 0   /Question 7: 1 1 1 0 1   /Question Table 1: 1  /Question Figure 2: 1  /Question 8: 0 1  /Question 9: 1 1 1 1 0   /Question Table 2: 1  /Question Figure 3: 1  /Question 10: 1 1  /Question 11: 0 0 1 1 0  .
[Details for Task 2a:]  /Question 12: 1 1 1 0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0 1 0 1 0 0   /Question 14: 1 1 0 1 0 1 1 0 0   /Question 3: 1 1 .
[Details for Task 3:]  /Question 15: 1 1 0 1 1 1 0 0 1 0 0   /Question 4: 1 1 .</t>
  </si>
  <si>
    <t>s2449807</t>
  </si>
  <si>
    <t>Student UUN: s2449807  Total Mark: 73 /Task 1 mark: 15 /Task 2a mark: 7 /Task 2b mark: 20 /Task 2c mark: 20 /Task 3 mark: 11 .
[Details for Task 1:]  /Question 1: 1 1 1   /Question 2: 1 1 Good point on capacity.  /Question 5: 1 0 0   /Question 6: 1 1 1 1 0   /Question 7: 1 1 1 0 1   /Question Table 1: 1  /Question Figure 2: 1  /Question 8: 1 1  /Question 9: 1 1 1 0 0   /Question Table 2: 1  /Question Figure 3: 1  /Question 10: 1 1  /Question 11: 1 1 0 0 0  .
[Details for Task 2a:]  /Question 12: 1 0 1 0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0 1 0 0 0   /Question 14: 1 1 0 1 1 0 0 1 0   /Question 3: 1 1 .
[Details for Task 3:]  /Question 15: 1 1 1 1 1 1 0 0 0 0 0   /Question 4: 1 1 .</t>
  </si>
  <si>
    <t>s2475654</t>
  </si>
  <si>
    <t>Student UUN: s2475654  Total Mark: 67 /Task 1 mark: 11 /Task 2a mark: 7 /Task 2b mark: 20 /Task 2c mark: 21 /Task 3 mark: 8 .
[Details for Task 1:]  /Question 1: 1 1 1   /Question 2: 1 0   /Question 5: 1 1 0   /Question 6: 0 0 0 1 0   /Question 7: 1 1 1 0 1   /Question Table 1: 1  /Question Figure 2: 1  /Question 8: 1 1  /Question 9: 1 0 0 0 0   /Question Table 2: 1  /Question Figure 3: 1  /Question 10: 1 0  /Question 11: 1 0 0 1 0  .
[Details for Task 2a:]  /Question 12: 1 1 0 1 0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0 1 1 0 1 0 1 0 0   /Question 14: 1 1 0 1 1 0 1 1 0   /Question 3: 1 1 .
[Details for Task 3:]  /Question 15: 1 0 0 0 1 0 0 0 1 0 0   /Question 4: 1 1 .</t>
  </si>
  <si>
    <t>s2475910</t>
  </si>
  <si>
    <t>Student UUN: s2475910  Total Mark: 63 /Task 1 mark: 11 /Task 2a mark: 7 /Task 2b mark: 20 /Task 2c mark: 17 /Task 3 mark: 8 .
[Details for Task 1:]  /Question 1: 1 1 0   /Question 2: 1 0   /Question 5: 0 0 0 you should highlight that when a model overfits, it doesn not perform well on validation and test set  /Question 6: 0 0 1 1 0   /Question 7: 1 1 1 0 1   /Question Table 1: 1  /Question Figure 2: 1  /Question 8: 1 1  /Question 9: 1 0 0 0 0   /Question Table 2: 1  /Question Figure 3: 1  /Question 10: 1 0  /Question 11: 0 0 1 0 0  .
[Details for Task 2a:]  /Question 12: 1 1 0 1 1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1 0 1 0 1 0 1 0 0   /Question 14: 1 1 0 1 0 0 0 0 0   /Question 3: 1 1 .
[Details for Task 3:]  /Question 15: 1 0 1 1 1 0 0 0 0 0 0   /Question 4: 0 1 .</t>
  </si>
  <si>
    <t>s2480958</t>
  </si>
  <si>
    <t>Student UUN: s2480958  Total Mark: 64 /Task 1 mark: 11 /Task 2a mark: 8 /Task 2b mark: 20 /Task 2c mark: 17 /Task 3 mark: 8 .
[Details for Task 1:]  /Question 1: 1 1 1   /Question 2: 1 0   /Question 5: 1 0 0   /Question 6: 1 0 0 0 0   /Question 7: 1 1 1 0 1   /Question Table 1: 1  /Question Figure 2: 1  /Question 8: 0 0  /Question 9: 1 0 0 0 0   /Question Table 2: 1  /Question Figure 3: 1  /Question 10: 1 0  /Question 11: 1 0 0 0 0  .
[Details for Task 2a:]  /Question 12: 1 1 1 1 1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0 1 0 0 0 1 1 0 0   /Question 14: 1 1 0 1 0 0 0 0 0   /Question 3: 1 1 .
[Details for Task 3:]  /Question 15: 1 0 0 1 1 0 0 0 1 0 0   /Question 4: 1 0 .</t>
  </si>
  <si>
    <t>s2484588</t>
  </si>
  <si>
    <t>Student UUN: s2484588  Total Mark: 69 /Task 1 mark: 13 /Task 2a mark: 7 /Task 2b mark: 20 /Task 2c mark: 20 /Task 3 mark: 9 .
[Details for Task 1:]  /Question 1: 1 1 1   /Question 2: 1 1 Good point on capacity.  /Question 5: 1 1 0   /Question 6: 1 0 0 1 0   /Question 7: 1 1 1 0 1   /Question Table 1: 1  /Question Figure 2: 1  /Question 8: 1 1  /Question 9: 1 0 1 0 0   /Question Table 2: 1  /Question Figure 3: 1  /Question 10: 1 1  /Question 11: 1 0 0 0 0  .
[Details for Task 2a:]  /Question 12: 1 0 1 1 0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0 0 0 1 1 0 0 0   /Question 14: 1 1 1 0 1 1 1 0 0   /Question 3: 1 1 .
[Details for Task 3:]  /Question 15: 1 1 0 1 0 1 0 0 1 0 0   /Question 4: 1 1 .</t>
  </si>
  <si>
    <t>s2485336</t>
  </si>
  <si>
    <t>Student UUN: s2485336  Total Mark: 85 /Task 1 mark: 17 /Task 2a mark: 9 /Task 2b mark: 20 /Task 2c mark: 27 /Task 3 mark: 12 .
[Details for Task 1:]  /Question 1: 1 1 1   /Question 2: 1 1 Good point on capacity.  /Question 5: 1 0 0   /Question 6: 1 1 1 1 1 Good use of reference.  /Question 7: 1 1 1 1 1   /Question Table 1: 1  /Question Figure 2: 1  /Question 8: 1 1  /Question 9: 1 1 1 1 0   /Question Table 2: 1  /Question Figure 3: 1  /Question 10: 1 1  /Question 11: 1 1 1 1 0  .
[Details for Task 2a:]  /Question 12: 1 1 1 1 1 0 1 1 Good discussion on how L1 and L2 are special cases of the new setup.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1 0 1 0 1 1 0   /Question 3: 1 1 .
[Details for Task 3:]  /Question 15: 1 1 1 1 1 1 1 1 0 0 0   /Question 4: 1 1 .</t>
  </si>
  <si>
    <t>s2486420</t>
  </si>
  <si>
    <t>Student UUN: s2486420  Total Mark: 73 /Task 1 mark: 14 /Task 2a mark: 7 /Task 2b mark: 20 /Task 2c mark: 23 /Task 3 mark: 9 .
[Details for Task 1:]  /Question 1: 1 1 1   /Question 2: 1 1 Good point on capacity.  /Question 5: 1 0 0   /Question 6: 1 0 1 1 0   /Question 7: 1 1 1 0 1   /Question Table 1: 1  /Question Figure 2: 1  /Question 8: 0 1  /Question 9: 1 1 1 0 0   /Question Table 2: 1  /Question Figure 3: 1  /Question 10: 1 1  /Question 11: 1 1 1 0 0  .
[Details for Task 2a:]  /Question 12: 1 0 1 1 0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1 1 0 1 1 0 0   /Question 14: 1 1 1 0 1 0 1 1 0   /Question 3: 1 1 .
[Details for Task 3:]  /Question 15: 1 1 1 1 0 1 0 0 0 0 0   /Question 4: 1 1 .</t>
  </si>
  <si>
    <t>s2491581</t>
  </si>
  <si>
    <t>Student UUN: s2491581  Total Mark: 61 /Task 1 mark: 11 /Task 2a mark: 5 /Task 2b mark: 20 /Task 2c mark: 17 /Task 3 mark: 8 .
[Details for Task 1:]  /Question 1: 1 1 1   /Question 2: 1 0   /Question 5: 1 0 0   /Question 6: 0 0 0 1 0   /Question 7: 1 1 1 0 1   /Question Table 1: 1  /Question Figure 2: 1  /Question 8: 0 1  /Question 9: 1 0 0 0 0 Be more specific when analyzing the results of your models in the figure and table. Don't over generalise as you're missing important details about the performance  /Question Table 2: 1  /Question Figure 3: 1  /Question 10: 0 0  /Question 11: 1 0 0 0 0  .
[Details for Task 2a:]  /Question 12: 1 0 1 0 1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0 1 1 1 0 0 0 0 0   /Question 14: 1 1 0 0 0 1 1 1 0   /Question 3: 1 1 .
[Details for Task 3:]  /Question 15: 1 1 0 1 1 0 0 0 1 0 0   /Question 4: 0 1 .</t>
  </si>
  <si>
    <t>s2491723</t>
  </si>
  <si>
    <t>Student UUN: s2491723  Total Mark: 70 /Task 1 mark: 14 /Task 2a mark: 7 /Task 2b mark: 20 /Task 2c mark: 20 /Task 3 mark: 9 .
[Details for Task 1:]  /Question 1: 1 1 1   /Question 2: 1 0   /Question 5: 1 0 0   /Question 6: 1 0 0 1 0   /Question 7: 1 1 1 1 1   /Question Table 1: 1  /Question Figure 2: 1  /Question 8: 1 1  /Question 9: 1 1 1 0 0   /Question Table 2: 1  /Question Figure 3: 1  /Question 10: 1 1  /Question 11: 1 1 1 0 0  .
[Details for Task 2a:]  /Question 12: 1 0 1 1 0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1 1 0 0 1 0 0   /Question 14: 1 1 1 0 0 0 1 1 0   /Question 3: 1 1 .
[Details for Task 3:]  /Question 15: 1 1 0 1 1 0 0 0 1 0 0   /Question 4: 1 1 .</t>
  </si>
  <si>
    <t>s2491808</t>
  </si>
  <si>
    <t>Student UUN: s2491808  Total Mark: 61 /Task 1 mark: 11 /Task 2a mark: 5 /Task 2b mark: 20 /Task 2c mark: 17 /Task 3 mark: 8 .
[Details for Task 1:]  /Question 1: 1 1 1   /Question 2: 1 0   /Question 5: 1 1 0   /Question 6: 0 0 1 1 0   /Question 7: 0 1 0 0 0   /Question Table 1: 1  /Question Figure 2: 1  /Question 8: 1 0  /Question 9: 1 0 0 0 0   /Question Table 2: 1  /Question Figure 3: 1  /Question 10: 1 0  /Question 11: 0 0 0 0 0 your answers are quite vague. I highly recommend you to be more specific when descring a plot about the performance of each model. .
[Details for Task 2a:]  /Question 12: 1 0 1 0 0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0 1 0 1 0 1 1 0 0   /Question 14: 1 1 0 0 1 0 1 0 0   /Question 3: 1 1 .
[Details for Task 3:]  /Question 15: 1 0 0 1 0 1 0 0 0 0 0   /Question 4: 1 1 .</t>
  </si>
  <si>
    <t>s2491811</t>
  </si>
  <si>
    <t>Student UUN: s2491811  Total Mark: 81 /Task 1 mark: 17 /Task 2a mark: 7 /Task 2b mark: 20 /Task 2c mark: 26 /Task 3 mark: 11 .
[Details for Task 1:]  /Question 1: 1 1 1   /Question 2: 1 0   /Question 5: 1 0 0   /Question 6: 1 0 1 1 1 Good use of citation.  /Question 7: 1 1 1 1 1   /Question Table 1: 1  /Question Figure 2: 1  /Question 8: 1 1  /Question 9: 1 1 0 1 1 Good use of reference for depth and width discussion.  /Question Table 2: 1  /Question Figure 3: 1  /Question 10: 1 1  /Question 11: 1 1 1 1 1 Very interesting, and applicable, reference. .
[Details for Task 2a:]  /Question 12: 1 1 1 1 0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1 1 1 1 1 0 0   /Question 14: 1 1 1 1 1 1 1 0 0   /Question 3: 1 1 .
[Details for Task 3:]  /Question 15: 1 1 1 1 1 1 0 0 0 0 0   /Question 4: 1 1 .</t>
  </si>
  <si>
    <t>s2493606</t>
  </si>
  <si>
    <t>Student UUN: s2493606  Total Mark: 74 /Task 1 mark: 15 /Task 2a mark: 6 /Task 2b mark: 20 /Task 2c mark: 23 /Task 3 mark: 10 .
[Details for Task 1:]  /Question 1: 1 1 1   /Question 2: 1 0 No need to explain what overfitting is here.  /Question 5: 1 1 0 Don't use acronyms without first defining them. The analogy with another technical term was not beneficial here, as it requires delving into unrelated technical issues in order to function efficiently.  /Question 6: 1 1 0 1 0   /Question 7: 1 1 1 0 1   /Question Table 1: 1  /Question Figure 2: 1  /Question 8: 1 1  /Question 9: 1 1 1 0 0   /Question Table 2: 1  /Question Figure 3: 1  /Question 10: 1 1  /Question 11: 1 1 1 0 0 I suspect that by "not enough experiments" you mean "not enough training epochs".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1 1 0 1 1 1 0 0   /Question 14: 1 1 1 0 1 0 1 1 0   /Question 3: 1 1 .
[Details for Task 3:]  /Question 15: 1 1 0 1 1 1 0 0 1 0 0   /Question 4: 1 1 .</t>
  </si>
  <si>
    <t>s2494660</t>
  </si>
  <si>
    <t>Student UUN: s2494660  Total Mark: 69 /Task 1 mark: 13 /Task 2a mark: 6 /Task 2b mark: 20 /Task 2c mark: 21 /Task 3 mark: 9 .
[Details for Task 1:]  /Question 1: 1 1 1   /Question 2: 1 0   /Question 5: 1 0 0   /Question 6: 1 0 0 1 0   /Question 7: 1 1 1 0 1   /Question Table 1: 1  /Question Figure 2: 1  /Question 8: 1 1  /Question 9: 1 1 1 0 0   /Question Table 2: 1  /Question Figure 3: 1  /Question 10: 1 1  /Question 11: 1 1 1 0 0  .
[Details for Task 2a:]  /Question 12: 1 0 0 1 0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1 0 1 1 1 0 1 0 0   /Question 14: 1 1 0 1 1 0 1 0 0   /Question 3: 1 1 .
[Details for Task 3:]  /Question 15: 1 0 1 1 1 0 0 0 1 0 0   /Question 4: 1 1 .</t>
  </si>
  <si>
    <t>s2495270</t>
  </si>
  <si>
    <t>Student UUN: s2495270  Total Mark: 83 /Task 1 mark: 17 /Task 2a mark: 8 /Task 2b mark: 20 /Task 2c mark: 27 /Task 3 mark: 11 .
[Details for Task 1:]  /Question 1: 1 1 1   /Question 2: 1 0 The increase in parameters is not really observed. You know that from your setup.  /Question 5: 1 0 0   /Question 6: 1 1 1 1 0 "A good model is where the data is split into train, test and validation sets." That is incorrect, even if correctly paraphrased. You could say that a good split affects the quality of the final trained model, but that is not relevant to  network capacity (at least not with some further connecting insight).  /Question 7: 1 1 1 1 1   /Question Table 1: 1  /Question Figure 2: 1  /Question 8: 1 1  /Question 9: 1 1 1 1 1   /Question Table 2: 1  /Question Figure 3: 1  /Question 10: 1 1  /Question 11: 1 1 1 1 0  .
[Details for Task 2a:]  /Question 12: 1 1 1 0 1 1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1 1 0 1 1 0 0   /Question 14: 1 1 1 1 1 1 1 1 0   /Question 3: 1 1 .
[Details for Task 3:]  /Question 15: 1 1 1 1 1 1 1 0 0 0 0   /Question 4: 1 1 .</t>
  </si>
  <si>
    <t>s2497228</t>
  </si>
  <si>
    <t>Student UUN: s2497228  Total Mark: 75 /Task 1 mark: 16 /Task 2a mark: 7 /Task 2b mark: 20 /Task 2c mark: 23 /Task 3 mark: 9 .
[Details for Task 1:]  /Question 1: 1 1 1   /Question 2: 1 0   /Question 5: 1 1 0 test and validation terminology is not relevant to the question. The overfit model has the same computational cost of inference, given the same architecture. Training time is larger for an overfit model in the same training sequence, but not true more generally.  /Question 6: 1 0 1 1 1 Good use of reference.  /Question 7: 1 1 1 1 1   /Question Table 1: 1  /Question Figure 2: 1  /Question 8: 1 1  /Question 9: 1 1 1 1 0   /Question Table 2: 1  /Question Figure 3: 1  /Question 10: 1 1  /Question 11: 1 1 1 0 0  .
[Details for Task 2a:]  /Question 12: 1 1 0 1 1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0 1 1 0 1 1 1 0 0   /Question 14: 1 1 0 1 1 0 1 1 0   /Question 3: 1 1 .
[Details for Task 3:]  /Question 15: 1 1 0 1 1 1 0 0 0 0 0   /Question 4: 1 1 .</t>
  </si>
  <si>
    <t>s2497456</t>
  </si>
  <si>
    <t>Student UUN: s2497456  Total Mark: 70 /Task 1 mark: 12 /Task 2a mark: 7 /Task 2b mark: 20 /Task 2c mark: 23 /Task 3 mark: 8 .
[Details for Task 1:]  /Question 1: 1 1 1   /Question 2: 1 0   /Question 5: 1 0 0   /Question 6: 0 0 0 1 0   /Question 7: 1 1 0 1 1   /Question Table 1: 1  /Question Figure 2: 1  /Question 8: 1 1  /Question 9: 1 1 1 0 0   /Question Table 2: 1  /Question Figure 3: 1  /Question 10: 1 0  /Question 11: 0 1 1 0 0  .
[Details for Task 2a:]  /Question 12: 1 0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1 0 1 0 1 1 1 0 0   /Question 14: 1 1 0 1 1 0 1 1 0   /Question 3: 1 1 .
[Details for Task 3:]  /Question 15: 1 0 1 1 0 0 0 0 1 0 0   /Question 4: 1 1 .</t>
  </si>
  <si>
    <t>s2499159</t>
  </si>
  <si>
    <t>Student UUN: s2499159  Total Mark: 81 /Task 1 mark: 17 /Task 2a mark: 5 /Task 2b mark: 20 /Task 2c mark: 27 /Task 3 mark: 12 .
[Details for Task 1:]  /Question 1: 1 1 1   /Question 2: 1 0 "They" is an unclear reference, That aside, the question is about your observations.  /Question 5: 1 1 0   /Question 6: 1 1 1 1 0 "Based on the concept of capacity defined as the ability of perceptron" - I cannot tell what this means. Also, use references at the end of the supported statement.  /Question 7: 1 1 1 1 0   /Question Table 1: 1  /Question Figure 2: 1  /Question 8: 1 1  /Question 9: 1 1 1 1 1 Good point on the non-monotonicity of the relation of capacity and overfitting.  /Question Table 2: 1  /Question Figure 3: 1  /Question 10: 1 1  /Question 11: 1 1 1 1 0  .
[Details for Task 2a:]  /Question 12: 1 1 0 1 0 0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0 1 1 1 1 0   /Question 3: 1 1 .
[Details for Task 3:]  /Question 15: 1 1 1 1 1 1 1 0 1 0 0   /Question 4: 1 1 .</t>
  </si>
  <si>
    <t>s2501082</t>
  </si>
  <si>
    <t>Student UUN: s2501082  Total Mark: 64 /Task 1 mark: 11 /Task 2a mark: 7 /Task 2b mark: 20 /Task 2c mark: 18 /Task 3 mark: 8 .
[Details for Task 1:]  /Question 1: 1 1 1   /Question 2: 1 1 I will take "threshold" as a cap on the problem, though it is a bit unclear.  /Question 5: 1 0 0   /Question 6: 0 0 0 1 0   /Question 7: 1 1 0 1 0   /Question Table 1: 1  /Question Figure 2: 1  /Question 8: 0 0  /Question 9: 1 0 1 0 0   /Question Table 2: 1  /Question Figure 3: 1  /Question 10: 1 1  /Question 11: 1 0 0 0 0  .
[Details for Task 2a:]  /Question 12: 1 0 1 1 0 1 0 1 Good discussion on the complementarity of the two approaches.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1 0 0 1 0 1 0 0   /Question 14: 1 1 1 0 1 0 0 1 0   /Question 3: 1 1 .
[Details for Task 3:]  /Question 15: 1 0 0 1 1 0 0 0 0 0 0   /Question 4: 1 1 .</t>
  </si>
  <si>
    <t>s2504497</t>
  </si>
  <si>
    <t>Student UUN: s2504497  Total Mark: 63 /Task 1 mark: 12 /Task 2a mark: 5 /Task 2b mark: 20 /Task 2c mark: 18 /Task 3 mark: 8 .
[Details for Task 1:]  /Question 1: 1 1 1   /Question 2: 1 0   /Question 5: 1 0 0   /Question 6: 0 0 0 1 0   /Question 7: 1 1 1 0 0   /Question Table 1: 1  /Question Figure 2: 1  /Question 8: 1 1  /Question 9: 1 1 1 0 0   /Question Table 2: 1  /Question Figure 3: 1  /Question 10: 1 1  /Question 11: 1 1 0 0 0  .
[Details for Task 2a:]  /Question 12: 1 1 0 1 0 0 1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1 1 0 1 1 0 0 0 0 0   /Question 14: 1 1 1 0 0 1 1 0 0   /Question 3: 1 1 .
[Details for Task 3:]  /Question 15: 1 1 0 1 1 0 0 0 1 0 0   /Question 4: 1 0 .</t>
  </si>
  <si>
    <t>s2504637</t>
  </si>
  <si>
    <t>Student UUN: s2504637  Total Mark: 67 /Task 1 mark: 12 /Task 2a mark: 6 /Task 2b mark: 20 /Task 2c mark: 21 /Task 3 mark: 8 .
[Details for Task 1:]  /Question 1: 1 1 1   /Question 2: 1 0   /Question 5: 1 0 0   /Question 6: 1 0 0 1 0   /Question 7: 1 1 1 0 0   /Question Table 1: 1  /Question Figure 2: 1  /Question 8: 1 1  /Question 9: 1 1 1 0 0   /Question Table 2: 1  /Question Figure 3: 1  /Question 10: 1 1  /Question 11: 0 1 0 0 0  .
[Details for Task 2a:]  /Question 12: 1 0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0 1 1 0 0 0   /Question 14: 1 1 0 0 0 1 1 1 0   /Question 3: 1 1 .
[Details for Task 3:]  /Question 15: 1 1 0 1 1 0 0 0 0 0 0   /Question 4: 0 1 .</t>
  </si>
  <si>
    <t>s2506050</t>
  </si>
  <si>
    <t>Student UUN: s2506050  Total Mark: 61 /Task 1 mark: 11 /Task 2a mark: 5 /Task 2b mark: 20 /Task 2c mark: 17 /Task 3 mark: 8 .
[Details for Task 1:]  /Question 1: 1 1 1   /Question 2: 1 0   /Question 5: 1 0 0   /Question 6: 1 0 0 1 0   /Question 7: 1 1 0 1 0   /Question Table 1: 1  /Question Figure 2: 1  /Question 8: 1 1  /Question 9: 0 1 0 0 0   /Question Table 2: 1  /Question Figure 3: 1  /Question 10: 1 0  /Question 11: 0 0 0 0 0  .
[Details for Task 2a:]  /Question 12: 1 0 0 0 1 0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0 0 0 1 1 0 0 1 0 0 0   /Question 14: 1 1 0 0 0 0 1 1 0   /Question 3: 1 1 .
[Details for Task 3:]  /Question 15: 1 0 0 1 1 0 0 0 1 0 0   /Question 4: 0 1 .</t>
  </si>
  <si>
    <t>s2506898</t>
  </si>
  <si>
    <t>Student UUN: s2506898  Total Mark: 72 /Task 1 mark: 16 /Task 2a mark: 6 /Task 2b mark: 20 /Task 2c mark: 21 /Task 3 mark: 9 .
[Details for Task 1:]  /Question 1: 1 1 1   /Question 2: 1 0   /Question 5: 1 0 0   /Question 6: 1 1 1 1 0   /Question 7: 1 1 1 1 1   /Question Table 1: 1  /Question Figure 2: 1  /Question 8: 1 1  /Question 9: 1 1 1 1 0   /Question Table 2: 1  /Question Figure 3: 1  /Question 10: 1 1  /Question 11: 1 1 1 1 0  .
[Details for Task 2a:]  /Question 12: 1 1 0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0 1 1 1 1 0 0 0   /Question 14: 1 1 0 1 1 0 1 1 0   /Question 3: 1 1 .
[Details for Task 3:]  /Question 15: 1 1 0 1 1 1 0 0 0 0 0   /Question 4: 1 1 .</t>
  </si>
  <si>
    <t>s2507595</t>
  </si>
  <si>
    <t>Student UUN: s2507595  Total Mark: 51 /Task 1 mark: 14 /Task 2a mark: 6 /Task 2b mark: 7 /Task 2c mark: 17 /Task 3 mark: 7 .
[Details for Task 1:]  /Question 1: 1 1 1   /Question 2: 1 1 Good job mentioning model capacity and expected performance during training.  /Question 5: 1 0 0   /Question 6: 1 0 1 1 0   /Question 7: 1 1 1 1 1   /Question Table 1: 1  /Question Figure 2: 1  /Question 8: 1 1  /Question 9: 1 0 0 1 0   /Question Table 2: 1  /Question Figure 3: 1  /Question 10: 1 1  /Question 11: 1 0 0 1 0 Significant number of repeated sentences between Question 10 and 11. .
[Details for Task 2a:]  /Question 12: 1 1 0 0 1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2 .
[Details for Task 2c:]  /Question Table 3: 1  /Question Figure 4: 1  /Question 13: 1 0 1 1 0 1 0 0 1 0 0   /Question 14: 1 1 1 1 0 0 0 0 0   /Question 3: 0 0 .
[Details for Task 3:]  /Question 15: 1 0 0 0 0 0 0 0 1 0 0   /Question 4: 1 0 .</t>
  </si>
  <si>
    <t>s2508349</t>
  </si>
  <si>
    <t>Student UUN: s2508349  Total Mark: 72 /Task 1 mark: 15 /Task 2a mark: 6 /Task 2b mark: 20 /Task 2c mark: 23 /Task 3 mark: 8 .
[Details for Task 1:]  /Question 1: 1 1 1   /Question 2: 1 0   /Question 5: 1 0 0   /Question 6: 1 1 1 1 0   /Question 7: 1 1 1 1 1   /Question Table 1: 1  /Question Figure 2: 1  /Question 8: 1 1  /Question 9: 1 0 1 0 0   /Question Table 2: 1  /Question Figure 3: 1  /Question 10: 1 1  /Question 11: 1 1 1 1 0  .
[Details for Task 2a:]  /Question 12: 1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0 0 1 0 1 0 0 0   /Question 3: 1 1 .
[Details for Task 3:]  /Question 15: 1 0 0 1 0 0 0 0 1 0 0   /Question 4: 1 0 .</t>
  </si>
  <si>
    <t>s2510644</t>
  </si>
  <si>
    <t>Student UUN: s2510644  Total Mark: 30 /Task 1 mark: 9 /Task 2a mark: 6 /Task 2b mark: 0 /Task 2c mark: 0 /Task 3 mark: 0 .
[Details for Task 1:]  /Question 1: 1 1 1   /Question 2: 0 0 On the contrary, a more complex model can lead to more overfitting if not properly regularized.  /Question 5: 1 0 0   /Question 6: 0 1 0 1 0   /Question 7: 0 0 0 0 0 Answer is empty.  /Question Table 1: 0  /Question Figure 2: 0  /Question 8: 0 0  /Question 9: 0 0 0 0 0 Answer is empty.  /Question Table 2: 0  /Question Figure 3: 0  /Question 10: 0 0  /Question 11: 0 0 0 0 0 Answer is empty. .
[Details for Task 2a:]  /Question 12: 1 1 1 0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0 .
[Details for Task 2c:]  /Question Table 3: 0  /Question Figure 4: 0  /Question 13: 0 0 0 0 0 0 0 0 0 0 0 Answer is empty  /Question 14: 0 0 0 0 0 0 0 0 0 Answer is empty  /Question 3: 0 0 .
[Details for Task 3:]  /Question 15: 0 0 0 0 0 0 0 0 0 0 0 Answer is empty  /Question 4: 0 0 .</t>
  </si>
  <si>
    <t>s2511180</t>
  </si>
  <si>
    <t>Student UUN: s2511180  Total Mark: 72 /Task 1 mark: 15 /Task 2a mark: 8 /Task 2b mark: 20 /Task 2c mark: 21 /Task 3 mark: 8 .
[Details for Task 1:]  /Question 1: 1 1 1   /Question 2: 1 0   /Question 5: 1 0 0   /Question 6: 1 1 0 1 0   /Question 7: 1 1 1 1 1   /Question Table 1: 1  /Question Figure 2: 1  /Question 8: 1 1  /Question 9: 1 1 1 1 0   /Question Table 2: 1  /Question Figure 3: 1  /Question 10: 1 1  /Question 11: 1 1 0 1 0  .
[Details for Task 2a:]  /Question 12: 1 1 1 1 0 1 0 1 Good job mentioning a specific case where L1-L2 combination might be helpful.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0 0 0 0 0   /Question 14: 1 1 1 1 1 1 0 0 0   /Question 3: 1 1 .
[Details for Task 3:]  /Question 15: 1 0 0 1 1 0 0 0 1 0 0   /Question 4: 1 0 .</t>
  </si>
  <si>
    <t>s2511927</t>
  </si>
  <si>
    <t>Student UUN: s2511927  Total Mark: 68 /Task 1 mark: 14 /Task 2a mark: 5 /Task 2b mark: 20 /Task 2c mark: 20 /Task 3 mark: 9 .
[Details for Task 1:]  /Question 1: 1 1 1   /Question 2: 1 1 Good job mentioning countermeasures and resource consumption.  /Question 5: 1 0 1 Good job mentioning model complexity and instability  /Question 6: 1 1 1 1 0   /Question 7: 1 1 0 1 0   /Question Table 1: 1  /Question Figure 2: 1  /Question 8: 1 1  /Question 9: 1 1 0 1 0   /Question Table 2: 1  /Question Figure 3: 1  /Question 10: 1 0  /Question 11: 1 1 0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0 1 1 0 0 0 0   /Question 3: 1 1 .
[Details for Task 3:]  /Question 15: 1 0 0 1 1 1 0 0 1 0 0   /Question 4: 1 1 .</t>
  </si>
  <si>
    <t>s2515424</t>
  </si>
  <si>
    <t>Student UUN: s2515424  Total Mark: 76 /Task 1 mark: 15 /Task 2a mark: 7 /Task 2b mark: 20 /Task 2c mark: 26 /Task 3 mark: 8 .
[Details for Task 1:]  /Question 1: 1 1 1   /Question 2: 1 0   /Question 5: 1 0 1 Good job mentioning complexity and capturing noise.  /Question 6: 0 0 1 1 0   /Question 7: 1 1 1 1 1   /Question Table 1: 1  /Question Figure 2: 1  /Question 8: 1 0  /Question 9: 1 0 0 1 0   /Question Table 2: 1  /Question Figure 3: 1  /Question 10: 1 1  /Question 11: 1 1 1 1 1 Good job linking your results with previous work.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1 0 0 0   /Question 3: 1 1 .
[Details for Task 3:]  /Question 15: 1 0 0 1 1 0 0 0 0 0 0   /Question 4: 1 0 .</t>
  </si>
  <si>
    <t>s2516028</t>
  </si>
  <si>
    <t>Student UUN: s2516028  Total Mark: 68 /Task 1 mark: 12 /Task 2a mark: 5 /Task 2b mark: 20 /Task 2c mark: 23 /Task 3 mark: 8 .
[Details for Task 1:]  /Question 1: 1 1 1   /Question 2: 1 0   /Question 5: 1 0 0   /Question 6: 1 0 0 1 0   /Question 7: 1 1 1 1 1   /Question Table 1: 1  /Question Figure 2: 1  /Question 8: 1 1  /Question 9: 1 0 0 1 0   /Question Table 2: 1  /Question Figure 3: 1  /Question 10: 1 0  /Question 11: 1 0 0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0 0 0   /Question 14: 1 1 1 1 1 1 0 0 0   /Question 3: 1 0 .
[Details for Task 3:]  /Question 15: 1 0 0 1 1 0 0 0 0 0 0   /Question 4: 1 0 .</t>
  </si>
  <si>
    <t>s2517725</t>
  </si>
  <si>
    <t>Student UUN: s2517725  Total Mark: 72 /Task 1 mark: 16 /Task 2a mark: 7 /Task 2b mark: 20 /Task 2c mark: 21 /Task 3 mark: 8 .
[Details for Task 1:]  /Question 1: 1 1 1   /Question 2: 1 1 Good job mentioning regularization.  /Question 5: 1 0 1 Good job mentioning memorization of noise.  /Question 6: 1 0 0 1 1 Good job explaining capacity and memorization of noise.  /Question 7: 1 1 1 1 1   /Question Table 1: 1  /Question Figure 2: 1  /Question 8: 1 1  /Question 9: 1 1 0 1 0   /Question Table 2: 1  /Question Figure 3: 1  /Question 10: 1 1  /Question 11: 1 1 1 0 0  .
[Details for Task 2a:]  /Question 12: 1 1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1 0 0 0   /Question 14: 1 1 1 0 1 1 0 0 0   /Question 3: 0 1 .
[Details for Task 3:]  /Question 15: 1 0 0 1 1 1 0 0 1 0 0   /Question 4: 1 0 .</t>
  </si>
  <si>
    <t>s2517783</t>
  </si>
  <si>
    <t>Student UUN: s2517783  Total Mark: 79 /Task 1 mark: 14 /Task 2a mark: 10 /Task 2b mark: 20 /Task 2c mark: 24 /Task 3 mark: 11 .
[Details for Task 1:]  /Question 1: 0 0 0 Did not specify why overfitting is a problem, as the statement asked.  /Question 2: 1 0   /Question 5: 1 0 0   /Question 6: 1 0 1 1 0   /Question 7: 1 1 1 1 1   /Question Table 1: 1  /Question Figure 2: 1  /Question 8: 1 1  /Question 9: 1 1 1 1 0   /Question Table 2: 1  /Question Figure 3: 1  /Question 10: 1 1  /Question 11: 1 1 1 1 0  .
[Details for Task 2a:]  /Question 12: 1 1 1 1 1 1 1 1 Good job mentioning how we can find the optimal set of hyper-parameters.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0 0 0 0   /Question 14: 1 1 1 1 1 1 0 1 0   /Question 3: 1 1 .
[Details for Task 3:]  /Question 15: 1 1 1 1 1 1 1 0 1 0 0   /Question 4: 1 0 .</t>
  </si>
  <si>
    <t>s2519031</t>
  </si>
  <si>
    <t>Student UUN: s2519031  Total Mark: 64 /Task 1 mark: 17 /Task 2a mark: 7 /Task 2b mark: 15 /Task 2c mark: 18 /Task 3 mark: 7 .
[Details for Task 1:]  /Question 1: 1 1 1   /Question 2: 1 1 Good you mentioned training for too long.  /Question 5: 1 0 1 Good job mentioning reliability and robustness.  /Question 6: 1 1 0 1 0   /Question 7: 1 1 1 1 1   /Question Table 1: 1  /Question Figure 2: 1  /Question 8: 1 1  /Question 9: 1 1 1 1 0   /Question Table 2: 1  /Question Figure 3: 1  /Question 10: 1 1  /Question 11: 1 1 1 1 0  .
[Details for Task 2a:]  /Question 12: 1 1 1 1 0 1 0 0  .
[Details for Task 2b:]  /Fprop check for DropoutLayer: 0  /Bprop check for DropoutLayer: 0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0 1 1 0 0   /Question 14: 1 1 0 1 0 1 0 0 0   /Question 3: 0 1 .
[Details for Task 3:]  /Question 15: 1 0 0 1 0 0 0 0 0 0 0   /Question 4: 1 0 .</t>
  </si>
  <si>
    <t>s2519252</t>
  </si>
  <si>
    <t>Student UUN: s2519252  Total Mark: 64 /Task 1 mark: 12 /Task 2a mark: 5 /Task 2b mark: 20 /Task 2c mark: 20 /Task 3 mark: 7 .
[Details for Task 1:]  /Question 1: 1 1 1   /Question 2: 1 0   /Question 5: 0 0 0   /Question 6: 0 0 0 1 0   /Question 7: 1 1 1 1 1   /Question Table 1: 1  /Question Figure 2: 1  /Question 8: 1 0  /Question 9: 1 0 0 1 0   /Question Table 2: 1  /Question Figure 3: 1  /Question 10: 1 1  /Question 11: 1 0 0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0 1 0 1 0 0 0   /Question 3: 1 1 .
[Details for Task 3:]  /Question 15: 1 0 0 1 0 0 0 0 0 0 0   /Question 4: 1 0 .</t>
  </si>
  <si>
    <t>s2519456</t>
  </si>
  <si>
    <t>Student UUN: s2519456  Total Mark: 62 /Task 1 mark: 15 /Task 2a mark: 6 /Task 2b mark: 15 /Task 2c mark: 18 /Task 3 mark: 8 .
[Details for Task 1:]  /Question 1: 1 1 1   /Question 2: 1 0   /Question 5: 1 0 1 Good job mentioning memorization of noise.  /Question 6: 0 0 1 1 0   /Question 7: 1 1 1 1 1   /Question Table 1: 1  /Question Figure 2: 1  /Question 8: 1 1  /Question 9: 1 1 1 1 0   /Question Table 2: 1  /Question Figure 3: 1  /Question 10: 1 0  /Question 11: 1 1 0 1 0  .
[Details for Task 2a:]  /Question 12: 1 1 0 0 1 1 0 0  .
[Details for Task 2b:]  /Fprop check for DropoutLayer: 0  /Bprop check for DropoutLayer: 0  /Call func for L1Penalty: 1  /Grad check for L1Penalty: 1  /Call func for L2Penalty: 1  /Grad check for L2Penalty: 1  /Effort
2: means with test package
1: means with code but no test package
0: means no code or test package &gt;&gt; 2 .
[Details for Task 2c:]  /Question Table 3: 1  /Question Figure 4: 0  /Question 13: 1 1 1 1 0 1 0 0 0 0 0   /Question 14: 1 1 0 1 1 1 0 0 0   /Question 3: 1 1 .
[Details for Task 3:]  /Question 15: 1 0 0 1 0 1 1 0 1 0 0   /Question 4: 1 0 .</t>
  </si>
  <si>
    <t>s2520463</t>
  </si>
  <si>
    <t>Student UUN: s2520463  Total Mark: 71 /Task 1 mark: 13 /Task 2a mark: 7 /Task 2b mark: 20 /Task 2c mark: 23 /Task 3 mark: 8 .
[Details for Task 1:]  /Question 1: 1 1 1   /Question 2: 1 0   /Question 5: 1 0 0   /Question 6: 1 1 0 1 0   /Question 7: 1 1 1 1 1   /Question Table 1: 1  /Question Figure 2: 1  /Question 8: 1 1  /Question 9: 1 1 0 0 0   /Question Table 2: 1  /Question Figure 3: 1  /Question 10: 1 1  /Question 11: 1 0 0 1 0  .
[Details for Task 2a:]  /Question 12: 1 1 0 0 1 1 0 1 Good job mentioning computational benefits.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1 1 1 1 0 0 0   /Question 3: 1 1 .
[Details for Task 3:]  /Question 15: 1 0 0 1 0 1 0 0 0 0 0   /Question 4: 1 0 .</t>
  </si>
  <si>
    <t>s2522779</t>
  </si>
  <si>
    <t>Student UUN: s2522779  Total Mark: 71 /Task 1 mark: 14 /Task 2a mark: 6 /Task 2b mark: 20 /Task 2c mark: 24 /Task 3 mark: 7 .
[Details for Task 1:]  /Question 1: 1 1 1   /Question 2: 1 0   /Question 5: 1 0 1 Good job mentioning memorization of features and finiteness of data.  /Question 6: 0 0 0 1 0   /Question 7: 1 1 1 1 1   /Question Table 1: 1  /Question Figure 2: 1  /Question 8: 1 1  /Question 9: 1 1 0 1 0   /Question Table 2: 1  /Question Figure 3: 1  /Question 10: 1 1  /Question 11: 1 0 0 1 0  .
[Details for Task 2a:]  /Question 12: 1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0 1 1 1 0 0 0   /Question 3: 1 1 .
[Details for Task 3:]  /Question 15: 1 0 0 1 0 0 0 0 0 0 0   /Question 4: 1 0 .</t>
  </si>
  <si>
    <t>s2524927</t>
  </si>
  <si>
    <t>Student UUN: s2524927  Total Mark: 68 /Task 1 mark: 17 /Task 2a mark: 6 /Task 2b mark: 20 /Task 2c mark: 17 /Task 3 mark: 8 .
[Details for Task 1:]  /Question 1: 1 1 1   /Question 2: 1 1 Good job mentioning memorization of noise.  /Question 5: 1 0 1 Good job mentioning the focus on noise and instability of the model.  /Question 6: 1 0 0 1 0   /Question 7: 1 1 1 1 1   /Question Table 1: 1  /Question Figure 2: 1  /Question 8: 1 1  /Question 9: 1 1 1 1 1 Good job linking your results with the literature.  /Question Table 2: 1  /Question Figure 3: 1  /Question 10: 1 1  /Question 11: 1 1 1 1 1 Good job adding an analysis on the number of layers. .
[Details for Task 2a:]  /Question 12: 1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0  /Question 13: 1 1 1 1 1 1 1 0 0 0 0   /Question 14: 1 1 0 0 0 0 0 0 0   /Question 3: 1 1 .
[Details for Task 3:]  /Question 15: 1 0 0 1 1 1 0 0 0 0 0   /Question 4: 1 1 .</t>
  </si>
  <si>
    <t>s2527315</t>
  </si>
  <si>
    <t>Student UUN: s2527315  Total Mark: 66 /Task 1 mark: 14 /Task 2a mark: 7 /Task 2b mark: 20 /Task 2c mark: 18 /Task 3 mark: 7 .
[Details for Task 1:]  /Question 1: 1 1 1   /Question 2: 1 1 Good job mentioning the link with experessiveness.  /Question 5: 1 1 0   /Question 6: 0 0 0 1 0   /Question 7: 0 0 0 0 0 Problem statement asked to analyse Figure 1, not Figure 2.  /Question Table 1: 1  /Question Figure 2: 1  /Question 8: 1 1  /Question 9: 1 1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0 1 0 0 0 0 0   /Question 14: 1 1 1 1 0 1 0 0 0   /Question 3: 1 1 .
[Details for Task 3:]  /Question 15: 1 0 0 1 0 0 0 0 0 0 0   /Question 4: 1 0 .</t>
  </si>
  <si>
    <t>s2531301</t>
  </si>
  <si>
    <t>Student UUN: s2531301  Total Mark: 65 /Task 1 mark: 14 /Task 2a mark: 6 /Task 2b mark: 20 /Task 2c mark: 17 /Task 3 mark: 8 .
[Details for Task 1:]  /Question 1: 1 1 1   /Question 2: 1 1 Good job mentioning memorization of noise.  /Question 5: 1 0 0   /Question 6: 0 1 1 1 0   /Question 7: 1 1 1 1 1   /Question Table 1: 1  /Question Figure 2: 1  /Question 8: 1 1  /Question 9: 1 1 0 1 0   /Question Table 2: 1  /Question Figure 3: 1  /Question 10: 1 0  /Question 11: 1 1 0 0 0  .
[Details for Task 2a:]  /Question 12: 1 0 0 0 1 1 0 1 Good job mentioning the advantage of domain knowledge.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0 0 0   /Question 14: 0 0 0 0 0 0 0 0 0 Answer is empty  /Question 3: 1 1 .
[Details for Task 3:]  /Question 15: 1 0 0 1 0 0 0 0 1 0 0   /Question 4: 1 0 .</t>
  </si>
  <si>
    <t>s2531687</t>
  </si>
  <si>
    <t>Student UUN: s2531687  Total Mark: 73 /Task 1 mark: 16 /Task 2a mark: 6 /Task 2b mark: 20 /Task 2c mark: 23 /Task 3 mark: 8 .
[Details for Task 1:]  /Question 1: 1 1 1   /Question 2: 1 1 Good job mentioning memorization of noise.  /Question 5: 1 1 1 Good job proving a thorough analysis on bias and variance.  /Question 6: 0 1 0 1 0   /Question 7: 1 1 1 1 1   /Question Table 1: 1  /Question Figure 2: 1  /Question 8: 1 1  /Question 9: 1 0 0 1 0   /Question Table 2: 1  /Question Figure 3: 1  /Question 10: 1 1  /Question 11: 1 1 1 1 0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1 1 1 1 0 0 0   /Question 3: 1 1 .
[Details for Task 3:]  /Question 15: 1 0 0 1 1 0 0 0 0 1 0   /Question 4: 1 1 .</t>
  </si>
  <si>
    <t>s2533820</t>
  </si>
  <si>
    <t>Student UUN: s2533820  Total Mark: 57 /Task 1 mark: 16 /Task 2a mark: 6 /Task 2b mark: 5 /Task 2c mark: 21 /Task 3 mark: 9 .
[Details for Task 1:]  /Question 1: 1 1 1   /Question 2: 1 1 Good job mentioning details about width values and which metrics increase.  /Question 5: 1 0 1 Good job mentioning the instability of the model and the resource problem.  /Question 6: 1 0 1 1 0   /Question 7: 1 1 1 1 1   /Question Table 1: 1  /Question Figure 2: 1  /Question 8: 1 1  /Question 9: 1 1 1 1 0   /Question Table 2: 1  /Question Figure 3: 1  /Question 10: 1 1  /Question 11: 1 1 0 0 0  .
[Details for Task 2a:]  /Question 12: 1 1 1 0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1  /Question Figure 4: 1  /Question 13: 1 0 1 1 0 1 1 0 0 0 0   /Question 14: 1 1 1 1 1 1 0 0 0   /Question 3: 1 1 .
[Details for Task 3:]  /Question 15: 1 1 0 1 1 0 0 0 1 0 0   /Question 4: 1 1 .</t>
  </si>
  <si>
    <t>s2534699</t>
  </si>
  <si>
    <t>Student UUN: s2534699  Total Mark: 81 /Task 1 mark: 18 /Task 2a mark: 6 /Task 2b mark: 20 /Task 2c mark: 27 /Task 3 mark: 10 .
[Details for Task 1:]  /Question 1: 1 1 1   /Question 2: 1 1 Good job mentioning countermeasures and expected generalization gap.  /Question 5: 1 1 0   /Question 6: 1 1 1 1 1 Good job mentioning countermeasures  /Question 7: 1 1 1 1 1   /Question Table 1: 1  /Question Figure 2: 1  /Question 8: 1 1  /Question 9: 1 1 1 0 0   /Question Table 2: 1  /Question Figure 3: 1  /Question 10: 1 1  /Question 11: 1 1 1 1 1 Good job linking depth and feature learning. .
[Details for Task 2a:]  /Question 12: 1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1 1 0 0   /Question 14: 1 1 1 1 1 1 0 0 1 Good job comparing different learning rates.  /Question 3: 1 1 .
[Details for Task 3:]  /Question 15: 1 1 0 1 1 1 1 0 1 0 0   /Question 4: 1 0 .</t>
  </si>
  <si>
    <t>s2535212</t>
  </si>
  <si>
    <t>Student UUN: s2535212  Total Mark: 70 /Task 1 mark: 15 /Task 2a mark: 6 /Task 2b mark: 20 /Task 2c mark: 21 /Task 3 mark: 8 .
[Details for Task 1:]  /Question 1: 1 1 1   /Question 2: 1 1 Good job mentioning complexity and capturing noise.  /Question 5: 1 1 0   /Question 6: 1 0 0 1 0   /Question 7: 1 1 1 1 1   /Question Table 1: 1  /Question Figure 2: 1  /Question 8: 1 1  /Question 9: 1 1 0 1 0   /Question Table 2: 1  /Question Figure 3: 1  /Question 10: 1 1  /Question 11: 1 1 0 1 0  .
[Details for Task 2a:]  /Question 12: 1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1 0 1 1 0 0 0   /Question 3: 1 1 .
[Details for Task 3:]  /Question 15: 1 0 0 1 0 0 0 0 1 0 0   /Question 4: 1 0 .</t>
  </si>
  <si>
    <t>s2538684</t>
  </si>
  <si>
    <t>Student UUN: s2538684  Total Mark: 52 /Task 1 mark: 13 /Task 2a mark: 6 /Task 2b mark: 5 /Task 2c mark: 20 /Task 3 mark: 8 .
[Details for Task 1:]  /Question 1: 1 1 1   /Question 2: 1 1 Good job mentioning capturing of noise.  /Question 5: 1 1 0   /Question 6: 0 1 0 1 0   /Question 7: 1 1 1 1 1   /Question Table 1: 1  /Question Figure 2: 1  /Question 8: 1 1  /Question 9: 1 0 0 1 0   /Question Table 2: 1  /Question Figure 3: 1  /Question 10: 1 1  /Question 11: 1 0 0 0 0  .
[Details for Task 2a:]  /Question 12: 1 0 0 0 1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1  /Question Figure 4: 1  /Question 13: 1 1 1 1 1 1 1 0 0 0 0   /Question 14: 1 0 0 0 1 1 0 0 0   /Question 3: 1 1 .
[Details for Task 3:]  /Question 15: 1 0 0 1 0 1 0 0 1 0 0   /Question 4: 1 0 .</t>
  </si>
  <si>
    <t>s2540398</t>
  </si>
  <si>
    <t>Student UUN: s2540398  Total Mark: 77 /Task 1 mark: 18 /Task 2a mark: 6 /Task 2b mark: 20 /Task 2c mark: 24 /Task 3 mark: 9 .
[Details for Task 1:]  /Question 1: 1 1 1   /Question 2: 1 0   /Question 5: 1 1 1 Good job mentioning potential problems in real-world cases.  /Question 6: 1 1 1 1 0   /Question 7: 1 1 1 1 1   /Question Table 1: 1  /Question Figure 2: 1  /Question 8: 1 1  /Question 9: 1 1 1 1 1 Good job linking your results with relevant literature.  /Question Table 2: 1  /Question Figure 3: 1  /Question 10: 1 1  /Question 11: 1 1 1 1 1 Good job linking your results with relevant literature. .
[Details for Task 2a:]  /Question 12: 1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1 1 1 1 0 0   /Question 14: 1 1 1 1 1 1 0 0 0   /Question 3: 1 1 .
[Details for Task 3:]  /Question 15: 1 1 0 1 1 0 0 0 1 0 0   /Question 4: 1 1 .</t>
  </si>
  <si>
    <t>s2543673</t>
  </si>
  <si>
    <t>Student UUN: s2543673  Total Mark: 77 /Task 1 mark: 13 /Task 2a mark: 6 /Task 2b mark: 20 /Task 2c mark: 26 /Task 3 mark: 12 .
[Details for Task 1:]  /Question 1: 1 1 1   /Question 2: 1 0   /Question 5: 1 0 0   /Question 6: 0 0 0 1 0   /Question 7: 1 1 1 1 1   /Question Table 1: 1  /Question Figure 2: 1  /Question 8: 1 1  /Question 9: 1 1 0 0 0   /Question Table 2: 1  /Question Figure 3: 1  /Question 10: 1 1  /Question 11: 1 1 0 1 0  .
[Details for Task 2a:]  /Question 12: 1 1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1 1 0 0   /Question 14: 1 1 1 1 1 1 0 0 0   /Question 3: 1 1 .
[Details for Task 3:]  /Question 15: 1 0 0 1 1 1 1 1 1 1 0   /Question 4: 1 1 .</t>
  </si>
  <si>
    <t>s2545171</t>
  </si>
  <si>
    <t>Student UUN: s2545171  Total Mark: 57 /Task 1 mark: 9 /Task 2a mark: 5 /Task 2b mark: 20 /Task 2c mark: 15 /Task 3 mark: 8 .
[Details for Task 1:]  /Question 1: 1 0 0   /Question 2: 0 0 The results show the opposite: more complex models have higher validation error.  /Question 5: 0 0 0 Last sentence is incomplete  /Question 6: 1 0 0 0 0   /Question 7: 0 0 0 0 0 Problem statement asked to analyse Figure 1, not Figure 2.  /Question Table 1: 1  /Question Figure 2: 1  /Question 8: 1 0  /Question 9: 0 0 0 0 0   /Question Table 2: 1  /Question Figure 3: 1  /Question 10: 1 1  /Question 11: 1 0 0 1 0  .
[Details for Task 2a:]  /Question 12: 0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0 1 0 1 0 0 0 0   /Question 14: 1 0 0 0 1 1 0 0 0   /Question 3: 0 1 .
[Details for Task 3:]  /Question 15: 1 0 0 1 1 0 0 0 0 0 0   /Question 4: 1 0 .</t>
  </si>
  <si>
    <t>s2550585</t>
  </si>
  <si>
    <t>Student UUN: s2550585  Total Mark: 74 /Task 1 mark: 17 /Task 2a mark: 5 /Task 2b mark: 20 /Task 2c mark: 21 /Task 3 mark: 11 .
[Details for Task 1:]  /Question 1: 1 1 1   /Question 2: 1 1 Good job mentioning regularization.  /Question 5: 1 0 0   /Question 6: 1 1 0 1 0   /Question 7: 1 1 1 1 1   /Question Table 1: 1  /Question Figure 2: 1  /Question 8: 1 1  /Question 9: 1 1 1 1 0   /Question Table 2: 1  /Question Figure 3: 1  /Question 10: 1 1  /Question 11: 1 1 1 1 1 Good job linking your results with relevant literature.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0 0   /Question 14: 1 1 1 1 1 1 0 0 0   /Question 3: 0 1 .
[Details for Task 3:]  /Question 15: 1 0 0 1 1 1 1 0 1 1 1 Good job citing the No Free Lunch theorem.  /Question 4: 1 0 .</t>
  </si>
  <si>
    <t>s2551928</t>
  </si>
  <si>
    <t>Student UUN: s2551928  Total Mark: 81 /Task 1 mark: 17 /Task 2a mark: 7 /Task 2b mark: 20 /Task 2c mark: 29 /Task 3 mark: 8 .
[Details for Task 1:]  /Question 1: 1 1 1   /Question 2: 1 1 Good job mentioning model flexibility and capacity.  /Question 5: 1 1 0   /Question 6: 1 1 0 1 0   /Question 7: 1 1 1 1 1   /Question Table 1: 1  /Question Figure 2: 1  /Question 8: 1 1  /Question 9: 1 1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Models are picked based on validation performance, and not test.  /Question 14: 1 1 1 1 1 1 1 1 0   /Question 3: 1 1 .
[Details for Task 3:]  /Question 15: 1 0 0 1 1 0 0 0 1 0 0   /Question 4: 1 0 .</t>
  </si>
  <si>
    <t>s2554055</t>
  </si>
  <si>
    <t>Student UUN: s2554055  Total Mark: 68 /Task 1 mark: 15 /Task 2a mark: 7 /Task 2b mark: 20 /Task 2c mark: 18 /Task 3 mark: 8 .
[Details for Task 1:]  /Question 1: 1 1 1   /Question 2: 1 0   /Question 5: 1 0 0   /Question 6: 1 0 1 1 0   /Question 7: 1 1 1 1 1   /Question Table 1: 1  /Question Figure 2: 1  /Question 8: 1 1  /Question 9: 1 1 0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0 0 0 0 0   /Question 14: 1 1 1 1 0 1 0 0 0   /Question 3: 0 1 .
[Details for Task 3:]  /Question 15: 1 0 0 1 0 1 0 0 1 0 0   /Question 4: 1 0 .</t>
  </si>
  <si>
    <t>s2558433</t>
  </si>
  <si>
    <t>Student UUN: s2558433  Total Mark: 60 /Task 1 mark: 16 /Task 2a mark: 6 /Task 2b mark: 5 /Task 2c mark: 23 /Task 3 mark: 10 .
[Details for Task 1:]  /Question 1: 1 1 1   /Question 2: 1 0   /Question 5: 1 0 0   /Question 6: 1 1 1 1 0   /Question 7: 1 1 1 1 1   /Question Table 1: 1  /Question Figure 2: 1  /Question 8: 1 1  /Question 9: 1 1 1 1 0   /Question Table 2: 1  /Question Figure 3: 1  /Question 10: 1 1  /Question 11: 1 1 1 1 0  .
[Details for Task 2a:]  /Question 12: 1 0 1 1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1  /Question Figure 4: 1  /Question 13: 1 1 1 1 0 1 1 0 0 0 0   /Question 14: 1 1 1 0 1 1 1 0 0   /Question 3: 1 1 .
[Details for Task 3:]  /Question 15: 1 0 0 1 1 1 1 1 1 0 0   /Question 4: 1 0 .</t>
  </si>
  <si>
    <t>s2562095</t>
  </si>
  <si>
    <t>Student UUN: s2562095  Total Mark: 85 /Task 1 mark: 18 /Task 2a mark: 9 /Task 2b mark: 20 /Task 2c mark: 27 /Task 3 mark: 11 .
[Details for Task 1:]  /Question 1: 1 1 1   /Question 2: 1 0   /Question 5: 1 1 1 Good job mentioning learning of noise and putting the loss function in context.  /Question 6: 1 1 0 1 1 Good job linking your argument with the literature.  /Question 7: 1 1 1 1 1   /Question Table 1: 1  /Question Figure 2: 1  /Question 8: 1 1  /Question 9: 1 1 1 1 1 Good job linking your results with relevant literature.  /Question Table 2: 1  /Question Figure 3: 1  /Question 10: 1 1  /Question 11: 1 1 1 1 1 Good job linking your results with relevant literature. .
[Details for Task 2a:]  /Question 12: 1 1 1 1 1 1 0 1 Good job mentioning properties of elastic net.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1 1 0 0   /Question 3: 1 1 .
[Details for Task 3:]  /Question 15: 1 1 1 1 0 1 0 1 1 0 0   /Question 4: 1 1 .</t>
  </si>
  <si>
    <t>s2562451</t>
  </si>
  <si>
    <t>Student UUN: s2562451  Total Mark: 75 /Task 1 mark: 15 /Task 2a mark: 6 /Task 2b mark: 20 /Task 2c mark: 23 /Task 3 mark: 11 .
[Details for Task 1:]  /Question 1: 1 1 1   /Question 2: 1 0   /Question 5: 1 1 0   /Question 6: 1 1 0 1 0   /Question 7: 1 1 1 0 0   /Question Table 1: 1  /Question Figure 2: 1  /Question 8: 1 1  /Question 9: 1 1 1 1 0   /Question Table 2: 1  /Question Figure 3: 1  /Question 10: 1 1  /Question 11: 1 1 1 1 0  .
[Details for Task 2a:]  /Question 12: 1 0 0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0 0 1 1 0 0 0   /Question 3: 1 1 .
[Details for Task 3:]  /Question 15: 1 1 1 1 0 1 1 0 1 0 0   /Question 4: 1 1 .</t>
  </si>
  <si>
    <t>s2567498</t>
  </si>
  <si>
    <t>Student UUN: s2567498  Total Mark: 72 /Task 1 mark: 14 /Task 2a mark: 7 /Task 2b mark: 20 /Task 2c mark: 23 /Task 3 mark: 8 .
[Details for Task 1:]  /Question 1: 1 1 1   /Question 2: 1 0   /Question 5: 1 1 0   /Question 6: 0 1 0 1 0   /Question 7: 1 1 1 1 1   /Question Table 1: 1  /Question Figure 2: 1  /Question 8: 0 1  /Question 9: 1 1 0 1 0   /Question Table 2: 1  /Question Figure 3: 1  /Question 10: 0 1  /Question 11: 1 1 1 1 0  .
[Details for Task 2a:]  /Question 12: 1 0 1 1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0 1 1 0 0   /Question 14: 0 1 1 1 1 1 0 0 0   /Question 3: 1 1 .
[Details for Task 3:]  /Question 15: 1 0 0 1 0 0 0 0 0 0 0   /Question 4: 1 1 .</t>
  </si>
  <si>
    <t>s2569758</t>
  </si>
  <si>
    <t>Student UUN: s2569758  Total Mark: 77 /Task 1 mark: 16 /Task 2a mark: 6 /Task 2b mark: 20 /Task 2c mark: 24 /Task 3 mark: 11 .
[Details for Task 1:]  /Question 1: 1 1 1   /Question 2: 1 0   /Question 5: 1 1 0   /Question 6: 0 1 0 1 0   /Question 7: 1 1 1 1 1   /Question Table 1: 1  /Question Figure 2: 1  /Question 8: 1 1  /Question 9: 1 1 1 1 0   /Question Table 2: 1  /Question Figure 3: 1  /Question 10: 1 1  /Question 11: 1 1 1 1 0  .
[Details for Task 2a:]  /Question 12: 1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0 1 1 1 0 1 0   /Question 3: 1 0 .
[Details for Task 3:]  /Question 15: 1 1 0 1 0 1 1 0 1 0 0   /Question 4: 1 1 .</t>
  </si>
  <si>
    <t>s2575976</t>
  </si>
  <si>
    <t>Student UUN: s2575976  Total Mark: 68 /Task 1 mark: 16 /Task 2a mark: 5 /Task 2b mark: 20 /Task 2c mark: 18 /Task 3 mark: 9 .
[Details for Task 1:]  /Question 1: 1 1 1   /Question 2: 1 0   /Question 5: 0 1 0   /Question 6: 1 1 1 1 0   /Question 7: 1 1 1 1 1   /Question Table 1: 1  /Question Figure 2: 1  /Question 8: 1 1  /Question 9: 1 1 1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0  /Question 13: 1 1 0 0 0 1 1 1 1 0 0   /Question 14: 1 1 1 1 0 1 0 0 0   /Question 3: 1 0 .
[Details for Task 3:]  /Question 15: 1 1 0 1 1 0 0 0 1 0 0   /Question 4: 1 1 .</t>
  </si>
  <si>
    <t>s2581395</t>
  </si>
  <si>
    <t>Student UUN: s2581395  Total Mark: 66 /Task 1 mark: 11 /Task 2a mark: 5 /Task 2b mark: 20 /Task 2c mark: 20 /Task 3 mark: 10 .
[Details for Task 1:]  /Question 1: 1 0 0 The features learned are those of the training data, not the test data.  /Question 2: 1 0   /Question 5: 1 1 0   /Question 6: 0 0 1 0 0 didn't explain what is model capacity   /Question 7: 1 1 1 1 1   /Question Table 1: 1  /Question Figure 2: 1  /Question 8: 0 1  /Question 9: 1 0 1 1 0   /Question Table 2: 1  /Question Figure 3: 1  /Question 10: 0 1  /Question 11: 0 0 0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0 0 0 0 0 0   /Question 3: 0 1 .
[Details for Task 3:]  /Question 15: 1 1 0 1 1 1 1 0 1 0 0   /Question 4: 1 0 .</t>
  </si>
  <si>
    <t>s2583684</t>
  </si>
  <si>
    <t>Student UUN: s2583684  Total Mark: 80 /Task 1 mark: 16 /Task 2a mark: 5 /Task 2b mark: 20 /Task 2c mark: 27 /Task 3 mark: 12 .
[Details for Task 1:]  /Question 1: 1 1 1   /Question 2: 1 1 Good to discuss the possible reaons  /Question 5: 1 1 0   /Question 6: 1 0 1 1 0   /Question 7: 1 1 1 1 1   /Question Table 1: 1  /Question Figure 2: 1  /Question 8: 1 1  /Question 9: 1 1 1 0 0   /Question Table 2: 1  /Question Figure 3: 1  /Question 10: 1 1  /Question 11: 1 1 1 1 0  .
[Details for Task 2a:]  /Question 12: 1 1 1 1 0 0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0 1 1 1 0 0   /Question 14: 1 1 1 1 0 1 1 1 0   /Question 3: 1 1 .
[Details for Task 3:]  /Question 15: 1 1 1 1 1 1 0 0 1 1 0   /Question 4: 1 1 .</t>
  </si>
  <si>
    <t>s2583940</t>
  </si>
  <si>
    <t>Student UUN: s2583940  Total Mark: 69 /Task 1 mark: 13 /Task 2a mark: 6 /Task 2b mark: 20 /Task 2c mark: 21 /Task 3 mark: 9 .
[Details for Task 1:]  /Question 1: 1 1 1   /Question 2: 1 0   /Question 5: 1 1 0   /Question 6: 1 1 1 1 0   /Question 7: 0 0 0 1 0 Explain how you observe the overfitting  /Question Table 1: 1  /Question Figure 2: 1  /Question 8: 1 1  /Question 9: 1 1 1 1 0   /Question Table 2: 1  /Question Figure 3: 1  /Question 10: 1 1  /Question 11: 1 0 0 1 0  .
[Details for Task 2a:]  /Question 12: 1 0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0 0 1 0 0   /Question 14: 1 1 0 1 1 1 0 0 0   /Question 3: 0 1 .
[Details for Task 3:]  /Question 15: 1 1 0 1 0 1 1 0 1 0 0   /Question 4: 1 0 .</t>
  </si>
  <si>
    <t>s2585832</t>
  </si>
  <si>
    <t>Student UUN: s2585832  Total Mark: 72 /Task 1 mark: 13 /Task 2a mark: 5 /Task 2b mark: 20 /Task 2c mark: 26 /Task 3 mark: 8 .
[Details for Task 1:]  /Question 1: 1 1 1   /Question 2: 1 0   /Question 5: 1 1 0   /Question 6: 0 0 1 0 0   /Question 7: 1 1 1 0 1   /Question Table 1: 1  /Question Figure 2: 1  /Question 8: 1 1  /Question 9: 1 0 0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1 0 0 0   /Question 3: 1 1 .
[Details for Task 3:]  /Question 15: 1 1 0 1 0 0 0 0 1 0 0   /Question 4: 1 0 .</t>
  </si>
  <si>
    <t>s2586826</t>
  </si>
  <si>
    <t>Student UUN: s2586826  Total Mark: 57 /Task 1 mark: 15 /Task 2a mark: 5 /Task 2b mark: 5 /Task 2c mark: 21 /Task 3 mark: 11 .
[Details for Task 1:]  /Question 1: 1 1 1   /Question 2: 1 0   /Question 5: 1 1 1 Good to discuss model model robustness  /Question 6: 1 0 0 1 0   /Question 7: 1 1 1 1 1   /Question Table 1: 1  /Question Figure 2: 1  /Question 8: 0 1  /Question 9: 1 0 1 1 0   /Question Table 2: 1  /Question Figure 3: 1  /Question 10: 1 1  /Question 11: 1 1 1 1 0  .
[Details for Task 2a:]  /Question 12: 1 0 0 0 0 1 0 0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1 .
[Details for Task 2c:]  /Question Table 3: 1  /Question Figure 4: 1  /Question 13: 1 1 1 1 0 1 1 1 1 0 0   /Question 14: 1 1 0 1 0 0 0 0 0   /Question 3: 1 1 .
[Details for Task 3:]  /Question 15: 1 1 1 1 0 1 1 0 1 0 0   /Question 4: 1 0 .</t>
  </si>
  <si>
    <t>s2588197</t>
  </si>
  <si>
    <t>Student UUN: s2588197  Total Mark: 63 /Task 1 mark: 16 /Task 2a mark: 6 /Task 2b mark: 15 /Task 2c mark: 18 /Task 3 mark: 8 .
[Details for Task 1:]  /Question 1: 1 1 1   /Question 2: 1 0   /Question 5: 1 1 1 Good to discuss robustness, efficiency and other insights  /Question 6: 0 1 1 1 0   /Question 7: 1 1 1 1 1   /Question Table 1: 1  /Question Figure 2: 1  /Question 8: 1 1  /Question 9: 1 1 0 1 0   /Question Table 2: 1  /Question Figure 3: 1  /Question 10: 1 1  /Question 11: 1 1 1 1 0  .
[Details for Task 2a:]  /Question 12: 1 0 1 0 0 1 0 0  .
[Details for Task 2b:]  /Fprop check for DropoutLayer: 0  /Bprop check for DropoutLayer: 1  /Call func for L1Penalty: 0  /Grad check for L1Penalty: 1  /Call func for L2Penalty: 1  /Grad check for L2Penalty: 1  /Effort
2: means with test package
1: means with code but no test package
0: means no code or test package &gt;&gt; 2 .
[Details for Task 2c:]  /Question Table 3: 1  /Question Figure 4: 1  /Question 13: 1 1 0 0 0 1 1 1 1 0 0   /Question 14: 1 1 1 0 0 0 0 0 0   /Question 3: 1 1 .
[Details for Task 3:]  /Question 15: 1 1 0 1 0 0 0 0 1 0 0   /Question 4: 1 0 .</t>
  </si>
  <si>
    <t>s2588483</t>
  </si>
  <si>
    <t>Student UUN: s2588483  Total Mark: 67 /Task 1 mark: 11 /Task 2a mark: 5 /Task 2b mark: 20 /Task 2c mark: 24 /Task 3 mark: 7 .
[Details for Task 1:]  /Question 1: 1 1 1   /Question 2: 0 0 Should clearly state the overfitting problem.  /Question 5: 0 1 0 Need detailed explanation  /Question 6: 0 1 0 1 0   /Question 7: 0 0 1 0 1 Explain the dynamic of curve  /Question Table 1: 1  /Question Figure 2: 1  /Question 8: 0 1  /Question 9: 1 1 1 1 0   /Question Table 2: 1  /Question Figure 3: 1  /Question 10: 1 1  /Question 11: 0 0 0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0 0 0   /Question 14: 1 1 1 1 1 0 1 0 0   /Question 3: 1 1 .
[Details for Task 3:]  /Question 15: 0 0 0 1 0 0 0 0 1 0 0   /Question 4: 1 0 .</t>
  </si>
  <si>
    <t>s2589286</t>
  </si>
  <si>
    <t>Student UUN: s2589286  Total Mark: 73 /Task 1 mark: 15 /Task 2a mark: 7 /Task 2b mark: 20 /Task 2c mark: 23 /Task 3 mark: 8 .
[Details for Task 1:]  /Question 1: 1 1 1   /Question 2: 1 0   /Question 5: 1 1 0   /Question 6: 0 0 1 1 0   /Question 7: 1 1 1 1 1   /Question Table 1: 1  /Question Figure 2: 1  /Question 8: 1 1  /Question 9: 1 0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1 0 0 0 0 0 0   /Question 3: 1 1 .
[Details for Task 3:]  /Question 15: 1 1 0 1 0 0 1 0 1 0 0   /Question 4: 1 0 .</t>
  </si>
  <si>
    <t>s2590185</t>
  </si>
  <si>
    <t>Student UUN: s2590185  Total Mark: 75 /Task 1 mark: 14 /Task 2a mark: 7 /Task 2b mark: 20 /Task 2c mark: 26 /Task 3 mark: 8 .
[Details for Task 1:]  /Question 1: 1 1 1   /Question 2: 1 0   /Question 5: 1 1 0   /Question 6: 0 0 0 1 0   /Question 7: 1 1 1 1 1   /Question Table 1: 1  /Question Figure 2: 1  /Question 8: 1 1  /Question 9: 1 0 0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0 0 1 0   /Question 3: 1 1 .
[Details for Task 3:]  /Question 15: 1 0 0 1 0 1 0 0 1 0 0   /Question 4: 1 0 .</t>
  </si>
  <si>
    <t>s2590327</t>
  </si>
  <si>
    <t>Student UUN: s2590327  Total Mark: 72 /Task 1 mark: 16 /Task 2a mark: 6 /Task 2b mark: 20 /Task 2c mark: 23 /Task 3 mark: 7 .
[Details for Task 1:]  /Question 1: 1 1 1   /Question 2: 1 0   /Question 5: 1 1 1 Good to add insights about the reason of overfitting, and discuss memorisation vs generalisation  /Question 6: 1 1 0 1 0   /Question 7: 1 1 1 1 1   /Question Table 1: 1  /Question Figure 2: 1  /Question 8: 0 1  /Question 9: 1 1 1 0 0   /Question Table 2: 1  /Question Figure 3: 1  /Question 10: 1 1  /Question 11: 1 1 1 1 0  .
[Details for Task 2a:]  /Question 12: 1 0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0 0 0 0 0   /Question 3: 1 1 .
[Details for Task 3:]  /Question 15: 1 0 0 1 0 0 0 0 0 0 0   /Question 4: 1 0 .</t>
  </si>
  <si>
    <t>s2590379</t>
  </si>
  <si>
    <t>Student UUN: s2590379  Total Mark: 69 /Task 1 mark: 15 /Task 2a mark: 5 /Task 2b mark: 20 /Task 2c mark: 20 /Task 3 mark: 9 .
[Details for Task 1:]  /Question 1: 1 1 1   /Question 2: 1 0   /Question 5: 0 1 0   /Question 6: 1 1 0 1 0   /Question 7: 1 1 1 1 1   /Question Table 1: 1  /Question Figure 2: 1  /Question 8: 0 1  /Question 9: 1 1 1 0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1 0 0   /Question 14: 1 0 0 0 1 0 0 0 0   /Question 3: 1 1 .
[Details for Task 3:]  /Question 15: 1 0 0 1 0 1 1 0 1 0 0   /Question 4: 1 1 .</t>
  </si>
  <si>
    <t>s2591023</t>
  </si>
  <si>
    <t>Student UUN: s2591023  Total Mark: 74 /Task 1 mark: 15 /Task 2a mark: 5 /Task 2b mark: 20 /Task 2c mark: 26 /Task 3 mark: 8 .
[Details for Task 1:]  /Question 1: 1 1 1   /Question 2: 1 0   /Question 5: 1 1 0   /Question 6: 1 1 0 1 0   /Question 7: 1 1 1 1 1   /Question Table 1: 1  /Question Figure 2: 1  /Question 8: 1 1  /Question 9: 1 0 0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1 0 0   /Question 14: 1 1 1 1 0 1 0 1 0   /Question 3: 1 1 .
[Details for Task 3:]  /Question 15: 1 0 0 1 0 0 0 0 1 0 0   /Question 4: 1 0 .</t>
  </si>
  <si>
    <t>s2593541</t>
  </si>
  <si>
    <t>Student UUN: s2593541  Total Mark: 67 /Task 1 mark: 12 /Task 2a mark: 6 /Task 2b mark: 20 /Task 2c mark: 21 /Task 3 mark: 8 .
[Details for Task 1:]  /Question 1: 1 1 1   /Question 2: 1 0   /Question 5: 0 1 0 Need detailed explanation  /Question 6: 0 0 0 1 1 Good to discuss multiple factors for overfitting  /Question 7: 0 0 0 0 0 You misunderstand the question, we expect you to explain the dynamics of training/validation curve and observations in overfitting  /Question Table 1: 1  /Question Figure 2: 1  /Question 8: 1 1  /Question 9: 1 1 0 1 0   /Question Table 2: 1  /Question Figure 3: 1  /Question 10: 1 1  /Question 11: 1 1 1 1 0  .
[Details for Task 2a:]  /Question 12: 1 1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0 0 0 1 0 0 0   /Question 3: 1 1 .
[Details for Task 3:]  /Question 15: 1 0 0 1 0 1 1 0 1 0 0   /Question 4: 1 0 .</t>
  </si>
  <si>
    <t>s2594301</t>
  </si>
  <si>
    <t>Student UUN: s2594301  Total Mark: 66 /Task 1 mark: 11 /Task 2a mark: 5 /Task 2b mark: 20 /Task 2c mark: 23 /Task 3 mark: 7 .
[Details for Task 1:]  /Question 1: 0 0 0 Please elaborate more details about the overfitting problem and how it affects model behavior.  /Question 2: 1 0   /Question 5: 0 1 0   /Question 6: 0 0 0 1 0   /Question 7: 1 1 0 1 0   /Question Table 1: 1  /Question Figure 2: 1  /Question 8: 1 1  /Question 9: 1 1 1 1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1 0 0 0 0 0 0   /Question 3: 1 1 .
[Details for Task 3:]  /Question 15: 1 0 0 0 0 0 0 0 1 0 0   /Question 4: 1 0 .</t>
  </si>
  <si>
    <t>s2595201</t>
  </si>
  <si>
    <t>Student UUN: s2595201  Total Mark: 76 /Task 1 mark: 14 /Task 2a mark: 5 /Task 2b mark: 20 /Task 2c mark: 24 /Task 3 mark: 13 .
[Details for Task 1:]  /Question 1: 1 0 0   /Question 2: 1 0   /Question 5: 1 0 0   /Question 6: 0 1 0 1 0   /Question 7: 1 1 1 1 1   /Question Table 1: 1  /Question Figure 2: 1  /Question 8: 1 1  /Question 9: 1 1 1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0 1 1 0 1 0   /Question 3: 0 1 .
[Details for Task 3:]  /Question 15: 1 1 1 1 0 1 1 1 1 1 0   /Question 4: 1 1 .</t>
  </si>
  <si>
    <t>s2595230</t>
  </si>
  <si>
    <t>Student UUN: s2595230  Total Mark: 76 /Task 1 mark: 15 /Task 2a mark: 5 /Task 2b mark: 20 /Task 2c mark: 26 /Task 3 mark: 10 .
[Details for Task 1:]  /Question 1: 1 1 1   /Question 2: 1 0   /Question 5: 1 1 0   /Question 6: 0 0 1 1 0   /Question 7: 1 1 1 1 0   /Question Table 1: 1  /Question Figure 2: 1  /Question 8: 1 1  /Question 9: 1 1 1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1 0 0 0   /Question 3: 1 1 .
[Details for Task 3:]  /Question 15: 1 0 0 1 1 1 1 0 1 0 0   /Question 4: 1 1 .</t>
  </si>
  <si>
    <t>s2595307</t>
  </si>
  <si>
    <t>Student UUN: s2595307  Total Mark: 72 /Task 1 mark: 16 /Task 2a mark: 7 /Task 2b mark: 20 /Task 2c mark: 21 /Task 3 mark: 8 .
[Details for Task 1:]  /Question 1: 1 1 1   /Question 2: 1 0   /Question 5: 1 1 1 Good to discuss the generalisation vs memorisation.   /Question 6: 1 1 0 1 0   /Question 7: 1 1 1 1 1   /Question Table 1: 1  /Question Figure 2: 1  /Question 8: 1 1  /Question 9: 1 1 1 0 0   /Question Table 2: 1  /Question Figure 3: 1  /Question 10: 1 1  /Question 11: 1 1 1 0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1 0 0   /Question 14: 1 1 0 0 0 0 0 0 0   /Question 3: 1 1 .
[Details for Task 3:]  /Question 15: 1 0 0 1 0 0 0 0 1 0 0   /Question 4: 1 0 .</t>
  </si>
  <si>
    <t>s2596010</t>
  </si>
  <si>
    <t>Student UUN: s2596010  Total Mark: 75 /Task 1 mark: 16 /Task 2a mark: 5 /Task 2b mark: 20 /Task 2c mark: 26 /Task 3 mark: 8 .
[Details for Task 1:]  /Question 1: 1 1 1   /Question 2: 1 0   /Question 5: 1 1 0   /Question 6: 0 1 1 1 0   /Question 7: 1 1 1 1 1   /Question Table 1: 1  /Question Figure 2: 1  /Question 8: 1 1  /Question 9: 1 1 1 1 0   /Question Table 2: 1  /Question Figure 3: 1  /Question 10: 1 1  /Question 11: 1 1 1 1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0 1 1 1 0 1 0   /Question 3: 1 1 .
[Details for Task 3:]  /Question 15: 1 0 0 1 1 0 0 0 1 0 0   /Question 4: 1 1 .</t>
  </si>
  <si>
    <t>s2596768</t>
  </si>
  <si>
    <t>Student UUN: s2596768  Total Mark: 52 /Task 1 mark: 11 /Task 2a mark: 5 /Task 2b mark: 20 /Task 2c mark: 8 /Task 3 mark: 8 .
[Details for Task 1:]  /Question 1: 1 1 1   /Question 2: 0 0 should clearly state the overfitting problem.  /Question 5: 1 1 0   /Question 6: 1 1 0 1 0   /Question 7: 1 1 0 1 0   /Question Table 1: 1  /Question Figure 2: 1  /Question 8: 0 0  /Question 9: 0 0 0 0 0 No Answer  /Question Table 2: 1  /Question Figure 3: 0  /Question 10: 0 0  /Question 11: 0 0 0 0 0 No answer for this question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0  /Question Figure 4: 0  /Question 13: 0 0 0 0 0 0 0 0 0 0 0   /Question 14: 0 0 0 0 0 0 0 0 0   /Question 3: 0 0 .
[Details for Task 3:]  /Question 15: 1 0 1 0 0 0 0 0 1 0 0   /Question 4: 1 0 .</t>
  </si>
  <si>
    <t>s2596976</t>
  </si>
  <si>
    <t>Student UUN: s2596976  Total Mark: 78 /Task 1 mark: 15 /Task 2a mark: 7 /Task 2b mark: 20 /Task 2c mark: 26 /Task 3 mark: 10 .
[Details for Task 1:]  /Question 1: 1 1 1   /Question 2: 1 0   /Question 5: 1 1 0   /Question 6: 0 0 0 1 0   /Question 7: 1 1 1 1 1   /Question Table 1: 1  /Question Figure 2: 1  /Question 8: 1 1  /Question 9: 1 1 1 1 0   /Question Table 2: 1  /Question Figure 3: 1  /Question 10: 1 1  /Question 11: 1 1 1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0 0 1 0   /Question 3: 1 1 .
[Details for Task 3:]  /Question 15: 1 0 0 1 1 1 1 0 1 0 0   /Question 4: 1 1 .</t>
  </si>
  <si>
    <t>s2597885</t>
  </si>
  <si>
    <t>Student UUN: s2597885  Total Mark: 67 /Task 1 mark: 13 /Task 2a mark: 5 /Task 2b mark: 20 /Task 2c mark: 21 /Task 3 mark: 8 .
[Details for Task 1:]  /Question 1: 1 1 1   /Question 2: 1 0   /Question 5: 0 1 0   /Question 6: 1 0 1 1 0   /Question 7: 1 1 1 1 1   /Question Table 1: 1  /Question Figure 2: 1  /Question 8: 0 1  /Question 9: 1 0 0 1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0 0 0 0   /Question 3: 0 0 .
[Details for Task 3:]  /Question 15: 1 0 0 1 1 0 0 0 1 1 0   /Question 4: 1 0 .</t>
  </si>
  <si>
    <t>s2598967</t>
  </si>
  <si>
    <t>Student UUN: s2598967  Total Mark: 67 /Task 1 mark: 13 /Task 2a mark: 5 /Task 2b mark: 15 /Task 2c mark: 26 /Task 3 mark: 8 .
[Details for Task 1:]  /Question 1: 1 0 0   /Question 2: 1 0   /Question 5: 1 1 0   /Question 6: 0 1 0 1 0   /Question 7: 1 1 1 1 1   /Question Table 1: 1  /Question Figure 2: 1  /Question 8: 0 1  /Question 9: 1 0 0 1 0   /Question Table 2: 1  /Question Figure 3: 1  /Question 10: 1 1  /Question 11: 1 1 1 1 0  .
[Details for Task 2a:]  /Question 12: 1 0 0 0 0 1 0 0  .
[Details for Task 2b:]  /Fprop check for DropoutLayer: 0  /Bprop check for DropoutLayer: 0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0 0 0   /Question 14: 1 1 1 1 1 0 1 1 0   /Question 3: 1 1 .
[Details for Task 3:]  /Question 15: 1 0 0 1 1 0 0 0 0 0 0   /Question 4: 1 0 .</t>
  </si>
  <si>
    <t>s2599148</t>
  </si>
  <si>
    <t>Student UUN: s2599148  Total Mark: 80 /Task 1 mark: 16 /Task 2a mark: 7 /Task 2b mark: 20 /Task 2c mark: 27 /Task 3 mark: 10 .
[Details for Task 1:]  /Question 1: 1 1 1   /Question 2: 1 0   /Question 5: 1 1 0   /Question 6: 1 0 1 1 1 Good to discuss other techniques for improving generasation  /Question 7: 1 1 1 1 1   /Question Table 1: 1  /Question Figure 2: 1  /Question 8: 1 1  /Question 9: 1 1 1 0 0   /Question Table 2: 1  /Question Figure 3: 1  /Question 10: 1 1  /Question 11: 1 1 0 1 0  .
[Details for Task 2a:]  /Question 12: 1 1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0 0 1 1   /Question 3: 1 1 .
[Details for Task 3:]  /Question 15: 1 0 0 1 1 1 1 0 1 0 0   /Question 4: 1 1 .</t>
  </si>
  <si>
    <t>s2601274</t>
  </si>
  <si>
    <t>Student UUN: s2601274  Total Mark: 67 /Task 1 mark: 13 /Task 2a mark: 5 /Task 2b mark: 20 /Task 2c mark: 21 /Task 3 mark: 8 .
[Details for Task 1:]  /Question 1: 1 1 1   /Question 2: 1 0   /Question 5: 1 0 0   /Question 6: 0 1 1 1 1 Good to mention other possible factors for overfitting, including activations etcs.  /Question 7: 1 1 0 1 0   /Question Table 1: 1  /Question Figure 2: 1  /Question 8: 1 1  /Question 9: 1 1 1 1 0   /Question Table 2: 1  /Question Figure 3: 1  /Question 10: 1 1  /Question 11: 1 0 0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0 0 1 0 0   /Question 14: 1 1 1 1 0 1 0 0 0   /Question 3: 1 1 .
[Details for Task 3:]  /Question 15: 1 0 0 1 0 0 0 0 1 0 0   /Question 4: 1 0 .</t>
  </si>
  <si>
    <t>s2601385</t>
  </si>
  <si>
    <t>Student UUN: s2601385  Total Mark: 62 /Task 1 mark: 12 /Task 2a mark: 5 /Task 2b mark: 20 /Task 2c mark: 17 /Task 3 mark: 8 .
[Details for Task 1:]  /Question 1: 1 0 0   /Question 2: 0 0 Should clearly state the overfitting problem.  /Question 5: 1 1 0   /Question 6: 0 0 0 1 0   /Question 7: 0 0 1 1 1   /Question Table 1: 1  /Question Figure 2: 1  /Question 8: 1 1  /Question 9: 1 1 1 1 0   /Question Table 2: 1  /Question Figure 3: 1  /Question 10: 1 1  /Question 11: 1 1 1 0 0  .
[Details for Task 2a:]  /Question 12: 1 0 0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0 0 1 0 0   /Question 14: 1 1 0 1 0 0 0 0 0   /Question 3: 0 1 .
[Details for Task 3:]  /Question 15: 1 0 0 1 0 0 0 0 1 0 0   /Question 4: 1 0 .</t>
  </si>
  <si>
    <t>s2601534</t>
  </si>
  <si>
    <t>Student UUN: s2601534  Total Mark: 81 /Task 1 mark: 18 /Task 2a mark: 6 /Task 2b mark: 20 /Task 2c mark: 27 /Task 3 mark: 10 .
[Details for Task 1:]  /Question 1: 1 1 1   /Question 2: 1 0   /Question 5: 1 1 1 Proper citation, good job  /Question 6: 1 1 1 1 1 Good to discuss Empirical risk minimization with proper citations.   /Question 7: 1 1 1 1 1   /Question Table 1: 1  /Question Figure 2: 1  /Question 8: 1 1  /Question 9: 1 1 1 1 0   /Question Table 2: 1  /Question Figure 3: 1  /Question 10: 1 1  /Question 11: 1 1 1 1 0  .
[Details for Task 2a:]  /Question 12: 1 1 1 0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0   /Question 14: 1 1 1 1 1 0 1 1 0   /Question 3: 1 1 .
[Details for Task 3:]  /Question 15: 1 0 0 1 1 1 1 0 1 0 0   /Question 4: 1 1 .</t>
  </si>
  <si>
    <t>s2602065</t>
  </si>
  <si>
    <t>Student UUN: s2602065  Total Mark: 65 /Task 1 mark: 16 /Task 2a mark: 6 /Task 2b mark: 20 /Task 2c mark: 17 /Task 3 mark: 6 .
[Details for Task 1:]  /Question 1: 1 1 1 Avoid making arguments (and secondarily, and cosequentially, including citations) in your Abstract.  /Question 2: 1 0 [See precious comment]  /Question 5: 1 1 0 Bias is not specifically relevant to overfitting. An underfit model is showing "bias" in its lack of nuance. Bias is how ML works.  /Question 6: 1 0 0 1 1 Data variability has indeed some interplay with network capacity.  /Question 7: 1 1 1 1 1   /Question Table 1: 1  /Question Figure 2: 1  /Question 8: 1 1  /Question 9: 1 1 1 1 0 "good test results" - careful here as test data is something specific. You want to be explicitly specifying "training" here.  /Question Table 2: 1  /Question Figure 3: 1  /Question 10: 1 1  /Question 11: 1 1 1 1 0 Why would an increase in depth negatively affect the error but not the accuraacy? .
[Details for Task 2a:]  /Question 12: 1 0 1 0 0 1 0 1 I liked the extra detail on how the two regularisation approaches can work complementary (not just restating individual benefits).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0 0 0   /Question 14: 0 1 1 0 0 0 0 0 0 You have presented a series of 8 experiments and not 8 configurations.  /Question 3: 0 0 .
[Details for Task 3:]  /Question 15: 1 0 0 1 0 0 0 0 0 0 0 "thereby reducing it’s practical use due to lack of" ?  /Question 4: 0 0 .</t>
  </si>
  <si>
    <t>s2602230</t>
  </si>
  <si>
    <t>Student UUN: s2602230  Total Mark: 69 /Task 1 mark: 15 /Task 2a mark: 4 /Task 2b mark: 20 /Task 2c mark: 23 /Task 3 mark: 7 .
[Details for Task 1:]  /Question 1: 1 1 1   /Question 2: 1 0 The explanations here are speculation. It is not clear why the first explanation wouldn't apply to increasing layers as well, for example. The question is about giving your general observation of what is hapenning when changing these hyperparameters. Constructing an argument would fall to hte main text.  /Question 5: 1 1 0 Overfitting isn't specifically a problem with outliers. The same decreases in performance happen even with close to the average performance points.  /Question 6: 0 0 0 1 0 "If a model has
"high capacity", it will become more sensible to noise
and will tend to remember relations in the data which
are not dependent on each other." - You mean "sensitive". Zhat does it mean for a "realtion" to be "dependent" on other "relations" and how does this relate to the question?  /Question 7: 1 1 1 1 1   /Question Table 1: 1  /Question Figure 2: 1  /Question 8: 1 1  /Question 9: 1 1 1 1 0   /Question Table 2: 1  /Question Figure 3: 1  /Question 10: 1 1  /Question 11: 1 1 1 1 0 Why would sensitivity to noise affect error but not accuracy negatively? Good catch of the dicrepancy. The following statement does not say anything: "Each newly added layer may slightly improve or worsen the train-
ing error value due to the hierarchical patterns the new layer is learning." .
[Details for Task 2a:]  /Question 12: 0 0 0 0 0 1 0 0 The question is about the "how".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1 0 0   /Question 14: 1 1 1 0 1 1 0 0 0   /Question 3: 1 1 .
[Details for Task 3:]  /Question 15: 1 0 0 1 0 0 0 0 0 0 0 "overlapping is an important... issue"? Overfitting causes bad performance; it is not indicating it (similarly: pointing it out).  /Question 4: 1 0 .</t>
  </si>
  <si>
    <t>s2602238</t>
  </si>
  <si>
    <t>Student UUN: s2602238  Total Mark: 73 /Task 1 mark: 17 /Task 2a mark: 4 /Task 2b mark: 20 /Task 2c mark: 24 /Task 3 mark: 8 .
[Details for Task 1:]  /Question 1: 1 1 1   /Question 2: 1 1 Adds that this was despite some improvement in performance.  /Question 5: 1 1 0   /Question 6: 1 1 1 1 0   /Question 7: 1 1 1 1 1   /Question Table 1: 1  /Question Figure 2: 1  /Question 8: 1 1  /Question 9: 1 1 1 1 0   /Question Table 2: 1  /Question Figure 3: 1  /Question 10: 1 1  /Question 11: 1 1 1 1 0  .
[Details for Task 2a:]  /Question 12: 0 0 0 0 0 1 0 0 The question is about the "how".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0 0 1 Good final point on going towards the baseline. Based of this (though it is arguable) I am also assigning the "compare performance with baseline" point.  /Question 14: 1 1 1 1 1 0 0 0 0   /Question 3: 1 1 .
[Details for Task 3:]  /Question 15: 1 0 0 1 1 0 0 0 1 0 0   /Question 4: 1 1 .</t>
  </si>
  <si>
    <t>s2602393</t>
  </si>
  <si>
    <t>Student UUN: s2602393  Total Mark: 86 /Task 1 mark: 18 /Task 2a mark: 6 /Task 2b mark: 20 /Task 2c mark: 29 /Task 3 mark: 13 .
[Details for Task 1:]  /Question 1: 1 1 1 "Overfitting means
that the network learns the statistical noise
present in the training data, rather than the
pattern which originally generated the data." That is partially incorrect, as it will still have generally learnt something about hte pattern. As overfitting worsens, it will tend to be true.  /Question 2: 1 0 The attempt to sumarise "why" is welcome though that is not sufficient evidence to say you have overfit.  /Question 5: 1 1 0   /Question 6: 1 1 1 1 1 Good use of references and example.  /Question 7: 1 1 1 1 1   /Question Table 1: 1  /Question Figure 2: 1  /Question 8: 1 1  /Question 9: 1 1 1 1 1 Good catch on performance still improving   /Question Table 2: 1  /Question Figure 3: 1  /Question 10: 1 1  /Question 11: 1 1 1 1 1 Excellent point on the discrepancy of error vs accuracy metrics. .
[Details for Task 2a:]  /Question 12: 1 1 0 0 0 1 0 1 I like the final point where you demonstrate the equivalence of previous setups with edge cases of this one.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1 1 1 Good argument on selecting model to test. Good discussion on how the theory explains some of these results.  /Question 14: 1 1 1 1 1 1 0 0 0   /Question 3: 1 1 .
[Details for Task 3:]  /Question 15: 1 1 0 1 1 1 1 1 1 1 0   /Question 4: 1 1 .</t>
  </si>
  <si>
    <t>s2602481</t>
  </si>
  <si>
    <t>Student UUN: s2602481  Total Mark: 91 /Task 1 mark: 18 /Task 2a mark: 8 /Task 2b mark: 20 /Task 2c mark: 30 /Task 3 mark: 15 .
[Details for Task 1:]  /Question 1: 1 1 1   /Question 2: 1 0   /Question 5: 1 1 0   /Question 6: 1 1 1 1 0   /Question 7: 1 1 1 1 1   /Question Table 1: 1  /Question Figure 2: 1  /Question 8: 1 1  /Question 9: 1 1 1 1 1 [see also comment on 10+11] Very good discussion on the non-eauivalence of overfitting to bad performance  /Question Table 2: 1  /Question Figure 3: 1  /Question 10: 1 1  /Question 11: 1 1 1 1 1 Excellent catch of overfitting not necessarily meaning a degraded performance, and the separation of error and accuracy here. There is some reasoning missing in the second part after "however" as it leads back to accuracy but without explaining the difference with hte prior observation. .
[Details for Task 2a:]  /Question 12: 1 1 1 1 0 1 0 1 Gives further clarification on benefits (beyond simple combo) with evidence from paper.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1 1 0 1 Adds some comcise explanations tied to results. Discusses how strong regularization can cause problems.  /Question 14: 1 1 1 1 1 1 0 1 1 Ecxeptional analysis of the possible effects of combining different techniques.  /Question 3: 1 1 .
[Details for Task 3:]  /Question 15: 1 1 1 1 1 1 1 1 1 1 1 Very thorough analysis, drawing from (relatively) broad literature and with clear arguments.  /Question 4: 1 1 .</t>
  </si>
  <si>
    <t>s2603067</t>
  </si>
  <si>
    <t>Student UUN: s2603067  Total Mark: 70 /Task 1 mark: 16 /Task 2a mark: 6 /Task 2b mark: 20 /Task 2c mark: 20 /Task 3 mark: 8 .
[Details for Task 1:]  /Question 1: 1 1 1   /Question 2: 1 0   /Question 5: 1 0 1 Parameters don't get complex. The model does. Inference computation is the same as same computations. Good point on learning noise.  /Question 6: 1 0 0 1 0 Though I appreciate the provision of a synonym, there is not enough here to understand whether this is a contribution. I found a relevant paper, but the connection is not obvious. https://www.nature.com/articles/s41598-023-32762-7  /Question 7: 1 1 1 1 1   /Question Table 1: 1  /Question Figure 2: 1  /Question 8: 1 1  /Question 9: 1 1 1 1 1 I liked the guess at behavious of larger networks, though this should be stated less strongly.  /Question Table 2: 1  /Question Figure 3: 1  /Question 10: 1 1  /Question 11: 1 0 1 1 1 I liked the guess at behavious of larger networks, though this should be stated less strongly. .
[Details for Task 2a:]  /Question 12: 1 0 1 0 1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1 1 0 1 0 0 0   /Question 14: 1 1 0 0 1 1 0 0 0   /Question 3: 1 1 .
[Details for Task 3:]  /Question 15: 1 0 0 1 1 0 0 0 1 0 0   /Question 4: 1 1 .</t>
  </si>
  <si>
    <t>s2603149</t>
  </si>
  <si>
    <t>Student UUN: s2603149  Total Mark: 79 /Task 1 mark: 17 /Task 2a mark: 6 /Task 2b mark: 20 /Task 2c mark: 24 /Task 3 mark: 12 .
[Details for Task 1:]  /Question 1: 1 1 1   /Question 2: 1 0 "increases" not "enhances". Explains that this is because of increased network capacity, but note that this is a summarry, and not the place to present an argument.  /Question 5: 1 1 1 Interesting analogy. Not recommended as an approach as it adds very little for much text, but in this instance you at least point out the issue of memorisation.  /Question 6: 1 1 1 1 1 Good use of citation for definition.  /Question 7: 1 1 0 1 0   /Question Table 1: 1  /Question Figure 2: 1  /Question 8: 1 1  /Question 9: 1 1 1 1 1 Good elaboration on the lnk of capacity to performance, building off the evidence presented.  /Question Table 2: 1  /Question Figure 3: 1  /Question 10: 1 1  /Question 11: 1 1 0 1 0 Some repetition of general concepts and strong statements for which you only have some evidence for.  .
[Details for Task 2a:]  /Question 12: 1 0 1 1 0 1 0 0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0 1 0 There was a thorough discussion on visible trends and touched on implications.  /Question 14: 1 1 0 0 1 1 0 0 0   /Question 3: 1 1 .
[Details for Task 3:]  /Question 15: 1 1 1 1 1 1 0 0 1 1 0 Good ssuggestion. For an exceptional point here, I would like to see evidence or refinement based on what is already known in the literature (i.e. something, even incremental.small, that there seems to be no publication on. For that yu point at the closest work you can find and explain).  /Question 4: 1 1 .</t>
  </si>
  <si>
    <t>s2603272</t>
  </si>
  <si>
    <t>Student UUN: s2603272  Total Mark: 66 /Task 1 mark: 16 /Task 2a mark: 5 /Task 2b mark: 20 /Task 2c mark: 17 /Task 3 mark: 8 .
[Details for Task 1:]  /Question 1: 1 1 1 The overfit model is not more computationally expensive as the same operations take place. If you meant "to produce" that depends on your test.  /Question 2: 1 1 True, model performance can increase at first.  /Question 5: 1 1 1 "While it is fantastic to achieve perfect, or near-
perfect accuracy on the test set" - You mean to say "training". The discussion on  comp resources is reasonable only in the sense that overfitting is more likely to happen as you train more (that would have sufficed as a statement).  /Question 6: 1 1 0 1 0   /Question 7: 1 1 1 1 1   /Question Table 1: 1  /Question Figure 2: 1  /Question 8: 1 1  /Question 9: 1 0 1 1 0 "When applied
to the test set, the overfitting does not apply, but again,
the model is of no use when not applied to new data" - This statement is unclear. Overfitting is something that happems during training, and it affects performance in test/deployment.  /Question Table 2: 1  /Question Figure 3: 1  /Question 10: 1 1  /Question 11: 1 0 1 1 0  .
[Details for Task 2a:]  /Question 12: 0 0 0 0 0 1 1 0 The question is about "how" one can combine these. The metaphor did not add to the argument.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0  /Question Figure 4: 0  /Question 13: 1 1 1 0 1 1 1 0 0 0 0 0  /Question 14: 1 1 1 1 0 0 0 0 0 Though overall reasonable, it will be hard to get reasonable evidence from one configuration per combo/single method. This is somewhat mitigated from the fact that you have some results already, and I would have likeed to see that touched upon as a starting point.  /Question 3: 1 1 .
[Details for Task 3:]  /Question 15: 1 0 0 1 0 0 0 0 0 0 1 I liked the discussion on these being tools that have to be used carefully, and especially the highlight of the need to manage the hyperparameters.  /Question 4: 1 1 .</t>
  </si>
  <si>
    <t>Student UUN: s1713033  Total Mark: 64 /Task 1 mark: 15 /Task 2a mark: 7 /Task 2b mark: 20 /Task 2c mark: 14 /Task 3 mark: 8 .
[Details for Task 1:]  /Question 1: 1 1 1 You probably meant "validation error", not "variance error".  /Question 2: 1 0   /Question 5: 1 1 1 Note that "loads of training data" might, in fact, prevent the overfitting of the big model. Also, a slowdown is caused more significantly in training, not in performance. Good point on memorization.  /Question 6: 1 0 0 1 0   /Question 7: 0 1 1 1 1 You should specify that "local maxima" refers to validation accuracy.  /Question Table 1: 1  /Question Figure 2: 1  /Question 8: 1 1  /Question 9: 1 0 1 1 0   /Question Table 2: 1  /Question Figure 3: 1  /Question 10: 1 1  /Question 11: 1 1 1 0 0  .
[Details for Task 2a:]  /Question 12: 1 1 1 0 1 1 0 0 The question only asks "how" and does not require interpretation of results from Table 3.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0  /Question 13: 0 0 0 0 0 0 1 0 0 0 0   /Question 14: 1 1 0 0 1 1 0 0 0 The answer only asks for 8 experiments but it seems that 10 are indicated: 5 dropout x 2 regularization combinations. Additionally, the second part of the answer seems to suggest some experiments which are not required for this question; if they were meant for Q13, still more work would be needed as the results should align with the ones in the table.  /Question 3: 0 0 .
[Details for Task 3:]  /Question 15: 1 0 0 1 1 0 0 0 1 0 0   /Question 4: 1 1 .</t>
  </si>
  <si>
    <t>Student UUN: s1808795  Total Mark: 79 /Task 1 mark: 17 /Task 2a mark: 9 /Task 2b mark: 20 /Task 2c mark: 21 /Task 3 mark: 12 .
[Details for Task 1:]  /Question 1: 1 1 1 An overfitting model also learns the "underlying patterns". It learns noise in addition to it, not instead/"rather".  /Question 2: 1 0 Overfitting happens on training data, not "on noise".  /Question 5: 1 0 1 Good point on memorization and applicability.  /Question 6: 1 0 0 1 0   /Question 7: 1 1 1 1 1   /Question Table 1: 1  /Question Figure 2: 1  /Question 8: 1 1  /Question 9: 1 1 1 1 1 Indeed, wider models lead to a more complex higher-dimensional error landscape.  /Question Table 2: 1  /Question Figure 3: 1  /Question 10: 1 1  /Question 11: 1 1 1 1 1 Indeed, deeper models lead to a more complex error landscape. Also, nice additional observation of the training behavior between epochs 40-50. .
[Details for Task 2a:]  /Question 12: 1 1 1 1 1 1 0 1 Great point on how the parameters could control the proportion of each regularization type, including switching one on or off.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0 0 1 1 1 0 1 0 Good notice that the trend for L1  is sharper than for L2 when considering the same values.  /Question 14: 1 1 0 0 1 1 0 0 0   /Question 3: 1 1 .
[Details for Task 3:]  /Question 15: 1 0 0 1 0 1 1 1 1 1 1 A very comprehensive discussion of potential future work.  /Question 4: 1 1 .</t>
  </si>
  <si>
    <t>Student UUN: s1929142  Total Mark: 71 /Task 1 mark: 14 /Task 2a mark: 9 /Task 2b mark: 20 /Task 2c mark: 20 /Task 3 mark: 8 .
[Details for Task 1:]  /Question 1: 1 1 1   /Question 2: 1 0   /Question 5: 1 0 1 True, "model’s practical
utility is severely diminished"  /Question 6: 1 1 0 1 0   /Question 7: 1 1 1 0 0   /Question Table 1: 1  /Question Figure 2: 1  /Question 8: 1 1  /Question 9: 1 1 1 0 0   /Question Table 2: 1  /Question Figure 3: 1  /Question 10: 1 1  /Question 11: 1 0 1 1 0  .
[Details for Task 2a:]  /Question 12: 1 1 1 1 1 1 0 1 Good point on Elastic Net allowing to control L1 and L2 trade-off.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0 1 0 0   /Question 14: 1 1 0 0 0 0 0 0 0   /Question 3: 1 1 .
[Details for Task 3:]  /Question 15: 1 1 0 1 0 0 0 0 1 0 0   /Question 4: 1 0 .</t>
  </si>
  <si>
    <t>Student UUN: s1969917  Total Mark: 70 /Task 1 mark: 17 /Task 2a mark: 5 /Task 2b mark: 20 /Task 2c mark: 20 /Task 3 mark: 8 .
[Details for Task 1:]  /Question 1: 1 1 1 The question does not ask about the causes of overfitting, only about why it is a problem.  /Question 2: 1 0 The question does not ask how to deal with overfitting.  /Question 5: 1 0 1 True, "practical applicability" becomes limited.  /Question 6: 1 0 0 1 0 A dataset does not contain "comprehensive generalized features", it is what we want the model to extract during its learning process.  /Question 7: 1 1 1 1 1   /Question Table 1: 1  /Question Figure 2: 1  /Question 8: 1 1  /Question 9: 1 1 1 1 1 Good referencing and great that you notice how your work is different from the one in the literature.  /Question Table 2: 1  /Question Figure 3: 1  /Question 10: 1 1  /Question 11: 1 1 1 1 1 Elaboration and comparisons between increasing width and depth are great but it should not be stated as strongly that wider models are less prone to overfitting than deeper ones because the chosen width and depth values are arbitrary. Good use of reference. .
[Details for Task 2a:]  /Question 12: 0 0 0 0 1 1 0 1 Indeed, we need to consider the balance between L1 and L2 for the best results.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0 1 0 1 0 1 0 1 0 "the dropout model with an inclusion probability of 0.97 appears to be the most effective" - this is only true for validadation accuracy. In terms of generalization gap, lower valus of p are better. Good elaboration on why more regularized models could perform worse.  /Question 14: 1 1 0 1 0 1 0 0 0   /Question 3: 1 1 .
[Details for Task 3:]  /Question 15: 1 0 0 1 1 0 0 0 1 0 0 "Considering the literature discussed in Session 5" - it is not clear what the section 5 refers to - conclusion itself is section 5. To earn a point for AdamW, which could definitely be part of the future work, it would have to cited explicitly.  /Question 4: 1 1 .</t>
  </si>
  <si>
    <t>Student UUN: s1988734  Total Mark: 73 /Task 1 mark: 15 /Task 2a mark: 6 /Task 2b mark: 20 /Task 2c mark: 21 /Task 3 mark: 11 .
[Details for Task 1:]  /Question 1: 1 1 1   /Question 2: 1 0   /Question 5: 1 1 1 Good point on memorization and applicability.  /Question 6: 1 0 0 1 1 Yes, task complexity and the amount of data influences model's capacity.  /Question 7: 1 1 1 0 0   /Question Table 1: 1  /Question Figure 2: 1  /Question 8: 1 1  /Question 9: 1 1 1 1 0   /Question Table 2: 1  /Question Figure 3: 1  /Question 10: 1 1  /Question 11: 1 1 1 0 0  .
[Details for Task 2a:]  /Question 12: 1 0 0 1 0 1 0 1 Good explanation on where the combined effect could be useful.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0 1 0 1 1 0 0 0 0   /Question 14: 1 1 1 1 1 0 0 1 1 Excellent structuring of experiments and goal diversity that goes into specifics of different ways to examine the balance between weight penaly and sparsity.  /Question 3: 1 1 .
[Details for Task 3:]  /Question 15: 1 1 1 1 1 1 0 0 1 0 1 Good suggestion of the future work involving automated hyper-parameter tuning. This coursework possibly showed that it can be difficult to find the best combination manually and so automated techniques would allow more efficiently to decide on the best combinations.  /Question 4: 1 0 .</t>
  </si>
  <si>
    <t>Student UUN: s2058118  Total Mark: 75 /Task 1 mark: 16 /Task 2a mark: 5 /Task 2b mark: 20 /Task 2c mark: 26 /Task 3 mark: 8 .
[Details for Task 1:]  /Question 1: 1 1 1   /Question 2: 1 1 Yes, the performance initially increases.  /Question 5: 1 0 1 Great use of references.  /Question 6: 1 1 0 1 0   /Question 7: 1 1 1 1 1   /Question Table 1: 1  /Question Figure 2: 1  /Question 8: 1 1  /Question 9: 1 1 1 0 0   /Question Table 2: 1  /Question Figure 3: 1  /Question 10: 1 1  /Question 11: 1 1 1 0 0 "increasing the depth had a smaller impact than increasing the width" - the statement is too strong, it is only true for the specific width/depth configurations we have. .
[Details for Task 2a:]  /Question 12: 0 0 1 1 0 1 0 1 Good use of additional reference. .
[Details for Task 2b:]  /Fprop check for DropoutLayer: 1  /Bprop check for DropoutLayer: 1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0 1 1 1 1 1 0 0 0 0   /Question 14: 1 1 1 1 1 1 1 1 0 Although literature is not explicitly mentioned,  checking if L1 and L2 can "work jointly as theory" is sufficient, since 2 works were cited in Q12.  /Question 3: 1 1 .
[Details for Task 3:]  /Question 15: 1 0 0 1 0 0 0 0 1 0 0 For an exceptional point, it would be great to mention why an automatic parameter tester would be useful.  /Question 4: 1 1 .</t>
  </si>
  <si>
    <t>Student UUN: s2098340  Total Mark: 68 /Task 1 mark: 16 /Task 2a mark: 5 /Task 2b mark: 15 /Task 2c mark: 23 /Task 3 mark: 9 .
[Details for Task 1:]  /Question 1: 1 1 1   /Question 2: 1 1 Yes, the number of epochs plays a role.  /Question 5: 1 1 1 Good point on "direct mapping/memorization".  /Question 6: 1 1 1 1 0   /Question 7: 1 0 0 1 0 "training accuracy continues to increase
while it’s validation error continues to decrease" - you probably meant "validation accuracy". Also, you had to specify the pivot point and explain how the validation curves change with respect to it.  /Question Table 1: 1  /Question Figure 2: 1  /Question 8: 1 1  /Question 9: 1 1 1 1 0   /Question Table 2: 1  /Question Figure 3: 1  /Question 10: 1 1  /Question 11: 1 0 1 1 1 Nice speculation that adding further layers would result in less clear impact. .
[Details for Task 2a:]  /Question 12: 0 1 0 0 1 1 0 0 Lp is a general form of regularization expressed in terms of p-norm. The question asks about the combination of p=1 (L1/Lasso) and p=2 (L2/Ridge) regularizations. .
[Details for Task 2b:]  /Fprop check for DropoutLayer: 0  /Bprop check for DropoutLayer: 0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0 1 1 0 0 1 1 Good catch that "curves for L1 are much harsher than L2" and elaboration on that. Good analysis of the best model's progression through training.  /Question 14: 1 1 0 0 1 0 0 0 1 Good hypothesis and reasoning on possible results. However note that dropout does not "slow down the effects of back-propagation", in fact it speeds it up. What you probably meant its it randomly prevents some weight updates, which overall results in fewer total updates. One could also say more time is needed for convergence when dropout is used.  /Question 3: 1 1 .
[Details for Task 3:]  /Question 15: 1 0 1 1 1 0 0 0 1 0 0 You should avoid hypotheses in conclusions, otherwise, it could be presented as reason for a future work and should be summarized in your case since you present the exact same sentence in the previous question.  /Question 4: 1 1 .</t>
  </si>
  <si>
    <t>Student UUN: s2106887  Total Mark: 82 /Task 1 mark: 16 /Task 2a mark: 6 /Task 2b mark: 18 /Task 2c mark: 29 /Task 3 mark: 13 .
[Details for Task 1:]  /Question 1: 1 1 1   /Question 2: 1 0 Since you mention "peak accuracy", you should specify it refers to validation accuracy.  /Question 5: 1 1 1 Good point on applicability.  /Question 6: 1 0 0 1 0   /Question 7: 1 1 1 1 1   /Question Table 1: 1  /Question Figure 2: 1  /Question 8: 1 1  /Question 9: 1 1 1 0 1 Good elaboration on the importance of early stopping.  /Question Table 2: 1  /Question Figure 3: 1  /Question 10: 1 1  /Question 11: 1 1 1 0 1 Again, good elaboration on early stopping. .
[Details for Task 2a:]  /Question 12: 1 1 0 0 0 1 0 0  .
[Details for Task 2b:]  /Fprop check for DropoutLayer: 1  /Bprop check for DropoutLayer: 0  /Call func for L1Penalty: 1  /Grad check for L1Penalty: 1  /Call func for L2Penalty: 1  /Grad check for L2Penalty: 1  /Effort
2: means with test package
1: means with code but no test package
0: means no code or test package &gt;&gt; 2 .
[Details for Task 2c:]  /Question Table 3: 1  /Question Figure 4: 1  /Question 13: 1 1 1 1 1 1 1 1 0 1 0 Good speculation on which regularization tenchnique prevents overfitting the most.  /Question 14: 1 1 1 1 1 1 0 1 0   /Question 3: 1 1 .
[Details for Task 3:]  /Question 15: 1 1 1 1 0 1 1 1 1 1 0   /Question 4: 1 1 .</t>
  </si>
  <si>
    <t>Student UUN: s2358436  Total Mark: 0 /Task 1 mark: 0 /Task 2a mark: 0 /Task 2b mark: 0 /Task 2c mark: 0 /Task 3 mark: 0 .
[Details for Task 1:]  /Question 1:    Empty Submission (no report or code).  /Question 2:     /Question 5:      /Question 6:        /Question 7:        /Question Table 1:   /Question Figure 2:   /Question 8:    /Question 9:        /Question Table 2:   /Question Figure 3:   /Question 10:    /Question 11:       .
[Details for Task 2a:]  /Question 12:          .
[Details for Task 2b:]  /Fprop check for DropoutLayer: 0  /Bprop check for DropoutLayer: 0  /Call func for L1Penalty: 0  /Grad check for L1Penalty: 0  /Call func for L2Penalty: 0  /Grad check for L2Penalty: 0  /Effort
2: means with test package
1: means with code but no test package
0: means no code or test package &gt;&gt; 0 .
[Details for Task 2c:]  /Question Table 3:   /Question Figure 4:   /Question 13:              /Question 14:            /Question 3:   .
[Details for Task 3:]  /Question 15:              /Question 4:   .</t>
  </si>
  <si>
    <t>2023-10-27-11-50-22</t>
  </si>
  <si>
    <t>2023-10-31-10-51-20</t>
  </si>
  <si>
    <t>2023-10-26-18-20-04</t>
  </si>
  <si>
    <t>2023-10-27-04-35-55</t>
  </si>
  <si>
    <t>2023-10-30-09-55-15</t>
  </si>
  <si>
    <t>2023-10-23-03-12-32</t>
  </si>
  <si>
    <t>2023-10-26-17-20-50</t>
  </si>
  <si>
    <t>2023-10-26-21-20-01</t>
  </si>
  <si>
    <t>2023-10-29-12-31-23</t>
  </si>
  <si>
    <t>2023-10-30-11-54-30</t>
  </si>
  <si>
    <t>2023-10-30-11-59-49</t>
  </si>
  <si>
    <t>2023-10-26-22-17-19</t>
  </si>
  <si>
    <t>2023-10-30-02-04-56</t>
  </si>
  <si>
    <t>2023-10-30-05-37-23</t>
  </si>
  <si>
    <t>2023-10-30-05-38-51</t>
  </si>
  <si>
    <t>2023-10-25-19-39-17</t>
  </si>
  <si>
    <t>2023-10-30-09-34-42</t>
  </si>
  <si>
    <t>2023-10-30-09-46-42</t>
  </si>
  <si>
    <t>2023-10-30-09-48-14</t>
  </si>
  <si>
    <t>2023-10-24-15-52-16</t>
  </si>
  <si>
    <t>2023-10-26-00-00-57</t>
  </si>
  <si>
    <t>2023-10-27-02-19-43</t>
  </si>
  <si>
    <t>2023-10-27-03-22-16</t>
  </si>
  <si>
    <t>2023-10-27-11-20-15</t>
  </si>
  <si>
    <t>2023-10-27-09-32-51</t>
  </si>
  <si>
    <t>2023-10-27-08-25-45</t>
  </si>
  <si>
    <t>2023-10-27-09-09-15</t>
  </si>
  <si>
    <t>2023-10-27-09-27-02</t>
  </si>
  <si>
    <t>2023-10-29-16-16-21</t>
  </si>
  <si>
    <t>2023-10-26-17-12-46</t>
  </si>
  <si>
    <t>2023-10-26-18-27-10</t>
  </si>
  <si>
    <t>2023-10-26-21-57-10</t>
  </si>
  <si>
    <t>2023-10-27-11-51-20</t>
  </si>
  <si>
    <t>2023-10-25-11-19-30</t>
  </si>
  <si>
    <t>2023-10-26-22-18-37</t>
  </si>
  <si>
    <t>2023-10-29-23-58-05</t>
  </si>
  <si>
    <t>2023-10-30-11-45-58</t>
  </si>
  <si>
    <t>2023-10-26-01-09-58</t>
  </si>
  <si>
    <t>2023-10-30-11-57-23</t>
  </si>
  <si>
    <t>2023-10-27-08-00-49</t>
  </si>
  <si>
    <t>2023-10-30-10-24-43</t>
  </si>
  <si>
    <t>2023-10-27-03-31-10</t>
  </si>
  <si>
    <t>2023-10-27-10-42-37</t>
  </si>
  <si>
    <t>2023-10-27-02-42-27</t>
  </si>
  <si>
    <t>2023-10-26-09-54-04</t>
  </si>
  <si>
    <t>2023-10-27-09-36-33</t>
  </si>
  <si>
    <t>2023-10-26-11-57-59</t>
  </si>
  <si>
    <t>2023-10-27-01-30-54</t>
  </si>
  <si>
    <t>2023-10-26-19-37-18</t>
  </si>
  <si>
    <t>2023-10-26-00-29-34</t>
  </si>
  <si>
    <t>2023-10-25-02-15-53</t>
  </si>
  <si>
    <t>2023-10-26-17-00-49</t>
  </si>
  <si>
    <t>2023-10-26-15-00-22</t>
  </si>
  <si>
    <t>2023-10-27-05-52-11</t>
  </si>
  <si>
    <t>2023-10-30-11-04-08</t>
  </si>
  <si>
    <t>2023-10-30-10-18-47</t>
  </si>
  <si>
    <t>2023-10-27-11-01-53</t>
  </si>
  <si>
    <t>2023-10-29-01-41-03</t>
  </si>
  <si>
    <t>2023-10-26-22-27-11</t>
  </si>
  <si>
    <t>2023-10-27-03-19-04</t>
  </si>
  <si>
    <t>2023-10-27-03-28-55</t>
  </si>
  <si>
    <t>2023-10-24-19-57-02</t>
  </si>
  <si>
    <t>2023-10-25-11-27-32</t>
  </si>
  <si>
    <t>2023-10-25-11-46-39</t>
  </si>
  <si>
    <t>2023-10-26-14-43-22</t>
  </si>
  <si>
    <t>2023-10-26-15-18-02</t>
  </si>
  <si>
    <t>2023-10-26-15-31-51</t>
  </si>
  <si>
    <t>2023-10-26-15-57-10</t>
  </si>
  <si>
    <t>2023-10-26-17-38-01</t>
  </si>
  <si>
    <t>2023-10-26-23-57-15</t>
  </si>
  <si>
    <t>2023-10-27-00-07-51</t>
  </si>
  <si>
    <t>2023-10-27-10-35-13</t>
  </si>
  <si>
    <t>2023-10-30-11-04-59</t>
  </si>
  <si>
    <t>2023-10-27-11-02-16</t>
  </si>
  <si>
    <t>2023-10-26-22-39-15</t>
  </si>
  <si>
    <t>2023-10-27-10-55-43</t>
  </si>
  <si>
    <t>2023-10-27-11-52-02</t>
  </si>
  <si>
    <t>2023-10-27-06-59-08</t>
  </si>
  <si>
    <t>2023-10-27-03-51-57</t>
  </si>
  <si>
    <t>2023-10-27-10-01-07</t>
  </si>
  <si>
    <t>2023-10-30-09-23-39</t>
  </si>
  <si>
    <t>2023-10-27-11-39-10</t>
  </si>
  <si>
    <t>2023-10-27-11-56-48</t>
  </si>
  <si>
    <t>2023-10-27-11-36-57</t>
  </si>
  <si>
    <t>2023-10-27-09-14-31</t>
  </si>
  <si>
    <t>2023-10-26-23-29-55</t>
  </si>
  <si>
    <t>2023-10-27-00-10-18</t>
  </si>
  <si>
    <t>2023-10-27-11-09-34</t>
  </si>
  <si>
    <t>2023-10-27-09-50-47</t>
  </si>
  <si>
    <t>2023-10-27-11-45-20</t>
  </si>
  <si>
    <t>2023-11-01-11-01-35</t>
  </si>
  <si>
    <t>2023-10-26-16-55-51</t>
  </si>
  <si>
    <t>2023-10-27-05-04-33</t>
  </si>
  <si>
    <t>2023-10-27-05-32-14</t>
  </si>
  <si>
    <t>2023-10-26-13-06-43</t>
  </si>
  <si>
    <t>2023-10-27-03-57-04</t>
  </si>
  <si>
    <t>2023-10-27-07-45-16</t>
  </si>
  <si>
    <t>2023-10-27-07-46-45</t>
  </si>
  <si>
    <t>2023-10-26-23-11-07</t>
  </si>
  <si>
    <t>2023-10-27-11-27-58</t>
  </si>
  <si>
    <t>2023-10-24-10-14-17</t>
  </si>
  <si>
    <t>2023-10-27-11-53-10</t>
  </si>
  <si>
    <t>2023-10-27-11-59-13</t>
  </si>
  <si>
    <t>2023-10-30-20-20-57</t>
  </si>
  <si>
    <t>2023-10-26-16-19-06</t>
  </si>
  <si>
    <t>2023-10-27-06-42-50</t>
  </si>
  <si>
    <t>2023-10-27-07-12-33</t>
  </si>
  <si>
    <t>2023-10-27-10-08-56</t>
  </si>
  <si>
    <t>2023-10-27-10-19-30</t>
  </si>
  <si>
    <t>2023-10-27-10-53-32</t>
  </si>
  <si>
    <t>2023-10-27-01-39-58</t>
  </si>
  <si>
    <t>2023-10-26-22-34-04</t>
  </si>
  <si>
    <t>2023-10-27-04-09-44</t>
  </si>
  <si>
    <t>2023-10-27-10-39-25</t>
  </si>
  <si>
    <t>2023-10-27-11-32-19</t>
  </si>
  <si>
    <t>2023-10-27-11-47-07</t>
  </si>
  <si>
    <t>2023-10-26-19-33-37</t>
  </si>
  <si>
    <t>2023-10-29-10-07-41</t>
  </si>
  <si>
    <t>2023-10-27-00-47-06</t>
  </si>
  <si>
    <t>2023-10-30-08-14-40</t>
  </si>
  <si>
    <t>2023-10-27-02-10-19</t>
  </si>
  <si>
    <t>2023-10-25-18-50-52</t>
  </si>
  <si>
    <t>2023-10-26-15-03-42</t>
  </si>
  <si>
    <t>2023-10-27-11-45-41</t>
  </si>
  <si>
    <t>2023-10-30-11-50-44</t>
  </si>
  <si>
    <t>2023-11-16-20-21-11</t>
  </si>
  <si>
    <t>2023-10-27-07-24-29</t>
  </si>
  <si>
    <t>2023-10-25-23-52-21</t>
  </si>
  <si>
    <t>2023-10-25-23-57-35</t>
  </si>
  <si>
    <t>2023-10-30-00-47-52</t>
  </si>
  <si>
    <t>2023-10-30-10-30-15</t>
  </si>
  <si>
    <t>2023-10-27-07-18-11</t>
  </si>
  <si>
    <t>2023-10-27-10-50-36</t>
  </si>
  <si>
    <t>2023-10-30-09-05-06</t>
  </si>
  <si>
    <t>2023-10-29-17-23-37</t>
  </si>
  <si>
    <t>2023-10-26-17-22-21</t>
  </si>
  <si>
    <t>2023-10-30-06-55-43</t>
  </si>
  <si>
    <t>2023-10-27-11-26-53</t>
  </si>
  <si>
    <t>2023-10-27-11-55-58</t>
  </si>
  <si>
    <t>2023-10-27-11-58-28</t>
  </si>
  <si>
    <t>2023-10-27-03-38-53</t>
  </si>
  <si>
    <t>2023-10-30-00-04-37</t>
  </si>
  <si>
    <t>2023-10-27-11-41-37</t>
  </si>
  <si>
    <t>2023-10-27-04-11-47</t>
  </si>
  <si>
    <t>2023-10-26-23-22-13</t>
  </si>
  <si>
    <t>2023-10-27-06-56-45</t>
  </si>
  <si>
    <t>2023-10-27-11-31-06</t>
  </si>
  <si>
    <t>2023-10-29-20-53-03</t>
  </si>
  <si>
    <t>2023-10-25-02-27-50</t>
  </si>
  <si>
    <t>2023-10-25-02-37-09</t>
  </si>
  <si>
    <t>2023-10-25-09-55-43</t>
  </si>
  <si>
    <t>2023-10-25-14-42-21</t>
  </si>
  <si>
    <t>2023-10-26-23-26-11</t>
  </si>
  <si>
    <t>2023-10-25-10-46-40</t>
  </si>
  <si>
    <t>2023-10-29-23-09-31</t>
  </si>
  <si>
    <t>2023-10-27-11-10-17</t>
  </si>
  <si>
    <t>2023-10-27-04-10-52</t>
  </si>
  <si>
    <t>2023-10-27-11-06-51</t>
  </si>
  <si>
    <t>2023-10-24-01-18-07</t>
  </si>
  <si>
    <t>2023-10-25-18-47-34</t>
  </si>
  <si>
    <t>2023-10-25-19-42-05</t>
  </si>
  <si>
    <t>2023-10-27-11-58-31</t>
  </si>
  <si>
    <t>2023-10-27-00-36-15</t>
  </si>
  <si>
    <t>2023-10-25-11-48-00</t>
  </si>
  <si>
    <t>2023-10-25-22-07-07</t>
  </si>
  <si>
    <t>2023-10-27-12-00-58</t>
  </si>
  <si>
    <t>2023-10-24-20-08-47</t>
  </si>
  <si>
    <t>2023-10-27-08-42-20</t>
  </si>
  <si>
    <t>2023-10-24-13-35-40</t>
  </si>
  <si>
    <t>2023-10-26-15-23-05</t>
  </si>
  <si>
    <t>2023-10-26-15-33-33</t>
  </si>
  <si>
    <t>2023-10-27-05-19-34</t>
  </si>
  <si>
    <t>2023-10-25-14-06-11</t>
  </si>
  <si>
    <t>2023-10-23-22-06-35</t>
  </si>
  <si>
    <t>2023-10-23-22-25-18</t>
  </si>
  <si>
    <t>2023-10-23-22-50-04</t>
  </si>
  <si>
    <t>2023-10-26-23-57-53</t>
  </si>
  <si>
    <t>2023-10-26-23-59-51</t>
  </si>
  <si>
    <t>2023-10-27-00-01-43</t>
  </si>
  <si>
    <t>2023-10-27-07-08-32</t>
  </si>
  <si>
    <t>2023-10-25-20-47-37</t>
  </si>
  <si>
    <t>2023-10-27-01-10-46</t>
  </si>
  <si>
    <t>2023-10-27-01-37-21</t>
  </si>
  <si>
    <t>2023-10-27-11-56-41</t>
  </si>
  <si>
    <t>2023-10-27-02-57-33</t>
  </si>
  <si>
    <t>2023-10-26-23-33-57</t>
  </si>
  <si>
    <t>2023-10-27-05-48-44</t>
  </si>
  <si>
    <t>2023-10-26-19-19-43</t>
  </si>
  <si>
    <t>2023-10-26-16-43-44</t>
  </si>
  <si>
    <t>2023-10-27-09-20-39</t>
  </si>
  <si>
    <t>2023-10-26-19-57-17</t>
  </si>
  <si>
    <t>2023-10-27-09-59-51</t>
  </si>
  <si>
    <t>2023-10-27-02-55-21</t>
  </si>
  <si>
    <t>2023-10-26-09-49-50</t>
  </si>
  <si>
    <t>2023-10-27-09-39-27</t>
  </si>
  <si>
    <t>2023-10-27-10-12-13</t>
  </si>
  <si>
    <t>2023-10-27-09-39-03</t>
  </si>
  <si>
    <t>2023-10-27-11-56-13</t>
  </si>
  <si>
    <t>2023-10-26-23-02-47</t>
  </si>
  <si>
    <t>2023-10-28-11-55-00</t>
  </si>
  <si>
    <t>2023-10-27-11-44-24</t>
  </si>
  <si>
    <t>2023-10-27-11-52-56</t>
  </si>
  <si>
    <t>2023-10-27-05-20-14</t>
  </si>
  <si>
    <t>2023-10-27-09-36-44</t>
  </si>
  <si>
    <t>2023-10-27-00-38-12</t>
  </si>
  <si>
    <t>2023-10-27-11-07-50</t>
  </si>
  <si>
    <t>2023-10-27-05-07-29</t>
  </si>
  <si>
    <t>2023-10-27-11-57-49</t>
  </si>
  <si>
    <t>2023-10-26-22-14-54</t>
  </si>
  <si>
    <t>2023-10-26-23-59-55</t>
  </si>
  <si>
    <t>2023-10-27-00-40-01</t>
  </si>
  <si>
    <t>2023-10-27-06-38-03</t>
  </si>
  <si>
    <t>2023-10-26-22-24-57</t>
  </si>
  <si>
    <t>2023-10-26-22-30-06</t>
  </si>
  <si>
    <t>2023-10-27-01-02-12</t>
  </si>
  <si>
    <t>2023-10-27-01-10-54</t>
  </si>
  <si>
    <t>2023-10-27-01-19-19</t>
  </si>
  <si>
    <t>2023-10-26-22-10-31</t>
  </si>
  <si>
    <t>2023-10-27-00-40-45</t>
  </si>
  <si>
    <t>2023-10-27-08-53-10</t>
  </si>
  <si>
    <t>2023-10-27-01-22-23</t>
  </si>
  <si>
    <t>2023-10-27-10-55-08</t>
  </si>
  <si>
    <t>2023-10-26-14-28-33</t>
  </si>
  <si>
    <t>2023-10-27-03-36-32</t>
  </si>
  <si>
    <t>2023-10-27-00-20-34</t>
  </si>
  <si>
    <t>2023-10-27-10-38-29</t>
  </si>
  <si>
    <t>2023-10-26-18-38-56</t>
  </si>
  <si>
    <t>2023-10-27-03-24-37</t>
  </si>
  <si>
    <t>2023-10-29-23-43-58</t>
  </si>
  <si>
    <t>2023-10-27-11-08-59</t>
  </si>
  <si>
    <t>2023-10-27-01-34-55</t>
  </si>
  <si>
    <t>2023-10-27-10-59-38</t>
  </si>
  <si>
    <t>2023-10-27-09-05-44</t>
  </si>
  <si>
    <t>2023-10-30-10-44-59</t>
  </si>
  <si>
    <t>2023-10-26-12-41-12</t>
  </si>
  <si>
    <t>2023-10-27-03-05-04</t>
  </si>
  <si>
    <t>2023-10-30-04-34-10</t>
  </si>
  <si>
    <t>2023-10-27-11-59-49</t>
  </si>
  <si>
    <t>2023-10-24-16-32-29</t>
  </si>
  <si>
    <t>2023-10-25-07-28-26</t>
  </si>
  <si>
    <t>2023-10-26-22-07-09</t>
  </si>
  <si>
    <t>2023-10-30-12-09-24</t>
  </si>
  <si>
    <t>2023-10-27-05-28-09</t>
  </si>
  <si>
    <t>2023-10-27-10-01-55</t>
  </si>
  <si>
    <t>2023-10-27-11-31-11</t>
  </si>
  <si>
    <t>2023-10-27-12-01-36</t>
  </si>
  <si>
    <t>2023-10-26-22-46-56</t>
  </si>
  <si>
    <t>2023-10-26-23-42-27</t>
  </si>
  <si>
    <t>2023-10-27-11-38-13</t>
  </si>
  <si>
    <t>2023-10-27-11-46-36</t>
  </si>
  <si>
    <t>2023-10-25-20-31-44</t>
  </si>
  <si>
    <t>2023-10-27-05-53-59</t>
  </si>
  <si>
    <t>2023-10-26-23-04-35</t>
  </si>
  <si>
    <t>2023-10-26-23-05-22</t>
  </si>
  <si>
    <t>2023-10-29-11-52-24</t>
  </si>
  <si>
    <t>2023-10-25-16-54-24</t>
  </si>
  <si>
    <t>2023-10-27-04-57-31</t>
  </si>
  <si>
    <t>2023-10-27-11-47-57</t>
  </si>
  <si>
    <t>2023-10-27-04-17-10</t>
  </si>
  <si>
    <t>2023-10-28-14-11-39</t>
  </si>
  <si>
    <t>2023-10-26-22-17-28</t>
  </si>
  <si>
    <t>2023-10-27-09-31-22</t>
  </si>
  <si>
    <t>2023-10-27-11-59-35</t>
  </si>
  <si>
    <t>2023-10-26-23-18-59</t>
  </si>
  <si>
    <t>2023-10-27-01-24-03</t>
  </si>
  <si>
    <t>2023-10-27-09-11-11</t>
  </si>
  <si>
    <t>2023-10-30-11-54-27</t>
  </si>
  <si>
    <t>2023-10-27-11-50-48</t>
  </si>
  <si>
    <t>2023-10-30-09-11-09</t>
  </si>
  <si>
    <t>2023-10-27-11-13-53</t>
  </si>
  <si>
    <t>2023-10-27-11-29-56</t>
  </si>
  <si>
    <t>2023-10-27-11-45-05</t>
  </si>
  <si>
    <t>2023-10-27-10-19-05</t>
  </si>
  <si>
    <t>2023-10-26-17-36-56</t>
  </si>
  <si>
    <t>2023-10-26-22-45-28</t>
  </si>
  <si>
    <t>2023-10-30-11-24-20</t>
  </si>
  <si>
    <t>Same UUN</t>
  </si>
  <si>
    <t>Same Date</t>
  </si>
  <si>
    <t>Marked Early</t>
  </si>
  <si>
    <t>All subs at Late point</t>
  </si>
  <si>
    <t>Early Sub date</t>
  </si>
  <si>
    <t>Early UUN</t>
  </si>
  <si>
    <t>Late UUN</t>
  </si>
  <si>
    <t>Late Sub date</t>
  </si>
  <si>
    <t>UUN</t>
  </si>
  <si>
    <t>Double Sub Date</t>
  </si>
  <si>
    <t>Was fake date</t>
  </si>
  <si>
    <t>Before 1st pull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</si>
</sst>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rgb="FF000000"/>
      <name val="Calibri"/>
      <family val="2"/>
      <charset val="1"/>
    </font>
    <font>
      <b/>
      <sz val="8"/>
      <color rgb="FF000000"/>
      <name val="Calibri"/>
      <family val="2"/>
      <charset val="1"/>
    </font>
    <font>
      <b/>
      <sz val="11"/>
      <color rgb="FF000000"/>
      <name val="Calibri"/>
      <family val="2"/>
      <charset val="1"/>
    </font>
    <font>
      <sz val="8"/>
      <color rgb="FF000000"/>
      <name val="Calibri"/>
      <family val="2"/>
      <charset val="1"/>
    </font>
    <font>
      <sz val="9"/>
      <color rgb="FF000000"/>
      <name val="Calibri"/>
      <family val="2"/>
      <charset val="1"/>
    </font>
    <font>
      <sz val="8"/>
      <color rgb="FF000000"/>
      <name val="Calibri"/>
      <family val="2"/>
    </font>
    <font>
      <i/>
      <sz val="11"/>
      <color rgb="FF000000"/>
      <name val="Calibri"/>
      <family val="2"/>
      <charset val="1"/>
    </font>
    <font>
      <sz val="11"/>
      <color rgb="FFE7E6E6"/>
      <name val="Calibri"/>
      <family val="2"/>
      <charset val="1"/>
    </font>
    <font>
      <sz val="11"/>
      <color rgb="FF000000"/>
      <name val="Calibri"/>
      <family val="2"/>
    </font>
    <font>
      <sz val="10"/>
      <color rgb="FF000000"/>
      <name val="Arial"/>
      <family val="2"/>
    </font>
    <font>
      <sz val="10"/>
      <color rgb="FF000000"/>
      <name val="Calibri"/>
      <family val="2"/>
    </font>
    <font>
      <i/>
      <sz val="8"/>
      <color rgb="FF000000"/>
      <name val="Calibri"/>
      <family val="2"/>
      <charset val="1"/>
    </font>
    <font>
      <b/>
      <i/>
      <sz val="11"/>
      <color rgb="FF000000"/>
      <name val="Calibri"/>
      <family val="2"/>
      <charset val="1"/>
    </font>
    <font>
      <sz val="10"/>
      <color rgb="FF000000"/>
      <name val="Calibri"/>
      <family val="2"/>
      <charset val="1"/>
    </font>
    <font>
      <sz val="11"/>
      <color rgb="FF000000"/>
      <name val="-Apple-System"/>
      <charset val="1"/>
    </font>
    <font>
      <i/>
      <u/>
      <sz val="11"/>
      <color rgb="FF000000"/>
      <name val="Calibri"/>
      <family val="2"/>
      <charset val="1"/>
    </font>
    <font>
      <sz val="10"/>
      <color rgb="FF000000"/>
      <name val="Liberation Sans"/>
      <charset val="1"/>
    </font>
    <font>
      <b/>
      <sz val="10"/>
      <color rgb="FF000000"/>
      <name val="Calibri"/>
      <family val="2"/>
    </font>
    <font>
      <b/>
      <sz val="8"/>
      <color rgb="FF000000"/>
      <name val="Calibri"/>
      <family val="2"/>
    </font>
    <font>
      <sz val="10"/>
      <color rgb="FF000000"/>
      <name val="Liberation Sans"/>
    </font>
    <font>
      <sz val="7.5"/>
      <color rgb="FF000000"/>
      <name val="Calibri"/>
      <family val="2"/>
    </font>
    <font>
      <i/>
      <sz val="10"/>
      <color rgb="FF000000"/>
      <name val="Calibri"/>
      <family val="2"/>
    </font>
    <font>
      <b/>
      <sz val="10"/>
      <color rgb="FF000000"/>
      <name val="Arial"/>
      <family val="2"/>
    </font>
    <font>
      <b/>
      <sz val="10"/>
      <color rgb="FF000000"/>
      <name val="-Apple-System"/>
      <charset val="1"/>
    </font>
    <font>
      <i/>
      <sz val="10"/>
      <color rgb="FF000000"/>
      <name val="Arial"/>
      <family val="2"/>
    </font>
    <font>
      <b/>
      <sz val="7.5"/>
      <color rgb="FF000000"/>
      <name val="Arial"/>
      <family val="2"/>
    </font>
    <font>
      <sz val="7.5"/>
      <color rgb="FF000000"/>
      <name val="Arial"/>
      <family val="2"/>
    </font>
    <font>
      <b/>
      <sz val="7.5"/>
      <color rgb="FF000000"/>
      <name val="Calibri"/>
      <family val="2"/>
    </font>
    <font>
      <b/>
      <u/>
      <sz val="10"/>
      <color rgb="FF000000"/>
      <name val="Calibri"/>
      <family val="2"/>
    </font>
    <font>
      <b/>
      <i/>
      <u/>
      <sz val="10"/>
      <color rgb="FF000000"/>
      <name val="Calibri"/>
      <family val="2"/>
    </font>
    <font>
      <b/>
      <sz val="11"/>
      <color rgb="FF000000"/>
      <name val="Calibri"/>
      <family val="2"/>
    </font>
    <font>
      <b/>
      <i/>
      <sz val="11"/>
      <color rgb="FF000000"/>
      <name val="Calibri"/>
      <family val="2"/>
    </font>
    <font>
      <sz val="8"/>
      <color rgb="FF000000"/>
      <name val="Calibri"/>
      <family val="2"/>
    </font>
    <font>
      <b/>
      <sz val="11"/>
      <color rgb="FF000000"/>
      <name val="Calibri"/>
      <family val="2"/>
    </font>
  </fonts>
  <fills count="29">
    <fill>
      <patternFill patternType="none"/>
    </fill>
    <fill>
      <patternFill patternType="gray125"/>
    </fill>
    <fill>
      <patternFill patternType="solid">
        <fgColor rgb="FF8EA9DB"/>
        <bgColor rgb="FF9BC2E6"/>
      </patternFill>
    </fill>
    <fill>
      <patternFill patternType="solid">
        <fgColor rgb="FFF4B084"/>
        <bgColor rgb="FFFFD966"/>
      </patternFill>
    </fill>
    <fill>
      <patternFill patternType="solid">
        <fgColor rgb="FFC6E0B4"/>
        <bgColor rgb="FFD0CECE"/>
      </patternFill>
    </fill>
    <fill>
      <patternFill patternType="solid">
        <fgColor rgb="FFD0CECE"/>
        <bgColor rgb="FFC9C9C9"/>
      </patternFill>
    </fill>
    <fill>
      <patternFill patternType="solid">
        <fgColor rgb="FFFFD966"/>
        <bgColor rgb="FFF4B084"/>
      </patternFill>
    </fill>
    <fill>
      <patternFill patternType="solid">
        <fgColor rgb="FFDDEBF7"/>
        <bgColor rgb="FFDEE7E5"/>
      </patternFill>
    </fill>
    <fill>
      <patternFill patternType="solid">
        <fgColor rgb="FFAEAAAA"/>
        <bgColor rgb="FFB3B3B3"/>
      </patternFill>
    </fill>
    <fill>
      <patternFill patternType="solid">
        <fgColor rgb="FFF2F2F2"/>
        <bgColor rgb="FFE7E6E6"/>
      </patternFill>
    </fill>
    <fill>
      <patternFill patternType="solid">
        <fgColor rgb="FFDEE7E5"/>
        <bgColor rgb="FFE7E6E6"/>
      </patternFill>
    </fill>
    <fill>
      <patternFill patternType="solid">
        <fgColor theme="5" tint="0.79998168889431442"/>
        <bgColor indexed="64"/>
      </patternFill>
    </fill>
    <fill>
      <patternFill patternType="solid">
        <fgColor rgb="FF7030A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C00000"/>
        <bgColor indexed="64"/>
      </patternFill>
    </fill>
    <fill>
      <patternFill patternType="solid">
        <fgColor rgb="FFFFC000"/>
        <bgColor indexed="64"/>
      </patternFill>
    </fill>
    <fill>
      <patternFill patternType="solid">
        <fgColor rgb="FF00B0F0"/>
        <bgColor indexed="64"/>
      </patternFill>
    </fill>
    <fill>
      <patternFill patternType="solid">
        <fgColor rgb="FFB2B2B2"/>
        <bgColor indexed="64"/>
      </patternFill>
    </fill>
    <fill>
      <patternFill patternType="solid">
        <fgColor rgb="FFB7B3CA"/>
        <bgColor indexed="64"/>
      </patternFill>
    </fill>
    <fill>
      <patternFill patternType="solid">
        <fgColor rgb="FFFFFF00"/>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37">
    <border>
      <left/>
      <right/>
      <top/>
      <bottom/>
      <diagonal/>
    </border>
    <border>
      <left style="thin">
        <color auto="1"/>
      </left>
      <right/>
      <top/>
      <bottom/>
      <diagonal/>
    </border>
    <border>
      <left style="thick">
        <color auto="1"/>
      </left>
      <right/>
      <top/>
      <bottom/>
      <diagonal/>
    </border>
    <border>
      <left/>
      <right/>
      <top style="thick">
        <color auto="1"/>
      </top>
      <bottom style="medium">
        <color auto="1"/>
      </bottom>
      <diagonal/>
    </border>
    <border>
      <left style="thick">
        <color auto="1"/>
      </left>
      <right/>
      <top style="thick">
        <color auto="1"/>
      </top>
      <bottom style="medium">
        <color auto="1"/>
      </bottom>
      <diagonal/>
    </border>
    <border>
      <left style="thin">
        <color auto="1"/>
      </left>
      <right/>
      <top style="thick">
        <color auto="1"/>
      </top>
      <bottom style="medium">
        <color auto="1"/>
      </bottom>
      <diagonal/>
    </border>
    <border>
      <left style="thick">
        <color auto="1"/>
      </left>
      <right/>
      <top style="thick">
        <color auto="1"/>
      </top>
      <bottom/>
      <diagonal/>
    </border>
    <border>
      <left style="thick">
        <color auto="1"/>
      </left>
      <right/>
      <top style="thin">
        <color auto="1"/>
      </top>
      <bottom style="medium">
        <color auto="1"/>
      </bottom>
      <diagonal/>
    </border>
    <border>
      <left/>
      <right/>
      <top style="thin">
        <color auto="1"/>
      </top>
      <bottom style="medium">
        <color auto="1"/>
      </bottom>
      <diagonal/>
    </border>
    <border>
      <left style="thick">
        <color auto="1"/>
      </left>
      <right/>
      <top/>
      <bottom style="medium">
        <color auto="1"/>
      </bottom>
      <diagonal/>
    </border>
    <border>
      <left/>
      <right/>
      <top/>
      <bottom style="medium">
        <color auto="1"/>
      </bottom>
      <diagonal/>
    </border>
    <border>
      <left style="thick">
        <color auto="1"/>
      </left>
      <right style="thick">
        <color auto="1"/>
      </right>
      <top style="thick">
        <color auto="1"/>
      </top>
      <bottom/>
      <diagonal/>
    </border>
    <border>
      <left/>
      <right/>
      <top style="thick">
        <color auto="1"/>
      </top>
      <bottom/>
      <diagonal/>
    </border>
    <border>
      <left style="thin">
        <color rgb="FFC9C9C9"/>
      </left>
      <right style="thin">
        <color rgb="FFC9C9C9"/>
      </right>
      <top/>
      <bottom style="thin">
        <color rgb="FFC9C9C9"/>
      </bottom>
      <diagonal/>
    </border>
    <border>
      <left/>
      <right/>
      <top style="thin">
        <color rgb="FF000000"/>
      </top>
      <bottom style="medium">
        <color rgb="FF000000"/>
      </bottom>
      <diagonal/>
    </border>
    <border>
      <left/>
      <right/>
      <top/>
      <bottom style="medium">
        <color rgb="FF000000"/>
      </bottom>
      <diagonal/>
    </border>
    <border>
      <left/>
      <right/>
      <top style="thick">
        <color rgb="FF000000"/>
      </top>
      <bottom style="thick">
        <color rgb="FF000000"/>
      </bottom>
      <diagonal/>
    </border>
    <border>
      <left style="thin">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ck">
        <color auto="1"/>
      </bottom>
      <diagonal/>
    </border>
    <border>
      <left/>
      <right/>
      <top style="medium">
        <color rgb="FF000000"/>
      </top>
      <bottom style="thick">
        <color auto="1"/>
      </bottom>
      <diagonal/>
    </border>
    <border>
      <left style="medium">
        <color rgb="FF000000"/>
      </left>
      <right style="thick">
        <color auto="1"/>
      </right>
      <top style="thick">
        <color auto="1"/>
      </top>
      <bottom/>
      <diagonal/>
    </border>
    <border>
      <left style="medium">
        <color rgb="FF000000"/>
      </left>
      <right style="medium">
        <color rgb="FF000000"/>
      </right>
      <top style="medium">
        <color rgb="FF000000"/>
      </top>
      <bottom style="medium">
        <color rgb="FF000000"/>
      </bottom>
      <diagonal/>
    </border>
    <border>
      <left/>
      <right style="thick">
        <color auto="1"/>
      </right>
      <top style="thick">
        <color auto="1"/>
      </top>
      <bottom/>
      <diagonal/>
    </border>
    <border>
      <left style="thin">
        <color auto="1"/>
      </left>
      <right/>
      <top style="thick">
        <color auto="1"/>
      </top>
      <bottom/>
      <diagonal/>
    </border>
    <border>
      <left style="thick">
        <color auto="1"/>
      </left>
      <right/>
      <top style="medium">
        <color rgb="FF000000"/>
      </top>
      <bottom style="medium">
        <color rgb="FF000000"/>
      </bottom>
      <diagonal/>
    </border>
    <border>
      <left style="thick">
        <color auto="1"/>
      </left>
      <right style="medium">
        <color rgb="FF000000"/>
      </right>
      <top style="medium">
        <color rgb="FF000000"/>
      </top>
      <bottom style="medium">
        <color rgb="FF000000"/>
      </bottom>
      <diagonal/>
    </border>
    <border>
      <left style="medium">
        <color rgb="FF000000"/>
      </left>
      <right/>
      <top style="thick">
        <color auto="1"/>
      </top>
      <bottom/>
      <diagonal/>
    </border>
  </borders>
  <cellStyleXfs count="1">
    <xf numFmtId="0" fontId="0" fillId="0" borderId="0"/>
  </cellStyleXfs>
  <cellXfs count="205">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6" borderId="0" xfId="0" applyFont="1" applyFill="1" applyAlignment="1">
      <alignment horizontal="center" vertical="center" wrapText="1"/>
    </xf>
    <xf numFmtId="0" fontId="2" fillId="0" borderId="0" xfId="0" applyFont="1" applyAlignment="1">
      <alignment vertical="center"/>
    </xf>
    <xf numFmtId="0" fontId="1" fillId="0" borderId="0" xfId="0" applyFont="1" applyAlignment="1">
      <alignment horizontal="center" vertical="center" wrapText="1"/>
    </xf>
    <xf numFmtId="0" fontId="2" fillId="8" borderId="0" xfId="0" applyFont="1" applyFill="1" applyAlignment="1">
      <alignment horizontal="center" vertical="center" wrapText="1"/>
    </xf>
    <xf numFmtId="0" fontId="0" fillId="5" borderId="0" xfId="0" applyFill="1" applyAlignment="1">
      <alignment horizontal="center" vertical="center" wrapText="1"/>
    </xf>
    <xf numFmtId="0" fontId="0" fillId="0" borderId="3" xfId="0" applyBorder="1" applyAlignment="1">
      <alignment horizontal="center" vertical="center"/>
    </xf>
    <xf numFmtId="0" fontId="4" fillId="0" borderId="3" xfId="0" applyFont="1" applyBorder="1" applyAlignment="1">
      <alignment horizontal="center" vertical="center" wrapText="1"/>
    </xf>
    <xf numFmtId="0" fontId="5" fillId="0" borderId="3" xfId="0" applyFont="1" applyBorder="1" applyAlignment="1">
      <alignment horizontal="center" vertical="center"/>
    </xf>
    <xf numFmtId="0" fontId="3" fillId="0" borderId="3" xfId="0" applyFont="1" applyBorder="1" applyAlignment="1">
      <alignment horizontal="center" vertical="center"/>
    </xf>
    <xf numFmtId="0" fontId="6" fillId="0" borderId="4" xfId="0" applyFont="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xf>
    <xf numFmtId="0" fontId="6" fillId="9" borderId="0" xfId="0" applyFont="1" applyFill="1" applyAlignment="1">
      <alignment horizontal="center" vertical="center"/>
    </xf>
    <xf numFmtId="0" fontId="6" fillId="9" borderId="0" xfId="0" applyFont="1" applyFill="1" applyAlignment="1">
      <alignment horizontal="center" vertical="center" wrapText="1"/>
    </xf>
    <xf numFmtId="0" fontId="6" fillId="9" borderId="0" xfId="0" applyFont="1" applyFill="1" applyAlignment="1">
      <alignment horizontal="left" vertical="center"/>
    </xf>
    <xf numFmtId="0" fontId="6" fillId="9" borderId="0" xfId="0" applyFont="1" applyFill="1"/>
    <xf numFmtId="0" fontId="0" fillId="10" borderId="0" xfId="0" applyFill="1"/>
    <xf numFmtId="0" fontId="2" fillId="10" borderId="0" xfId="0" applyFont="1" applyFill="1" applyAlignment="1">
      <alignment horizontal="center"/>
    </xf>
    <xf numFmtId="0" fontId="6" fillId="10" borderId="0" xfId="0" applyFont="1" applyFill="1" applyAlignment="1">
      <alignment horizontal="center"/>
    </xf>
    <xf numFmtId="0" fontId="0" fillId="10" borderId="0" xfId="0" applyFill="1" applyAlignment="1">
      <alignment horizontal="right"/>
    </xf>
    <xf numFmtId="0" fontId="8" fillId="10" borderId="0" xfId="0" applyFont="1" applyFill="1" applyAlignment="1">
      <alignment horizontal="right"/>
    </xf>
    <xf numFmtId="0" fontId="9" fillId="0" borderId="0" xfId="0" applyFont="1"/>
    <xf numFmtId="0" fontId="0" fillId="0" borderId="0" xfId="0" applyAlignment="1">
      <alignment wrapText="1"/>
    </xf>
    <xf numFmtId="0" fontId="2" fillId="0" borderId="0" xfId="0" applyFont="1" applyAlignment="1">
      <alignment horizontal="right"/>
    </xf>
    <xf numFmtId="10" fontId="1" fillId="0" borderId="0" xfId="0" applyNumberFormat="1" applyFont="1" applyAlignment="1">
      <alignment horizontal="right"/>
    </xf>
    <xf numFmtId="2" fontId="1" fillId="0" borderId="0" xfId="0" applyNumberFormat="1" applyFont="1" applyAlignment="1">
      <alignment horizontal="right"/>
    </xf>
    <xf numFmtId="2" fontId="11" fillId="0" borderId="0" xfId="0" applyNumberFormat="1" applyFont="1" applyAlignment="1">
      <alignment horizontal="right"/>
    </xf>
    <xf numFmtId="10" fontId="0" fillId="0" borderId="0" xfId="0" applyNumberFormat="1"/>
    <xf numFmtId="0" fontId="1" fillId="0" borderId="0" xfId="0" applyFont="1" applyAlignment="1">
      <alignment horizontal="right"/>
    </xf>
    <xf numFmtId="0" fontId="0" fillId="0" borderId="0" xfId="0" applyAlignment="1">
      <alignment horizontal="right"/>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0" fillId="0" borderId="1" xfId="0" applyBorder="1" applyAlignment="1">
      <alignment wrapText="1"/>
    </xf>
    <xf numFmtId="0" fontId="2" fillId="0" borderId="0" xfId="0" applyFont="1" applyAlignment="1">
      <alignment vertical="center" wrapText="1"/>
    </xf>
    <xf numFmtId="0" fontId="14" fillId="0" borderId="0" xfId="0" applyFont="1"/>
    <xf numFmtId="2" fontId="2" fillId="0" borderId="0" xfId="0" applyNumberFormat="1" applyFont="1"/>
    <xf numFmtId="0" fontId="15" fillId="0" borderId="0" xfId="0" applyFont="1" applyAlignment="1">
      <alignment horizontal="left"/>
    </xf>
    <xf numFmtId="10" fontId="0" fillId="0" borderId="0" xfId="0" applyNumberFormat="1" applyAlignment="1">
      <alignment wrapText="1"/>
    </xf>
    <xf numFmtId="0" fontId="1" fillId="7" borderId="13" xfId="0" applyFont="1" applyFill="1" applyBorder="1" applyAlignment="1">
      <alignment horizontal="center" vertical="center" wrapText="1"/>
    </xf>
    <xf numFmtId="0" fontId="1" fillId="11" borderId="0" xfId="0" applyFont="1" applyFill="1" applyAlignment="1">
      <alignment horizontal="center" vertical="center" wrapText="1"/>
    </xf>
    <xf numFmtId="0" fontId="16" fillId="0" borderId="0" xfId="0" applyFont="1"/>
    <xf numFmtId="0" fontId="2" fillId="0" borderId="0" xfId="0" applyFont="1" applyAlignment="1">
      <alignment horizontal="center"/>
    </xf>
    <xf numFmtId="0" fontId="8" fillId="0" borderId="0" xfId="0" applyFont="1"/>
    <xf numFmtId="0" fontId="13" fillId="0" borderId="0" xfId="0" applyFont="1"/>
    <xf numFmtId="0" fontId="13" fillId="0" borderId="0" xfId="0" applyFont="1" applyAlignment="1">
      <alignment wrapText="1"/>
    </xf>
    <xf numFmtId="0" fontId="8" fillId="0" borderId="0" xfId="0" applyFont="1" applyAlignment="1">
      <alignment wrapText="1"/>
    </xf>
    <xf numFmtId="0" fontId="7" fillId="0" borderId="10" xfId="0" applyFont="1" applyBorder="1" applyAlignment="1">
      <alignment horizontal="center" vertical="center" wrapText="1"/>
    </xf>
    <xf numFmtId="0" fontId="19" fillId="0" borderId="0" xfId="0" applyFont="1"/>
    <xf numFmtId="0" fontId="19" fillId="14" borderId="0" xfId="0" applyFont="1" applyFill="1"/>
    <xf numFmtId="0" fontId="0" fillId="15" borderId="0" xfId="0" applyFill="1"/>
    <xf numFmtId="0" fontId="0" fillId="16" borderId="0" xfId="0" applyFill="1"/>
    <xf numFmtId="0" fontId="19" fillId="16" borderId="0" xfId="0" applyFont="1" applyFill="1"/>
    <xf numFmtId="0" fontId="0" fillId="0" borderId="0" xfId="0" quotePrefix="1"/>
    <xf numFmtId="2" fontId="0" fillId="0" borderId="0" xfId="0" applyNumberFormat="1"/>
    <xf numFmtId="0" fontId="2" fillId="0" borderId="15" xfId="0" applyFont="1" applyBorder="1" applyAlignment="1">
      <alignment horizontal="center"/>
    </xf>
    <xf numFmtId="0" fontId="0" fillId="0" borderId="0" xfId="0" applyAlignment="1">
      <alignment horizontal="center"/>
    </xf>
    <xf numFmtId="0" fontId="0" fillId="18" borderId="0" xfId="0" applyFill="1" applyAlignment="1">
      <alignment horizontal="center"/>
    </xf>
    <xf numFmtId="0" fontId="16" fillId="18" borderId="0" xfId="0" applyFont="1" applyFill="1"/>
    <xf numFmtId="0" fontId="1" fillId="19" borderId="0" xfId="0" applyFont="1" applyFill="1" applyAlignment="1">
      <alignment horizontal="center" vertical="center" wrapText="1"/>
    </xf>
    <xf numFmtId="0" fontId="20" fillId="0" borderId="17" xfId="0" applyFont="1" applyBorder="1"/>
    <xf numFmtId="0" fontId="21" fillId="0" borderId="0" xfId="0" applyFont="1"/>
    <xf numFmtId="0" fontId="22" fillId="0" borderId="0" xfId="0" applyFont="1"/>
    <xf numFmtId="0" fontId="23" fillId="0" borderId="0" xfId="0" applyFont="1"/>
    <xf numFmtId="0" fontId="27" fillId="0" borderId="0" xfId="0" applyFont="1"/>
    <xf numFmtId="0" fontId="28" fillId="21" borderId="0" xfId="0" applyFont="1" applyFill="1"/>
    <xf numFmtId="0" fontId="29" fillId="0" borderId="0" xfId="0" applyFont="1"/>
    <xf numFmtId="0" fontId="20" fillId="0" borderId="0" xfId="0" applyFont="1" applyAlignment="1">
      <alignment wrapText="1"/>
    </xf>
    <xf numFmtId="0" fontId="24" fillId="0" borderId="0" xfId="0" applyFont="1"/>
    <xf numFmtId="0" fontId="25" fillId="0" borderId="0" xfId="0" applyFont="1" applyAlignment="1">
      <alignment wrapText="1"/>
    </xf>
    <xf numFmtId="0" fontId="25" fillId="0" borderId="0" xfId="0" applyFont="1"/>
    <xf numFmtId="0" fontId="26" fillId="0" borderId="0" xfId="0" applyFont="1" applyAlignment="1">
      <alignment wrapText="1"/>
    </xf>
    <xf numFmtId="0" fontId="0" fillId="22" borderId="0" xfId="0" applyFill="1"/>
    <xf numFmtId="0" fontId="8" fillId="22" borderId="0" xfId="0" applyFont="1" applyFill="1"/>
    <xf numFmtId="0" fontId="8" fillId="22" borderId="0" xfId="0" applyFont="1" applyFill="1" applyAlignment="1">
      <alignment wrapText="1"/>
    </xf>
    <xf numFmtId="0" fontId="0" fillId="22" borderId="0" xfId="0" applyFill="1" applyAlignment="1">
      <alignment wrapText="1"/>
    </xf>
    <xf numFmtId="0" fontId="4" fillId="0" borderId="0" xfId="0" applyFont="1" applyAlignment="1">
      <alignment wrapText="1"/>
    </xf>
    <xf numFmtId="0" fontId="0" fillId="17" borderId="0" xfId="0" applyFill="1" applyAlignment="1">
      <alignment wrapText="1"/>
    </xf>
    <xf numFmtId="0" fontId="15" fillId="12" borderId="0" xfId="0" applyFont="1" applyFill="1" applyAlignment="1">
      <alignment horizontal="left"/>
    </xf>
    <xf numFmtId="0" fontId="15" fillId="17" borderId="0" xfId="0" applyFont="1" applyFill="1" applyAlignment="1">
      <alignment horizontal="left"/>
    </xf>
    <xf numFmtId="0" fontId="15" fillId="23" borderId="0" xfId="0" applyFont="1" applyFill="1" applyAlignment="1">
      <alignment horizontal="left"/>
    </xf>
    <xf numFmtId="0" fontId="15" fillId="22" borderId="0" xfId="0" applyFont="1" applyFill="1" applyAlignment="1">
      <alignment horizontal="left"/>
    </xf>
    <xf numFmtId="0" fontId="9" fillId="17" borderId="0" xfId="0" applyFont="1" applyFill="1"/>
    <xf numFmtId="0" fontId="2" fillId="17" borderId="0" xfId="0" applyFont="1" applyFill="1" applyAlignment="1">
      <alignment horizontal="center" vertical="center"/>
    </xf>
    <xf numFmtId="0" fontId="9" fillId="24" borderId="0" xfId="0" applyFont="1" applyFill="1"/>
    <xf numFmtId="0" fontId="15" fillId="24" borderId="0" xfId="0" applyFont="1" applyFill="1" applyAlignment="1">
      <alignment horizontal="left"/>
    </xf>
    <xf numFmtId="0" fontId="0" fillId="24" borderId="0" xfId="0" applyFill="1" applyAlignment="1">
      <alignment wrapText="1"/>
    </xf>
    <xf numFmtId="0" fontId="2" fillId="24" borderId="0" xfId="0" applyFont="1" applyFill="1" applyAlignment="1">
      <alignment horizontal="center" vertical="center"/>
    </xf>
    <xf numFmtId="0" fontId="2" fillId="23" borderId="0" xfId="0" applyFont="1" applyFill="1" applyAlignment="1">
      <alignment horizontal="center" vertical="center"/>
    </xf>
    <xf numFmtId="0" fontId="0" fillId="23" borderId="0" xfId="0" applyFill="1" applyAlignment="1">
      <alignment wrapText="1"/>
    </xf>
    <xf numFmtId="0" fontId="9" fillId="23" borderId="0" xfId="0" applyFont="1" applyFill="1"/>
    <xf numFmtId="0" fontId="9" fillId="12" borderId="0" xfId="0" applyFont="1" applyFill="1"/>
    <xf numFmtId="0" fontId="2" fillId="12" borderId="0" xfId="0" applyFont="1" applyFill="1" applyAlignment="1">
      <alignment horizontal="center" vertical="center"/>
    </xf>
    <xf numFmtId="0" fontId="0" fillId="12" borderId="0" xfId="0" applyFill="1" applyAlignment="1">
      <alignment wrapText="1"/>
    </xf>
    <xf numFmtId="0" fontId="0" fillId="0" borderId="0" xfId="0" applyAlignment="1">
      <alignment vertical="center"/>
    </xf>
    <xf numFmtId="0" fontId="0" fillId="23" borderId="0" xfId="0" applyFill="1"/>
    <xf numFmtId="0" fontId="0" fillId="0" borderId="22" xfId="0" applyBorder="1"/>
    <xf numFmtId="0" fontId="14" fillId="0" borderId="22" xfId="0" applyFont="1" applyBorder="1"/>
    <xf numFmtId="0" fontId="0" fillId="0" borderId="23" xfId="0" applyBorder="1"/>
    <xf numFmtId="0" fontId="0" fillId="0" borderId="25" xfId="0" applyBorder="1"/>
    <xf numFmtId="0" fontId="0" fillId="22" borderId="15" xfId="0" applyFill="1" applyBorder="1"/>
    <xf numFmtId="0" fontId="14" fillId="22" borderId="15" xfId="0" applyFont="1" applyFill="1" applyBorder="1"/>
    <xf numFmtId="0" fontId="0" fillId="22" borderId="27" xfId="0" applyFill="1" applyBorder="1"/>
    <xf numFmtId="0" fontId="9" fillId="0" borderId="0" xfId="0" applyFont="1" applyAlignment="1">
      <alignment horizontal="right"/>
    </xf>
    <xf numFmtId="0" fontId="2" fillId="0" borderId="20" xfId="0" applyFont="1" applyBorder="1" applyAlignment="1">
      <alignment horizontal="center" vertical="center"/>
    </xf>
    <xf numFmtId="0" fontId="9" fillId="0" borderId="22" xfId="0" applyFont="1" applyBorder="1" applyAlignment="1">
      <alignment horizontal="right"/>
    </xf>
    <xf numFmtId="0" fontId="9" fillId="22" borderId="15" xfId="0" applyFont="1" applyFill="1" applyBorder="1" applyAlignment="1">
      <alignment horizontal="right"/>
    </xf>
    <xf numFmtId="0" fontId="0" fillId="0" borderId="21" xfId="0" applyBorder="1" applyAlignment="1">
      <alignment horizontal="right"/>
    </xf>
    <xf numFmtId="0" fontId="0" fillId="0" borderId="24" xfId="0" applyBorder="1" applyAlignment="1">
      <alignment horizontal="right"/>
    </xf>
    <xf numFmtId="0" fontId="0" fillId="0" borderId="26" xfId="0" applyBorder="1" applyAlignment="1">
      <alignment horizontal="right"/>
    </xf>
    <xf numFmtId="0" fontId="0" fillId="13" borderId="0" xfId="0" applyFill="1"/>
    <xf numFmtId="0" fontId="9" fillId="13" borderId="0" xfId="0" applyFont="1" applyFill="1"/>
    <xf numFmtId="0" fontId="22" fillId="13" borderId="0" xfId="0" applyFont="1" applyFill="1"/>
    <xf numFmtId="0" fontId="20" fillId="13" borderId="0" xfId="0" applyFont="1" applyFill="1" applyAlignment="1">
      <alignment wrapText="1"/>
    </xf>
    <xf numFmtId="0" fontId="0" fillId="13" borderId="0" xfId="0" applyFill="1" applyAlignment="1">
      <alignment wrapText="1"/>
    </xf>
    <xf numFmtId="0" fontId="2" fillId="22" borderId="0" xfId="0" applyFont="1" applyFill="1"/>
    <xf numFmtId="0" fontId="4" fillId="25" borderId="8" xfId="0" applyFont="1" applyFill="1" applyBorder="1" applyAlignment="1">
      <alignment horizontal="center" vertical="center" wrapText="1"/>
    </xf>
    <xf numFmtId="0" fontId="4" fillId="25" borderId="7" xfId="0" applyFont="1" applyFill="1" applyBorder="1" applyAlignment="1">
      <alignment horizontal="center" vertical="center" wrapText="1"/>
    </xf>
    <xf numFmtId="0" fontId="3" fillId="25" borderId="14" xfId="0" applyFont="1" applyFill="1" applyBorder="1" applyAlignment="1">
      <alignment horizontal="center" vertical="center" wrapText="1"/>
    </xf>
    <xf numFmtId="0" fontId="10" fillId="0" borderId="0" xfId="0" applyFont="1"/>
    <xf numFmtId="0" fontId="10" fillId="20" borderId="0" xfId="0" applyFont="1" applyFill="1"/>
    <xf numFmtId="0" fontId="10" fillId="0" borderId="0" xfId="0" applyFont="1" applyAlignment="1">
      <alignment wrapText="1"/>
    </xf>
    <xf numFmtId="0" fontId="10" fillId="20" borderId="0" xfId="0" applyFont="1" applyFill="1" applyAlignment="1">
      <alignment wrapText="1"/>
    </xf>
    <xf numFmtId="0" fontId="10" fillId="0" borderId="16" xfId="0" applyFont="1" applyBorder="1"/>
    <xf numFmtId="0" fontId="17" fillId="0" borderId="17" xfId="0" applyFont="1" applyBorder="1"/>
    <xf numFmtId="0" fontId="10" fillId="0" borderId="17" xfId="0" applyFont="1" applyBorder="1"/>
    <xf numFmtId="0" fontId="17" fillId="20" borderId="0" xfId="0" applyFont="1" applyFill="1"/>
    <xf numFmtId="0" fontId="10" fillId="0" borderId="17" xfId="0" applyFont="1" applyBorder="1" applyAlignment="1">
      <alignment wrapText="1"/>
    </xf>
    <xf numFmtId="0" fontId="17" fillId="20" borderId="0" xfId="0" applyFont="1" applyFill="1" applyAlignment="1">
      <alignment wrapText="1"/>
    </xf>
    <xf numFmtId="0" fontId="17" fillId="0" borderId="0" xfId="0" applyFont="1"/>
    <xf numFmtId="0" fontId="17" fillId="13" borderId="0" xfId="0" applyFont="1" applyFill="1"/>
    <xf numFmtId="0" fontId="10" fillId="21" borderId="0" xfId="0" applyFont="1" applyFill="1"/>
    <xf numFmtId="0" fontId="1" fillId="26" borderId="15" xfId="0" applyFont="1" applyFill="1" applyBorder="1" applyAlignment="1">
      <alignment horizontal="center" vertical="center" wrapText="1"/>
    </xf>
    <xf numFmtId="0" fontId="1" fillId="16" borderId="15" xfId="0" applyFont="1" applyFill="1" applyBorder="1" applyAlignment="1">
      <alignment horizontal="center" vertical="center" wrapText="1"/>
    </xf>
    <xf numFmtId="0" fontId="3" fillId="26" borderId="18" xfId="0" applyFont="1" applyFill="1" applyBorder="1" applyAlignment="1">
      <alignment horizontal="center" vertical="center" wrapText="1"/>
    </xf>
    <xf numFmtId="0" fontId="3" fillId="26" borderId="19" xfId="0" applyFont="1" applyFill="1" applyBorder="1" applyAlignment="1">
      <alignment horizontal="center" vertical="center" wrapText="1"/>
    </xf>
    <xf numFmtId="0" fontId="3" fillId="16" borderId="19" xfId="0" applyFont="1" applyFill="1" applyBorder="1" applyAlignment="1">
      <alignment horizontal="center" vertical="center" wrapText="1"/>
    </xf>
    <xf numFmtId="0" fontId="2" fillId="0" borderId="32" xfId="0" applyFont="1" applyBorder="1" applyAlignment="1">
      <alignment vertical="center" wrapText="1"/>
    </xf>
    <xf numFmtId="0" fontId="3" fillId="11" borderId="20" xfId="0" applyFont="1" applyFill="1" applyBorder="1" applyAlignment="1">
      <alignment horizontal="center" vertical="center" wrapText="1"/>
    </xf>
    <xf numFmtId="0" fontId="3" fillId="11" borderId="19" xfId="0" applyFont="1" applyFill="1" applyBorder="1" applyAlignment="1">
      <alignment horizontal="center" vertical="center" wrapText="1"/>
    </xf>
    <xf numFmtId="0" fontId="2" fillId="0" borderId="6" xfId="0" applyFont="1" applyBorder="1" applyAlignment="1">
      <alignment vertical="center" wrapText="1"/>
    </xf>
    <xf numFmtId="0" fontId="2" fillId="0" borderId="33" xfId="0" applyFont="1" applyBorder="1" applyAlignment="1">
      <alignment vertical="center" wrapText="1"/>
    </xf>
    <xf numFmtId="0" fontId="3" fillId="26" borderId="26" xfId="0" applyFont="1" applyFill="1" applyBorder="1" applyAlignment="1">
      <alignment horizontal="center" vertical="center" wrapText="1"/>
    </xf>
    <xf numFmtId="0" fontId="3" fillId="16" borderId="15" xfId="0" applyFont="1" applyFill="1" applyBorder="1" applyAlignment="1">
      <alignment horizontal="center" vertical="center" wrapText="1"/>
    </xf>
    <xf numFmtId="0" fontId="3" fillId="26" borderId="15" xfId="0" applyFont="1" applyFill="1" applyBorder="1" applyAlignment="1">
      <alignment horizontal="center" vertical="center" wrapText="1"/>
    </xf>
    <xf numFmtId="0" fontId="32" fillId="16" borderId="15" xfId="0" applyFont="1" applyFill="1" applyBorder="1" applyAlignment="1">
      <alignment horizontal="center" vertical="center" wrapText="1"/>
    </xf>
    <xf numFmtId="0" fontId="3" fillId="11" borderId="27" xfId="0" applyFont="1" applyFill="1" applyBorder="1" applyAlignment="1">
      <alignment horizontal="center" vertical="center" wrapText="1"/>
    </xf>
    <xf numFmtId="0" fontId="2" fillId="0" borderId="31" xfId="0" applyFont="1" applyBorder="1" applyAlignment="1">
      <alignment horizontal="left" vertical="center" wrapText="1"/>
    </xf>
    <xf numFmtId="0" fontId="2" fillId="0" borderId="36" xfId="0" applyFont="1" applyBorder="1" applyAlignment="1">
      <alignment horizontal="left" vertical="center" wrapText="1"/>
    </xf>
    <xf numFmtId="0" fontId="4" fillId="26" borderId="18" xfId="0" applyFont="1" applyFill="1" applyBorder="1" applyAlignment="1">
      <alignment horizontal="center" vertical="center" wrapText="1"/>
    </xf>
    <xf numFmtId="0" fontId="4" fillId="26" borderId="19" xfId="0" applyFont="1" applyFill="1" applyBorder="1" applyAlignment="1">
      <alignment horizontal="center" vertical="center" wrapText="1"/>
    </xf>
    <xf numFmtId="0" fontId="4" fillId="16" borderId="19" xfId="0" applyFont="1" applyFill="1" applyBorder="1" applyAlignment="1">
      <alignment horizontal="center" vertical="center" wrapText="1"/>
    </xf>
    <xf numFmtId="0" fontId="2" fillId="0" borderId="21" xfId="0" applyFont="1" applyBorder="1" applyAlignment="1">
      <alignment horizontal="left" vertical="center" wrapText="1"/>
    </xf>
    <xf numFmtId="0" fontId="32" fillId="26" borderId="19" xfId="0" applyFont="1" applyFill="1" applyBorder="1" applyAlignment="1">
      <alignment horizontal="center" vertical="center" wrapText="1"/>
    </xf>
    <xf numFmtId="0" fontId="3" fillId="26" borderId="31" xfId="0" applyFont="1" applyFill="1" applyBorder="1" applyAlignment="1">
      <alignment horizontal="center"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0" fillId="26" borderId="21" xfId="0" applyFill="1" applyBorder="1" applyAlignment="1">
      <alignment horizontal="center"/>
    </xf>
    <xf numFmtId="0" fontId="0" fillId="26" borderId="22" xfId="0" applyFill="1" applyBorder="1" applyAlignment="1">
      <alignment horizontal="center"/>
    </xf>
    <xf numFmtId="0" fontId="0" fillId="26" borderId="23" xfId="0" applyFill="1" applyBorder="1" applyAlignment="1">
      <alignment horizontal="center"/>
    </xf>
    <xf numFmtId="0" fontId="0" fillId="27" borderId="22" xfId="0" applyFill="1" applyBorder="1" applyAlignment="1">
      <alignment horizontal="left" wrapText="1"/>
    </xf>
    <xf numFmtId="0" fontId="0" fillId="27" borderId="23" xfId="0" applyFill="1" applyBorder="1" applyAlignment="1">
      <alignment horizontal="left" wrapText="1"/>
    </xf>
    <xf numFmtId="0" fontId="0" fillId="27" borderId="0" xfId="0" applyFill="1" applyAlignment="1">
      <alignment horizontal="left" wrapText="1"/>
    </xf>
    <xf numFmtId="0" fontId="0" fillId="27" borderId="25" xfId="0" applyFill="1" applyBorder="1" applyAlignment="1">
      <alignment horizontal="left" wrapText="1"/>
    </xf>
    <xf numFmtId="0" fontId="0" fillId="27" borderId="24" xfId="0" applyFill="1" applyBorder="1" applyAlignment="1">
      <alignment horizontal="left" wrapText="1"/>
    </xf>
    <xf numFmtId="0" fontId="0" fillId="28" borderId="18" xfId="0" applyFill="1" applyBorder="1" applyAlignment="1">
      <alignment horizontal="left"/>
    </xf>
    <xf numFmtId="0" fontId="0" fillId="28" borderId="19" xfId="0" applyFill="1" applyBorder="1" applyAlignment="1">
      <alignment horizontal="left"/>
    </xf>
    <xf numFmtId="0" fontId="0" fillId="28" borderId="20" xfId="0" applyFill="1" applyBorder="1" applyAlignment="1">
      <alignment horizontal="left"/>
    </xf>
    <xf numFmtId="0" fontId="2" fillId="5" borderId="2" xfId="0" applyFont="1" applyFill="1" applyBorder="1" applyAlignment="1">
      <alignment horizontal="left" vertical="center" wrapText="1"/>
    </xf>
    <xf numFmtId="0" fontId="2" fillId="5" borderId="0" xfId="0" applyFont="1" applyFill="1" applyAlignment="1">
      <alignment horizontal="left" vertical="center" wrapText="1"/>
    </xf>
    <xf numFmtId="0" fontId="2" fillId="0" borderId="34" xfId="0" applyFont="1" applyBorder="1" applyAlignment="1">
      <alignment horizontal="left" vertical="center" wrapText="1"/>
    </xf>
    <xf numFmtId="0" fontId="2" fillId="0" borderId="35" xfId="0" applyFont="1" applyBorder="1" applyAlignment="1">
      <alignment horizontal="left" vertical="center" wrapText="1"/>
    </xf>
    <xf numFmtId="0" fontId="2" fillId="5" borderId="21" xfId="0" applyFont="1" applyFill="1" applyBorder="1" applyAlignment="1">
      <alignment horizontal="left" vertical="center" wrapText="1"/>
    </xf>
    <xf numFmtId="0" fontId="2" fillId="5" borderId="22" xfId="0" applyFont="1" applyFill="1" applyBorder="1" applyAlignment="1">
      <alignment horizontal="left" vertical="center" wrapText="1"/>
    </xf>
    <xf numFmtId="0" fontId="2" fillId="5" borderId="19" xfId="0" applyFont="1" applyFill="1" applyBorder="1" applyAlignment="1">
      <alignment horizontal="left" vertical="center" wrapText="1"/>
    </xf>
    <xf numFmtId="0" fontId="33" fillId="5" borderId="28" xfId="0" applyFont="1" applyFill="1" applyBorder="1" applyAlignment="1">
      <alignment horizontal="left" vertical="center" wrapText="1"/>
    </xf>
    <xf numFmtId="0" fontId="2" fillId="5" borderId="29"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6" xfId="0" applyFont="1" applyBorder="1" applyAlignment="1">
      <alignment horizontal="left" vertical="center" wrapText="1"/>
    </xf>
    <xf numFmtId="0" fontId="2" fillId="5" borderId="28" xfId="0" applyFont="1" applyFill="1" applyBorder="1" applyAlignment="1">
      <alignment horizontal="left"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6" xfId="0" applyFont="1" applyBorder="1" applyAlignment="1">
      <alignment horizontal="center" vertical="center" wrapText="1"/>
    </xf>
    <xf numFmtId="0" fontId="0" fillId="16" borderId="21" xfId="0" applyFill="1" applyBorder="1" applyAlignment="1">
      <alignment horizontal="center"/>
    </xf>
    <xf numFmtId="0" fontId="0" fillId="16" borderId="22" xfId="0" applyFill="1" applyBorder="1" applyAlignment="1">
      <alignment horizontal="center"/>
    </xf>
    <xf numFmtId="0" fontId="0" fillId="16" borderId="23" xfId="0" applyFill="1" applyBorder="1" applyAlignment="1">
      <alignment horizontal="center"/>
    </xf>
    <xf numFmtId="0" fontId="0" fillId="11" borderId="18" xfId="0" applyFill="1" applyBorder="1" applyAlignment="1">
      <alignment horizontal="center"/>
    </xf>
    <xf numFmtId="0" fontId="0" fillId="11" borderId="19" xfId="0" applyFill="1" applyBorder="1" applyAlignment="1">
      <alignment horizontal="center"/>
    </xf>
    <xf numFmtId="0" fontId="0" fillId="11" borderId="20" xfId="0" applyFill="1" applyBorder="1" applyAlignment="1">
      <alignment horizontal="center"/>
    </xf>
    <xf numFmtId="0" fontId="2" fillId="0" borderId="2" xfId="0" applyFont="1" applyBorder="1" applyAlignment="1">
      <alignment horizontal="left" vertical="center"/>
    </xf>
    <xf numFmtId="0" fontId="2" fillId="25" borderId="2" xfId="0" applyFont="1" applyFill="1" applyBorder="1" applyAlignment="1">
      <alignment horizontal="left" vertical="center" wrapText="1"/>
    </xf>
    <xf numFmtId="0" fontId="2" fillId="25" borderId="6" xfId="0" applyFont="1" applyFill="1" applyBorder="1" applyAlignment="1">
      <alignment horizontal="left" vertical="center" wrapText="1"/>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8EA9DB"/>
      <rgbColor rgb="FF993366"/>
      <rgbColor rgb="FFE7E6E6"/>
      <rgbColor rgb="FFDDEBF7"/>
      <rgbColor rgb="FF660066"/>
      <rgbColor rgb="FFF07878"/>
      <rgbColor rgb="FF0066CC"/>
      <rgbColor rgb="FFD0CECE"/>
      <rgbColor rgb="FF000080"/>
      <rgbColor rgb="FFFF00FF"/>
      <rgbColor rgb="FFFFFF00"/>
      <rgbColor rgb="FF00FFFF"/>
      <rgbColor rgb="FF800080"/>
      <rgbColor rgb="FF800000"/>
      <rgbColor rgb="FF008080"/>
      <rgbColor rgb="FF0000FF"/>
      <rgbColor rgb="FF00CCFF"/>
      <rgbColor rgb="FFC6E0B4"/>
      <rgbColor rgb="FFDEE7E5"/>
      <rgbColor rgb="FFFFFF99"/>
      <rgbColor rgb="FF9BC2E6"/>
      <rgbColor rgb="FFF4B084"/>
      <rgbColor rgb="FFB3B3B3"/>
      <rgbColor rgb="FFFFD966"/>
      <rgbColor rgb="FF3366FF"/>
      <rgbColor rgb="FF33CCCC"/>
      <rgbColor rgb="FF99CC00"/>
      <rgbColor rgb="FFFFCC00"/>
      <rgbColor rgb="FFFF9900"/>
      <rgbColor rgb="FFFF4000"/>
      <rgbColor rgb="FF666699"/>
      <rgbColor rgb="FFAEAAAA"/>
      <rgbColor rgb="FF00458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0"/>
        <c:ser>
          <c:idx val="0"/>
          <c:order val="0"/>
          <c:spPr>
            <a:solidFill>
              <a:srgbClr val="004586"/>
            </a:solidFill>
            <a:ln>
              <a:noFill/>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Summary!$B$222:$B$231</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Summary!$C$222:$C$231</c:f>
              <c:numCache>
                <c:formatCode>General</c:formatCode>
                <c:ptCount val="10"/>
                <c:pt idx="0">
                  <c:v>0</c:v>
                </c:pt>
                <c:pt idx="1">
                  <c:v>0</c:v>
                </c:pt>
                <c:pt idx="2">
                  <c:v>0</c:v>
                </c:pt>
                <c:pt idx="3">
                  <c:v>1</c:v>
                </c:pt>
                <c:pt idx="4">
                  <c:v>3</c:v>
                </c:pt>
                <c:pt idx="5">
                  <c:v>3</c:v>
                </c:pt>
                <c:pt idx="6">
                  <c:v>0</c:v>
                </c:pt>
                <c:pt idx="7">
                  <c:v>0</c:v>
                </c:pt>
                <c:pt idx="8">
                  <c:v>0</c:v>
                </c:pt>
                <c:pt idx="9">
                  <c:v>0</c:v>
                </c:pt>
              </c:numCache>
            </c:numRef>
          </c:val>
          <c:extLst>
            <c:ext xmlns:c16="http://schemas.microsoft.com/office/drawing/2014/chart" uri="{C3380CC4-5D6E-409C-BE32-E72D297353CC}">
              <c16:uniqueId val="{00000000-2BD4-4091-B029-E670AAF007B9}"/>
            </c:ext>
          </c:extLst>
        </c:ser>
        <c:dLbls>
          <c:showLegendKey val="0"/>
          <c:showVal val="0"/>
          <c:showCatName val="0"/>
          <c:showSerName val="0"/>
          <c:showPercent val="0"/>
          <c:showBubbleSize val="0"/>
        </c:dLbls>
        <c:gapWidth val="100"/>
        <c:axId val="57908177"/>
        <c:axId val="1653828"/>
      </c:barChart>
      <c:catAx>
        <c:axId val="57908177"/>
        <c:scaling>
          <c:orientation val="minMax"/>
        </c:scaling>
        <c:delete val="0"/>
        <c:axPos val="b"/>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en-US"/>
          </a:p>
        </c:txPr>
        <c:crossAx val="1653828"/>
        <c:crosses val="autoZero"/>
        <c:auto val="1"/>
        <c:lblAlgn val="ctr"/>
        <c:lblOffset val="100"/>
        <c:noMultiLvlLbl val="0"/>
      </c:catAx>
      <c:valAx>
        <c:axId val="1653828"/>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en-US"/>
          </a:p>
        </c:txPr>
        <c:crossAx val="57908177"/>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en-US"/>
        </a:p>
      </c:txPr>
    </c:legend>
    <c:plotVisOnly val="1"/>
    <c:dispBlanksAs val="gap"/>
    <c:showDLblsOverMax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219075</xdr:colOff>
      <xdr:row>218</xdr:row>
      <xdr:rowOff>19050</xdr:rowOff>
    </xdr:from>
    <xdr:to>
      <xdr:col>10</xdr:col>
      <xdr:colOff>609600</xdr:colOff>
      <xdr:row>235</xdr:row>
      <xdr:rowOff>85725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2AA3-23B4-482C-854F-9B89FD648066}">
  <dimension ref="A1:CE10"/>
  <sheetViews>
    <sheetView tabSelected="1" workbookViewId="0">
      <selection activeCell="BO4" sqref="BO4"/>
    </sheetView>
  </sheetViews>
  <sheetFormatPr baseColWidth="10" defaultColWidth="8.83203125" defaultRowHeight="15"/>
  <cols>
    <col min="1" max="1" width="10" customWidth="1"/>
    <col min="6" max="6" width="18.1640625" customWidth="1"/>
    <col min="10" max="10" width="26" customWidth="1"/>
    <col min="11" max="11" width="19" customWidth="1"/>
    <col min="13" max="13" width="19.1640625" customWidth="1"/>
    <col min="16" max="16" width="18.5" customWidth="1"/>
    <col min="20" max="20" width="27.5" customWidth="1"/>
    <col min="21" max="21" width="18.83203125" customWidth="1"/>
    <col min="23" max="23" width="18.83203125" customWidth="1"/>
    <col min="26" max="26" width="18" customWidth="1"/>
    <col min="27" max="29" width="10.33203125" customWidth="1"/>
    <col min="30" max="30" width="10.6640625" customWidth="1"/>
    <col min="31" max="31" width="10.33203125" customWidth="1"/>
    <col min="32" max="36" width="10.5" customWidth="1"/>
    <col min="37" max="37" width="10" customWidth="1"/>
    <col min="39" max="39" width="18.5" customWidth="1"/>
    <col min="43" max="44" width="18.5" customWidth="1"/>
    <col min="49" max="49" width="18.33203125" customWidth="1"/>
    <col min="50" max="50" width="18.5" customWidth="1"/>
    <col min="51" max="51" width="19.33203125" customWidth="1"/>
    <col min="52" max="52" width="11.5" customWidth="1"/>
    <col min="53" max="53" width="18.33203125" customWidth="1"/>
    <col min="55" max="55" width="18.5" customWidth="1"/>
    <col min="56" max="56" width="27.83203125" customWidth="1"/>
    <col min="57" max="57" width="18.6640625" customWidth="1"/>
    <col min="58" max="58" width="18.5" customWidth="1"/>
    <col min="60" max="60" width="18.83203125" customWidth="1"/>
    <col min="61" max="62" width="18.5" customWidth="1"/>
    <col min="63" max="63" width="19.5" customWidth="1"/>
    <col min="64" max="64" width="16.6640625" customWidth="1"/>
    <col min="65" max="65" width="9.33203125" customWidth="1"/>
    <col min="66" max="66" width="18.5" customWidth="1"/>
    <col min="67" max="67" width="20.5" customWidth="1"/>
    <col min="68" max="68" width="11.1640625" customWidth="1"/>
    <col min="71" max="71" width="18.5" customWidth="1"/>
    <col min="74" max="74" width="18.83203125" customWidth="1"/>
    <col min="76" max="76" width="18.83203125" customWidth="1"/>
    <col min="80" max="80" width="18.5" customWidth="1"/>
    <col min="82" max="82" width="18.5" customWidth="1"/>
    <col min="83" max="83" width="28.33203125" customWidth="1"/>
  </cols>
  <sheetData>
    <row r="1" spans="1:83" ht="27.75" customHeight="1">
      <c r="B1" s="187" t="s">
        <v>0</v>
      </c>
      <c r="C1" s="183"/>
      <c r="D1" s="183"/>
      <c r="E1" s="183"/>
      <c r="F1" s="183"/>
      <c r="G1" s="183"/>
      <c r="H1" s="183"/>
      <c r="I1" s="183"/>
      <c r="J1" s="183"/>
      <c r="K1" s="183"/>
      <c r="L1" s="183"/>
      <c r="M1" s="183"/>
      <c r="N1" s="183"/>
      <c r="O1" s="183"/>
      <c r="P1" s="183"/>
      <c r="Q1" s="183"/>
      <c r="R1" s="183"/>
      <c r="S1" s="183"/>
      <c r="T1" s="183"/>
      <c r="U1" s="183"/>
      <c r="V1" s="183"/>
      <c r="W1" s="183"/>
      <c r="X1" s="183"/>
      <c r="Y1" s="183"/>
      <c r="Z1" s="183"/>
      <c r="AA1" s="179" t="s">
        <v>1</v>
      </c>
      <c r="AB1" s="180"/>
      <c r="AC1" s="180"/>
      <c r="AD1" s="180"/>
      <c r="AE1" s="180"/>
      <c r="AF1" s="180"/>
      <c r="AG1" s="180"/>
      <c r="AH1" s="180"/>
      <c r="AI1" s="180"/>
      <c r="AJ1" s="180"/>
      <c r="AK1" s="180"/>
      <c r="AL1" s="181"/>
      <c r="AM1" s="181"/>
      <c r="AN1" s="181"/>
      <c r="AO1" s="181"/>
      <c r="AP1" s="181"/>
      <c r="AQ1" s="181"/>
      <c r="AR1" s="181"/>
      <c r="AS1" s="182" t="s">
        <v>2</v>
      </c>
      <c r="AT1" s="180"/>
      <c r="AU1" s="180"/>
      <c r="AV1" s="180"/>
      <c r="AW1" s="183"/>
      <c r="AX1" s="183"/>
      <c r="AY1" s="183"/>
      <c r="AZ1" s="183"/>
      <c r="BA1" s="183"/>
      <c r="BB1" s="183"/>
      <c r="BC1" s="183"/>
      <c r="BD1" s="183"/>
      <c r="BE1" s="183"/>
      <c r="BF1" s="183"/>
      <c r="BG1" s="183"/>
      <c r="BH1" s="183"/>
      <c r="BI1" s="183"/>
      <c r="BJ1" s="183"/>
      <c r="BK1" s="183"/>
      <c r="BL1" s="183"/>
      <c r="BM1" s="180"/>
      <c r="BN1" s="180"/>
      <c r="BO1" s="180"/>
      <c r="BP1" s="180"/>
      <c r="BQ1" s="180"/>
      <c r="BR1" s="180"/>
      <c r="BS1" s="180"/>
      <c r="BT1" s="175" t="s">
        <v>3</v>
      </c>
      <c r="BU1" s="176"/>
      <c r="BV1" s="176"/>
      <c r="BW1" s="176"/>
      <c r="BX1" s="176"/>
      <c r="BY1" s="176"/>
      <c r="BZ1" s="176"/>
      <c r="CA1" s="176"/>
      <c r="CB1" s="176"/>
      <c r="CC1" s="176"/>
      <c r="CD1" s="176"/>
      <c r="CE1" s="176"/>
    </row>
    <row r="2" spans="1:83" ht="141" customHeight="1">
      <c r="A2" s="5"/>
      <c r="B2" s="188" t="s">
        <v>4</v>
      </c>
      <c r="C2" s="189"/>
      <c r="D2" s="189"/>
      <c r="E2" s="189"/>
      <c r="F2" s="189"/>
      <c r="G2" s="140" t="s">
        <v>5</v>
      </c>
      <c r="H2" s="140" t="s">
        <v>6</v>
      </c>
      <c r="I2" s="190" t="s">
        <v>7</v>
      </c>
      <c r="J2" s="190"/>
      <c r="K2" s="191" t="s">
        <v>8</v>
      </c>
      <c r="L2" s="191"/>
      <c r="M2" s="191"/>
      <c r="N2" s="191"/>
      <c r="O2" s="191"/>
      <c r="P2" s="191"/>
      <c r="Q2" s="143" t="s">
        <v>9</v>
      </c>
      <c r="R2" s="144" t="s">
        <v>10</v>
      </c>
      <c r="S2" s="191" t="s">
        <v>11</v>
      </c>
      <c r="T2" s="191"/>
      <c r="U2" s="191" t="s">
        <v>12</v>
      </c>
      <c r="V2" s="191"/>
      <c r="W2" s="191"/>
      <c r="X2" s="191"/>
      <c r="Y2" s="191"/>
      <c r="Z2" s="191"/>
      <c r="AA2" s="158" t="s">
        <v>13</v>
      </c>
      <c r="AB2" s="159"/>
      <c r="AC2" s="159"/>
      <c r="AD2" s="159"/>
      <c r="AE2" s="159"/>
      <c r="AF2" s="159"/>
      <c r="AG2" s="159"/>
      <c r="AH2" s="159"/>
      <c r="AI2" s="159"/>
      <c r="AJ2" s="159"/>
      <c r="AK2" s="160"/>
      <c r="AL2" s="161" t="s">
        <v>14</v>
      </c>
      <c r="AM2" s="162"/>
      <c r="AN2" s="162"/>
      <c r="AO2" s="162"/>
      <c r="AP2" s="162"/>
      <c r="AQ2" s="162"/>
      <c r="AR2" s="163"/>
      <c r="AS2" s="151" t="s">
        <v>15</v>
      </c>
      <c r="AT2" s="150" t="s">
        <v>16</v>
      </c>
      <c r="AU2" s="151" t="s">
        <v>17</v>
      </c>
      <c r="AV2" s="150" t="s">
        <v>18</v>
      </c>
      <c r="AW2" s="186" t="s">
        <v>19</v>
      </c>
      <c r="AX2" s="185"/>
      <c r="AY2" s="185"/>
      <c r="AZ2" s="185"/>
      <c r="BA2" s="185"/>
      <c r="BB2" s="185"/>
      <c r="BC2" s="184" t="s">
        <v>20</v>
      </c>
      <c r="BD2" s="185"/>
      <c r="BE2" s="185"/>
      <c r="BF2" s="185"/>
      <c r="BG2" s="185"/>
      <c r="BH2" s="185"/>
      <c r="BI2" s="185"/>
      <c r="BJ2" s="185"/>
      <c r="BK2" s="185"/>
      <c r="BL2" s="185"/>
      <c r="BM2" s="155" t="s">
        <v>21</v>
      </c>
      <c r="BN2" s="161" t="s">
        <v>22</v>
      </c>
      <c r="BO2" s="162"/>
      <c r="BP2" s="162"/>
      <c r="BQ2" s="162"/>
      <c r="BR2" s="162"/>
      <c r="BS2" s="163"/>
      <c r="BT2" s="158" t="s">
        <v>23</v>
      </c>
      <c r="BU2" s="177"/>
      <c r="BV2" s="177"/>
      <c r="BW2" s="177"/>
      <c r="BX2" s="177"/>
      <c r="BY2" s="177"/>
      <c r="BZ2" s="177"/>
      <c r="CA2" s="177"/>
      <c r="CB2" s="177"/>
      <c r="CC2" s="177"/>
      <c r="CD2" s="177"/>
      <c r="CE2" s="178"/>
    </row>
    <row r="3" spans="1:83" ht="149.25" customHeight="1">
      <c r="A3" s="7" t="s">
        <v>24</v>
      </c>
      <c r="B3" s="137" t="s">
        <v>25</v>
      </c>
      <c r="C3" s="138" t="s">
        <v>26</v>
      </c>
      <c r="D3" s="138" t="s">
        <v>27</v>
      </c>
      <c r="E3" s="138" t="s">
        <v>28</v>
      </c>
      <c r="F3" s="139" t="s">
        <v>29</v>
      </c>
      <c r="G3" s="137" t="s">
        <v>30</v>
      </c>
      <c r="H3" s="137" t="s">
        <v>31</v>
      </c>
      <c r="I3" s="137" t="s">
        <v>32</v>
      </c>
      <c r="J3" s="139" t="s">
        <v>33</v>
      </c>
      <c r="K3" s="138" t="s">
        <v>34</v>
      </c>
      <c r="L3" s="138" t="s">
        <v>35</v>
      </c>
      <c r="M3" s="138" t="s">
        <v>36</v>
      </c>
      <c r="N3" s="139" t="s">
        <v>37</v>
      </c>
      <c r="O3" s="139" t="s">
        <v>38</v>
      </c>
      <c r="P3" s="142" t="s">
        <v>39</v>
      </c>
      <c r="Q3" s="137" t="s">
        <v>40</v>
      </c>
      <c r="R3" s="137" t="s">
        <v>41</v>
      </c>
      <c r="S3" s="137" t="s">
        <v>32</v>
      </c>
      <c r="T3" s="139" t="s">
        <v>42</v>
      </c>
      <c r="U3" s="138" t="s">
        <v>43</v>
      </c>
      <c r="V3" s="138" t="s">
        <v>35</v>
      </c>
      <c r="W3" s="138" t="s">
        <v>44</v>
      </c>
      <c r="X3" s="139" t="s">
        <v>37</v>
      </c>
      <c r="Y3" s="139" t="s">
        <v>38</v>
      </c>
      <c r="Z3" s="141" t="s">
        <v>45</v>
      </c>
      <c r="AA3" s="135" t="s">
        <v>46</v>
      </c>
      <c r="AB3" s="135" t="s">
        <v>47</v>
      </c>
      <c r="AC3" s="135" t="s">
        <v>48</v>
      </c>
      <c r="AD3" s="135" t="s">
        <v>49</v>
      </c>
      <c r="AE3" s="135" t="s">
        <v>50</v>
      </c>
      <c r="AF3" s="135" t="s">
        <v>51</v>
      </c>
      <c r="AG3" s="135" t="s">
        <v>52</v>
      </c>
      <c r="AH3" s="135" t="s">
        <v>53</v>
      </c>
      <c r="AI3" s="136" t="s">
        <v>54</v>
      </c>
      <c r="AJ3" s="136" t="s">
        <v>55</v>
      </c>
      <c r="AK3" s="136" t="s">
        <v>56</v>
      </c>
      <c r="AL3" s="152" t="s">
        <v>57</v>
      </c>
      <c r="AM3" s="153" t="s">
        <v>58</v>
      </c>
      <c r="AN3" s="154" t="s">
        <v>59</v>
      </c>
      <c r="AO3" s="153" t="s">
        <v>60</v>
      </c>
      <c r="AP3" s="154" t="s">
        <v>61</v>
      </c>
      <c r="AQ3" s="154" t="s">
        <v>62</v>
      </c>
      <c r="AR3" s="141" t="s">
        <v>63</v>
      </c>
      <c r="AS3" s="138" t="s">
        <v>64</v>
      </c>
      <c r="AT3" s="145" t="s">
        <v>65</v>
      </c>
      <c r="AU3" s="157" t="s">
        <v>66</v>
      </c>
      <c r="AV3" s="147" t="s">
        <v>67</v>
      </c>
      <c r="AW3" s="137" t="s">
        <v>68</v>
      </c>
      <c r="AX3" s="138" t="s">
        <v>69</v>
      </c>
      <c r="AY3" s="139" t="s">
        <v>70</v>
      </c>
      <c r="AZ3" s="139" t="s">
        <v>71</v>
      </c>
      <c r="BA3" s="139" t="s">
        <v>72</v>
      </c>
      <c r="BB3" s="141" t="s">
        <v>73</v>
      </c>
      <c r="BC3" s="138" t="s">
        <v>74</v>
      </c>
      <c r="BD3" s="139" t="s">
        <v>75</v>
      </c>
      <c r="BE3" s="138" t="s">
        <v>76</v>
      </c>
      <c r="BF3" s="138" t="s">
        <v>77</v>
      </c>
      <c r="BG3" s="156" t="s">
        <v>78</v>
      </c>
      <c r="BH3" s="138" t="s">
        <v>79</v>
      </c>
      <c r="BI3" s="139" t="s">
        <v>80</v>
      </c>
      <c r="BJ3" s="139" t="s">
        <v>81</v>
      </c>
      <c r="BK3" s="138" t="s">
        <v>82</v>
      </c>
      <c r="BL3" s="142" t="s">
        <v>83</v>
      </c>
      <c r="BM3" s="137" t="s">
        <v>84</v>
      </c>
      <c r="BN3" s="137" t="s">
        <v>85</v>
      </c>
      <c r="BO3" s="138" t="s">
        <v>86</v>
      </c>
      <c r="BP3" s="139" t="s">
        <v>87</v>
      </c>
      <c r="BQ3" s="139" t="s">
        <v>88</v>
      </c>
      <c r="BR3" s="139" t="s">
        <v>89</v>
      </c>
      <c r="BS3" s="142" t="s">
        <v>90</v>
      </c>
      <c r="BT3" s="145" t="s">
        <v>91</v>
      </c>
      <c r="BU3" s="146" t="s">
        <v>92</v>
      </c>
      <c r="BV3" s="147" t="s">
        <v>93</v>
      </c>
      <c r="BW3" s="146" t="s">
        <v>94</v>
      </c>
      <c r="BX3" s="147" t="s">
        <v>95</v>
      </c>
      <c r="BY3" s="147" t="s">
        <v>96</v>
      </c>
      <c r="BZ3" s="146" t="s">
        <v>97</v>
      </c>
      <c r="CA3" s="148" t="s">
        <v>98</v>
      </c>
      <c r="CB3" s="147" t="s">
        <v>99</v>
      </c>
      <c r="CC3" s="146" t="s">
        <v>100</v>
      </c>
      <c r="CD3" s="148" t="s">
        <v>101</v>
      </c>
      <c r="CE3" s="149" t="s">
        <v>102</v>
      </c>
    </row>
    <row r="5" spans="1:83">
      <c r="B5" s="164" t="s">
        <v>103</v>
      </c>
      <c r="C5" s="165"/>
      <c r="D5" s="165"/>
      <c r="E5" s="165"/>
      <c r="F5" s="166"/>
    </row>
    <row r="6" spans="1:83" ht="15" customHeight="1">
      <c r="B6" s="192" t="s">
        <v>104</v>
      </c>
      <c r="C6" s="193"/>
      <c r="D6" s="194"/>
      <c r="E6" s="167" t="s">
        <v>105</v>
      </c>
      <c r="F6" s="167"/>
      <c r="G6" s="167"/>
      <c r="H6" s="167"/>
      <c r="I6" s="167"/>
      <c r="J6" s="167"/>
      <c r="K6" s="168"/>
    </row>
    <row r="7" spans="1:83">
      <c r="B7" s="195" t="s">
        <v>106</v>
      </c>
      <c r="C7" s="196"/>
      <c r="D7" s="197"/>
      <c r="E7" s="169"/>
      <c r="F7" s="169"/>
      <c r="G7" s="169"/>
      <c r="H7" s="169"/>
      <c r="I7" s="169"/>
      <c r="J7" s="169"/>
      <c r="K7" s="170"/>
    </row>
    <row r="8" spans="1:83">
      <c r="E8" s="171"/>
      <c r="F8" s="169"/>
      <c r="G8" s="169"/>
      <c r="H8" s="169"/>
      <c r="I8" s="169"/>
      <c r="J8" s="169"/>
      <c r="K8" s="170"/>
    </row>
    <row r="9" spans="1:83">
      <c r="E9" s="171"/>
      <c r="F9" s="169"/>
      <c r="G9" s="169"/>
      <c r="H9" s="169"/>
      <c r="I9" s="169"/>
      <c r="J9" s="169"/>
      <c r="K9" s="170"/>
    </row>
    <row r="10" spans="1:83">
      <c r="E10" s="172" t="s">
        <v>107</v>
      </c>
      <c r="F10" s="173"/>
      <c r="G10" s="173"/>
      <c r="H10" s="173"/>
      <c r="I10" s="173"/>
      <c r="J10" s="173"/>
      <c r="K10" s="174"/>
    </row>
  </sheetData>
  <mergeCells count="20">
    <mergeCell ref="B1:Z1"/>
    <mergeCell ref="B2:F2"/>
    <mergeCell ref="I2:J2"/>
    <mergeCell ref="K2:P2"/>
    <mergeCell ref="S2:T2"/>
    <mergeCell ref="U2:Z2"/>
    <mergeCell ref="BT1:CE1"/>
    <mergeCell ref="BT2:CE2"/>
    <mergeCell ref="AA1:AR1"/>
    <mergeCell ref="AS1:BS1"/>
    <mergeCell ref="BC2:BL2"/>
    <mergeCell ref="AW2:BB2"/>
    <mergeCell ref="BN2:BS2"/>
    <mergeCell ref="AA2:AK2"/>
    <mergeCell ref="AL2:AR2"/>
    <mergeCell ref="B5:F5"/>
    <mergeCell ref="E6:K9"/>
    <mergeCell ref="E10:K10"/>
    <mergeCell ref="B6:D6"/>
    <mergeCell ref="B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L221"/>
  <sheetViews>
    <sheetView zoomScaleNormal="100" workbookViewId="0">
      <pane xSplit="20" ySplit="6" topLeftCell="U10" activePane="bottomRight" state="frozen"/>
      <selection pane="topRight" activeCell="S1" sqref="S1"/>
      <selection pane="bottomLeft" activeCell="A176" sqref="A176"/>
      <selection pane="bottomRight" activeCell="AF12" sqref="AF12"/>
    </sheetView>
  </sheetViews>
  <sheetFormatPr baseColWidth="10" defaultColWidth="8.5" defaultRowHeight="15" customHeight="1"/>
  <cols>
    <col min="1" max="1" width="15.5" customWidth="1"/>
    <col min="2" max="2" width="7" customWidth="1"/>
    <col min="3" max="3" width="7.1640625" customWidth="1"/>
    <col min="4" max="4" width="12.33203125" customWidth="1"/>
    <col min="5" max="5" width="5.5" customWidth="1"/>
    <col min="6" max="6" width="5.6640625" customWidth="1"/>
    <col min="7" max="7" width="6" customWidth="1"/>
    <col min="8" max="15" width="4.1640625" customWidth="1"/>
    <col min="16" max="16" width="3.5" customWidth="1"/>
    <col min="17" max="17" width="19.1640625" customWidth="1"/>
    <col min="18" max="18" width="16.6640625" customWidth="1"/>
    <col min="19" max="19" width="19.83203125" bestFit="1" customWidth="1"/>
    <col min="20" max="20" width="12.5" customWidth="1"/>
    <col min="21" max="22" width="20.83203125" customWidth="1"/>
    <col min="23" max="23" width="13" customWidth="1"/>
    <col min="24" max="24" width="22.5" customWidth="1"/>
    <col min="25" max="25" width="14.83203125" customWidth="1"/>
    <col min="26" max="26" width="18" customWidth="1"/>
    <col min="27" max="27" width="19.1640625" customWidth="1"/>
    <col min="28" max="28" width="16.83203125" customWidth="1"/>
    <col min="29" max="29" width="36.5" style="26" customWidth="1"/>
  </cols>
  <sheetData>
    <row r="1" spans="1:1026">
      <c r="A1" s="6"/>
      <c r="R1" s="6"/>
      <c r="S1" s="6"/>
      <c r="U1" s="198" t="s">
        <v>133</v>
      </c>
      <c r="V1" s="198"/>
      <c r="W1" s="198"/>
      <c r="X1" s="198"/>
      <c r="Y1" s="198"/>
      <c r="Z1" s="198"/>
      <c r="AA1" s="198"/>
      <c r="AB1" s="198"/>
      <c r="AC1" s="36"/>
    </row>
    <row r="2" spans="1:1026" ht="66.75" customHeight="1">
      <c r="A2" s="6"/>
      <c r="B2" s="6"/>
      <c r="C2" s="6"/>
      <c r="D2" s="6"/>
      <c r="E2" s="6"/>
      <c r="F2" s="6"/>
      <c r="G2" s="6"/>
      <c r="H2" s="6"/>
      <c r="I2" s="6"/>
      <c r="J2" s="6"/>
      <c r="K2" s="6"/>
      <c r="L2" s="6"/>
      <c r="M2" s="6"/>
      <c r="N2" s="6"/>
      <c r="O2" s="6"/>
      <c r="P2" s="6"/>
      <c r="Q2" s="43" t="s">
        <v>134</v>
      </c>
      <c r="R2" s="3" t="s">
        <v>135</v>
      </c>
      <c r="S2" s="62" t="s">
        <v>136</v>
      </c>
      <c r="U2" s="199" t="s">
        <v>137</v>
      </c>
      <c r="V2" s="199"/>
      <c r="W2" s="199"/>
      <c r="X2" s="199"/>
      <c r="Y2" s="199"/>
      <c r="Z2" s="199"/>
      <c r="AA2" s="199"/>
      <c r="AB2" s="199"/>
      <c r="AC2" s="199"/>
    </row>
    <row r="3" spans="1:1026" s="5" customFormat="1" ht="69" customHeight="1">
      <c r="A3" s="6"/>
      <c r="B3" s="6"/>
      <c r="C3" s="6"/>
      <c r="D3" s="6"/>
      <c r="E3" s="6"/>
      <c r="F3" s="6"/>
      <c r="G3" s="6"/>
      <c r="H3" s="6"/>
      <c r="I3" s="6"/>
      <c r="J3" s="6"/>
      <c r="K3" s="6"/>
      <c r="L3" s="6"/>
      <c r="M3" s="6"/>
      <c r="N3" s="6"/>
      <c r="O3" s="6"/>
      <c r="P3" s="6"/>
      <c r="Q3" s="4" t="s">
        <v>138</v>
      </c>
      <c r="R3" s="42" t="s">
        <v>139</v>
      </c>
      <c r="S3" s="6"/>
      <c r="U3" s="200" t="s">
        <v>140</v>
      </c>
      <c r="V3" s="200"/>
      <c r="W3" s="200"/>
      <c r="X3" s="200"/>
      <c r="Y3" s="200"/>
      <c r="Z3" s="200"/>
      <c r="AA3" s="200"/>
      <c r="AB3" s="200"/>
      <c r="AC3" s="200"/>
      <c r="ALP3"/>
      <c r="ALQ3"/>
      <c r="ALR3"/>
      <c r="ALS3"/>
      <c r="ALT3"/>
      <c r="ALU3"/>
      <c r="ALV3"/>
      <c r="ALW3"/>
      <c r="ALX3"/>
      <c r="ALY3"/>
      <c r="ALZ3"/>
      <c r="AMA3"/>
      <c r="AMB3"/>
      <c r="AMC3"/>
      <c r="AMD3"/>
      <c r="AME3"/>
      <c r="AMF3"/>
      <c r="AMG3"/>
      <c r="AMH3"/>
      <c r="AMI3"/>
      <c r="AMJ3"/>
      <c r="AMK3"/>
      <c r="AML3"/>
    </row>
    <row r="4" spans="1:1026" s="8" customFormat="1" ht="82.5" customHeight="1">
      <c r="A4" s="6"/>
      <c r="B4" s="6"/>
      <c r="C4" s="6"/>
      <c r="D4" s="6"/>
      <c r="E4" s="6"/>
      <c r="F4" s="6"/>
      <c r="G4" s="6"/>
      <c r="H4" s="6"/>
      <c r="I4" s="6"/>
      <c r="J4" s="6"/>
      <c r="K4" s="6"/>
      <c r="L4" s="6"/>
      <c r="M4" s="6"/>
      <c r="N4" s="6"/>
      <c r="O4" s="6"/>
      <c r="P4" s="6"/>
      <c r="Q4" s="1" t="s">
        <v>141</v>
      </c>
      <c r="R4" s="2" t="s">
        <v>142</v>
      </c>
      <c r="S4" s="6"/>
      <c r="T4" s="7" t="s">
        <v>108</v>
      </c>
      <c r="U4" s="120" t="s">
        <v>143</v>
      </c>
      <c r="V4" s="119" t="s">
        <v>144</v>
      </c>
      <c r="W4" s="119" t="s">
        <v>145</v>
      </c>
      <c r="X4" s="119" t="s">
        <v>146</v>
      </c>
      <c r="Y4" s="119" t="s">
        <v>147</v>
      </c>
      <c r="Z4" s="119" t="s">
        <v>148</v>
      </c>
      <c r="AA4" s="119" t="s">
        <v>149</v>
      </c>
      <c r="AB4" s="119" t="s">
        <v>150</v>
      </c>
      <c r="AC4" s="121" t="s">
        <v>151</v>
      </c>
      <c r="ALP4"/>
      <c r="ALQ4"/>
      <c r="ALR4"/>
      <c r="ALS4"/>
      <c r="ALT4"/>
      <c r="ALU4"/>
      <c r="ALV4"/>
      <c r="ALW4"/>
      <c r="ALX4"/>
      <c r="ALY4"/>
      <c r="ALZ4"/>
      <c r="AMA4"/>
      <c r="AMB4"/>
      <c r="AMC4"/>
      <c r="AMD4"/>
      <c r="AME4"/>
      <c r="AMF4"/>
      <c r="AMG4"/>
      <c r="AMH4"/>
      <c r="AMI4"/>
      <c r="AMJ4"/>
      <c r="AMK4"/>
      <c r="AML4"/>
    </row>
    <row r="5" spans="1:1026" ht="32">
      <c r="A5" s="9" t="s">
        <v>109</v>
      </c>
      <c r="B5" s="9" t="s">
        <v>110</v>
      </c>
      <c r="C5" s="9" t="s">
        <v>111</v>
      </c>
      <c r="D5" s="9" t="s">
        <v>112</v>
      </c>
      <c r="E5" s="10" t="s">
        <v>113</v>
      </c>
      <c r="F5" s="10" t="s">
        <v>114</v>
      </c>
      <c r="G5" s="10" t="s">
        <v>152</v>
      </c>
      <c r="H5" s="11" t="s">
        <v>115</v>
      </c>
      <c r="I5" s="12" t="s">
        <v>116</v>
      </c>
      <c r="J5" s="12" t="s">
        <v>117</v>
      </c>
      <c r="K5" s="12" t="s">
        <v>118</v>
      </c>
      <c r="L5" s="12" t="s">
        <v>119</v>
      </c>
      <c r="M5" s="12" t="s">
        <v>120</v>
      </c>
      <c r="N5" s="12" t="s">
        <v>121</v>
      </c>
      <c r="O5" s="12" t="s">
        <v>122</v>
      </c>
      <c r="P5" s="12">
        <v>100</v>
      </c>
      <c r="Q5" s="13" t="s">
        <v>123</v>
      </c>
      <c r="R5" s="14" t="s">
        <v>124</v>
      </c>
      <c r="S5" s="14" t="s">
        <v>153</v>
      </c>
      <c r="T5" s="15" t="s">
        <v>125</v>
      </c>
      <c r="U5" s="34" t="s">
        <v>154</v>
      </c>
      <c r="V5" s="35"/>
      <c r="W5" s="35" t="s">
        <v>155</v>
      </c>
      <c r="X5" s="35"/>
      <c r="Y5" s="35"/>
      <c r="Z5" s="35"/>
      <c r="AA5" s="35"/>
      <c r="AB5" s="35"/>
      <c r="AC5" s="50" t="s">
        <v>156</v>
      </c>
    </row>
    <row r="6" spans="1:1026" s="19" customFormat="1" ht="9" customHeight="1">
      <c r="A6" s="16" t="s">
        <v>126</v>
      </c>
      <c r="B6" s="16"/>
      <c r="C6" s="16"/>
      <c r="D6" s="16"/>
      <c r="E6" s="16"/>
      <c r="F6" s="16"/>
      <c r="G6" s="16"/>
      <c r="H6" s="16"/>
      <c r="I6" s="16"/>
      <c r="J6" s="16"/>
      <c r="K6" s="16"/>
      <c r="L6" s="16"/>
      <c r="M6" s="16"/>
      <c r="N6" s="16"/>
      <c r="O6" s="16"/>
      <c r="P6" s="16"/>
      <c r="Q6" s="17"/>
      <c r="R6" s="17"/>
      <c r="S6" s="17"/>
      <c r="T6" s="18" t="s">
        <v>127</v>
      </c>
      <c r="U6" s="16">
        <v>1</v>
      </c>
      <c r="V6" s="16">
        <v>0</v>
      </c>
      <c r="W6" s="16">
        <v>1</v>
      </c>
      <c r="X6" s="16">
        <v>1</v>
      </c>
      <c r="Y6" s="16">
        <v>0</v>
      </c>
      <c r="Z6" s="16">
        <v>1</v>
      </c>
      <c r="AA6" s="16">
        <v>0</v>
      </c>
      <c r="AB6" s="16">
        <v>0</v>
      </c>
      <c r="AC6" s="17" t="s">
        <v>157</v>
      </c>
      <c r="ALP6"/>
      <c r="ALQ6"/>
      <c r="ALR6"/>
      <c r="ALS6"/>
      <c r="ALT6"/>
      <c r="ALU6"/>
      <c r="ALV6"/>
      <c r="ALW6"/>
      <c r="ALX6"/>
      <c r="ALY6"/>
      <c r="ALZ6"/>
      <c r="AMA6"/>
      <c r="AMB6"/>
      <c r="AMC6"/>
      <c r="AMD6"/>
      <c r="AME6"/>
      <c r="AMF6"/>
      <c r="AMG6"/>
      <c r="AMH6"/>
      <c r="AMI6"/>
      <c r="AMJ6"/>
      <c r="AMK6"/>
      <c r="AML6"/>
    </row>
    <row r="7" spans="1:1026" ht="45.75" customHeight="1">
      <c r="A7" s="42"/>
      <c r="B7" s="20">
        <f t="shared" ref="B7" si="0">(SUM(U7:AB7))</f>
        <v>5</v>
      </c>
      <c r="C7" s="20">
        <f t="shared" ref="C7" si="1">(COUNT(U7:AB7))</f>
        <v>8</v>
      </c>
      <c r="D7" s="21">
        <f>ROUNDUP( MAX( IF(P7,100, IF(O7,80, IF(N7,70, IF(M7,60, IF(L7,55, IF(K7,50, IF(J7,45, IF(I7,35, IF(H7,25, 0))))))))), 100 * B7/C7 ) * 10 / 100,0)</f>
        <v>7</v>
      </c>
      <c r="E7" s="22">
        <f>SUM(U7, Z7)</f>
        <v>2</v>
      </c>
      <c r="F7" s="22">
        <f>SUM(V7, W7, X7)</f>
        <v>1</v>
      </c>
      <c r="G7" s="22">
        <f>SUM(Y7, AA7, AB7)</f>
        <v>2</v>
      </c>
      <c r="H7" s="23">
        <f t="shared" ref="H7" si="2">IF(B7&gt;0,1,0)</f>
        <v>1</v>
      </c>
      <c r="I7" s="24">
        <f t="shared" ref="I7" si="3">IF( B7/C7 &gt; 0.2, 1, IF(E7&gt;0, 1, 0) )</f>
        <v>1</v>
      </c>
      <c r="J7" s="20">
        <f>IF( B7/C7 &gt; 0.4, 1, IF( E7=2, 1, IF(AND(E7&gt;0, OR(F7&gt;0, G7&gt;0)), 1, 0 ) ))</f>
        <v>1</v>
      </c>
      <c r="K7" s="20">
        <f>IF(B7/C7 &gt; 0.5, 1, IF( E7=2, 1, IF(AND(E7&gt;0, OR(F7&gt;1, G7&gt;0)), 1, 0 ) ))</f>
        <v>1</v>
      </c>
      <c r="L7" s="20">
        <f>IF(B7/C7 &gt; 0.6, 1, IF( AND(E7=2, OR(F7&gt;0, G7&gt;0)), 1, 0 ) )</f>
        <v>1</v>
      </c>
      <c r="M7" s="20">
        <f>IF(B7/C7 &gt; 0.7, 1, IF( AND(E7=2, SUM(F7, G7)&gt;1), 1, 0 ) )</f>
        <v>1</v>
      </c>
      <c r="N7" s="20">
        <f>IF(B7/C7 &gt; 0.8, 1, IF( AND(E7=2, SUM(F7, G7)&gt;3), 1, 0 ) )</f>
        <v>0</v>
      </c>
      <c r="O7" s="20">
        <f>IF(B7/C7 &gt; 0.9, 1, 0)</f>
        <v>0</v>
      </c>
      <c r="P7" s="20">
        <f t="shared" ref="P7" si="4">ROUNDDOWN(B7/C7,0)</f>
        <v>0</v>
      </c>
      <c r="T7" s="44"/>
      <c r="U7" s="47">
        <v>1</v>
      </c>
      <c r="V7" s="47">
        <v>1</v>
      </c>
      <c r="W7" s="47">
        <v>0</v>
      </c>
      <c r="X7" s="47">
        <v>0</v>
      </c>
      <c r="Y7" s="47">
        <v>1</v>
      </c>
      <c r="Z7" s="47">
        <v>1</v>
      </c>
      <c r="AA7" s="47">
        <v>1</v>
      </c>
      <c r="AB7" s="47">
        <v>0</v>
      </c>
      <c r="AC7" s="48"/>
    </row>
    <row r="8" spans="1:1026" ht="45.75" customHeight="1">
      <c r="A8" s="42"/>
      <c r="B8" s="20">
        <f t="shared" ref="B8:B71" si="5">(SUM(U8:AB8))</f>
        <v>2</v>
      </c>
      <c r="C8" s="20">
        <f t="shared" ref="C8:C71" si="6">(COUNT(U8:AB8))</f>
        <v>8</v>
      </c>
      <c r="D8" s="21">
        <f t="shared" ref="D8:D71" si="7">ROUNDUP( MAX( IF(P8,100, IF(O8,80, IF(N8,70, IF(M8,60, IF(L8,55, IF(K8,50, IF(J8,45, IF(I8,35, IF(H8,25, 0))))))))), 100 * B8/C8 ) * 10 / 100,0)</f>
        <v>5</v>
      </c>
      <c r="E8" s="22">
        <f t="shared" ref="E8:E71" si="8">SUM(U8, Z8)</f>
        <v>1</v>
      </c>
      <c r="F8" s="22">
        <f t="shared" ref="F8:F71" si="9">SUM(V8, W8, X8)</f>
        <v>1</v>
      </c>
      <c r="G8" s="22">
        <f t="shared" ref="G8:G71" si="10">SUM(Y8, AA8, AB8)</f>
        <v>0</v>
      </c>
      <c r="H8" s="23">
        <f t="shared" ref="H8:H71" si="11">IF(B8&gt;0,1,0)</f>
        <v>1</v>
      </c>
      <c r="I8" s="24">
        <f t="shared" ref="I8:I71" si="12">IF( B8/C8 &gt; 0.2, 1, IF(E8&gt;0, 1, 0) )</f>
        <v>1</v>
      </c>
      <c r="J8" s="20">
        <f t="shared" ref="J8:J71" si="13">IF( B8/C8 &gt; 0.4, 1, IF( E8=2, 1, IF(AND(E8&gt;0, OR(F8&gt;0, G8&gt;0)), 1, 0 ) ))</f>
        <v>1</v>
      </c>
      <c r="K8" s="20">
        <f t="shared" ref="K8:K71" si="14">IF(B8/C8 &gt; 0.5, 1, IF( E8=2, 1, IF(AND(E8&gt;0, OR(F8&gt;1, G8&gt;0)), 1, 0 ) ))</f>
        <v>0</v>
      </c>
      <c r="L8" s="20">
        <f t="shared" ref="L8:L71" si="15">IF(B8/C8 &gt; 0.6, 1, IF( AND(E8=2, OR(F8&gt;0, G8&gt;0)), 1, 0 ) )</f>
        <v>0</v>
      </c>
      <c r="M8" s="20">
        <f t="shared" ref="M8:M71" si="16">IF(B8/C8 &gt; 0.7, 1, IF( AND(E8=2, SUM(F8, G8)&gt;1), 1, 0 ) )</f>
        <v>0</v>
      </c>
      <c r="N8" s="20">
        <f t="shared" ref="N8:N71" si="17">IF(B8/C8 &gt; 0.8, 1, IF( AND(E8=2, SUM(F8, G8)&gt;3), 1, 0 ) )</f>
        <v>0</v>
      </c>
      <c r="O8" s="20">
        <f t="shared" ref="O8:O71" si="18">IF(B8/C8 &gt; 0.9, 1, 0)</f>
        <v>0</v>
      </c>
      <c r="P8" s="20">
        <f t="shared" ref="P8:P71" si="19">ROUNDDOWN(B8/C8,0)</f>
        <v>0</v>
      </c>
      <c r="T8" s="44"/>
      <c r="U8" s="47">
        <v>0</v>
      </c>
      <c r="V8" s="47">
        <v>0</v>
      </c>
      <c r="W8" s="47">
        <v>1</v>
      </c>
      <c r="X8" s="47">
        <v>0</v>
      </c>
      <c r="Y8" s="47">
        <v>0</v>
      </c>
      <c r="Z8" s="47">
        <v>1</v>
      </c>
      <c r="AA8" s="47">
        <v>0</v>
      </c>
      <c r="AB8" s="47">
        <v>0</v>
      </c>
      <c r="AC8" s="48"/>
    </row>
    <row r="9" spans="1:1026" ht="45.75" customHeight="1">
      <c r="A9" s="42"/>
      <c r="B9" s="20">
        <f t="shared" si="5"/>
        <v>3</v>
      </c>
      <c r="C9" s="20">
        <f t="shared" si="6"/>
        <v>8</v>
      </c>
      <c r="D9" s="21">
        <f t="shared" si="7"/>
        <v>6</v>
      </c>
      <c r="E9" s="22">
        <f t="shared" si="8"/>
        <v>2</v>
      </c>
      <c r="F9" s="22">
        <f t="shared" si="9"/>
        <v>1</v>
      </c>
      <c r="G9" s="22">
        <f t="shared" si="10"/>
        <v>0</v>
      </c>
      <c r="H9" s="23">
        <f t="shared" si="11"/>
        <v>1</v>
      </c>
      <c r="I9" s="24">
        <f t="shared" si="12"/>
        <v>1</v>
      </c>
      <c r="J9" s="20">
        <f t="shared" si="13"/>
        <v>1</v>
      </c>
      <c r="K9" s="20">
        <f t="shared" si="14"/>
        <v>1</v>
      </c>
      <c r="L9" s="20">
        <f t="shared" si="15"/>
        <v>1</v>
      </c>
      <c r="M9" s="20">
        <f t="shared" si="16"/>
        <v>0</v>
      </c>
      <c r="N9" s="20">
        <f t="shared" si="17"/>
        <v>0</v>
      </c>
      <c r="O9" s="20">
        <f t="shared" si="18"/>
        <v>0</v>
      </c>
      <c r="P9" s="20">
        <f t="shared" si="19"/>
        <v>0</v>
      </c>
      <c r="T9" s="44"/>
      <c r="U9" s="47">
        <v>1</v>
      </c>
      <c r="V9" s="47">
        <v>0</v>
      </c>
      <c r="W9" s="47">
        <v>1</v>
      </c>
      <c r="X9" s="47">
        <v>0</v>
      </c>
      <c r="Y9" s="47">
        <v>0</v>
      </c>
      <c r="Z9" s="47">
        <v>1</v>
      </c>
      <c r="AA9" s="47">
        <v>0</v>
      </c>
      <c r="AB9" s="47">
        <v>0</v>
      </c>
      <c r="AC9" s="48"/>
    </row>
    <row r="10" spans="1:1026" ht="45.75" customHeight="1">
      <c r="A10" s="42"/>
      <c r="B10" s="20">
        <f t="shared" si="5"/>
        <v>2</v>
      </c>
      <c r="C10" s="20">
        <f t="shared" si="6"/>
        <v>8</v>
      </c>
      <c r="D10" s="21">
        <f t="shared" si="7"/>
        <v>5</v>
      </c>
      <c r="E10" s="22">
        <f t="shared" si="8"/>
        <v>2</v>
      </c>
      <c r="F10" s="22">
        <f t="shared" si="9"/>
        <v>0</v>
      </c>
      <c r="G10" s="22">
        <f t="shared" si="10"/>
        <v>0</v>
      </c>
      <c r="H10" s="23">
        <f t="shared" si="11"/>
        <v>1</v>
      </c>
      <c r="I10" s="24">
        <f t="shared" si="12"/>
        <v>1</v>
      </c>
      <c r="J10" s="20">
        <f t="shared" si="13"/>
        <v>1</v>
      </c>
      <c r="K10" s="20">
        <f t="shared" si="14"/>
        <v>1</v>
      </c>
      <c r="L10" s="20">
        <f t="shared" si="15"/>
        <v>0</v>
      </c>
      <c r="M10" s="20">
        <f t="shared" si="16"/>
        <v>0</v>
      </c>
      <c r="N10" s="20">
        <f t="shared" si="17"/>
        <v>0</v>
      </c>
      <c r="O10" s="20">
        <f t="shared" si="18"/>
        <v>0</v>
      </c>
      <c r="P10" s="20">
        <f t="shared" si="19"/>
        <v>0</v>
      </c>
      <c r="T10" s="44"/>
      <c r="U10" s="47">
        <v>1</v>
      </c>
      <c r="V10" s="47">
        <v>0</v>
      </c>
      <c r="W10" s="47">
        <v>0</v>
      </c>
      <c r="X10" s="47">
        <v>0</v>
      </c>
      <c r="Y10" s="47">
        <v>0</v>
      </c>
      <c r="Z10" s="47">
        <v>1</v>
      </c>
      <c r="AA10" s="47">
        <v>0</v>
      </c>
      <c r="AB10" s="47">
        <v>0</v>
      </c>
      <c r="AC10" s="48"/>
    </row>
    <row r="11" spans="1:1026" ht="45.75" customHeight="1">
      <c r="A11" s="42"/>
      <c r="B11" s="20">
        <f t="shared" si="5"/>
        <v>3</v>
      </c>
      <c r="C11" s="20">
        <f t="shared" si="6"/>
        <v>8</v>
      </c>
      <c r="D11" s="21">
        <f t="shared" si="7"/>
        <v>6</v>
      </c>
      <c r="E11" s="22">
        <f t="shared" si="8"/>
        <v>2</v>
      </c>
      <c r="F11" s="22">
        <f t="shared" si="9"/>
        <v>1</v>
      </c>
      <c r="G11" s="22">
        <f t="shared" si="10"/>
        <v>0</v>
      </c>
      <c r="H11" s="23">
        <f t="shared" si="11"/>
        <v>1</v>
      </c>
      <c r="I11" s="24">
        <f t="shared" si="12"/>
        <v>1</v>
      </c>
      <c r="J11" s="20">
        <f t="shared" si="13"/>
        <v>1</v>
      </c>
      <c r="K11" s="20">
        <f t="shared" si="14"/>
        <v>1</v>
      </c>
      <c r="L11" s="20">
        <f t="shared" si="15"/>
        <v>1</v>
      </c>
      <c r="M11" s="20">
        <f t="shared" si="16"/>
        <v>0</v>
      </c>
      <c r="N11" s="20">
        <f t="shared" si="17"/>
        <v>0</v>
      </c>
      <c r="O11" s="20">
        <f t="shared" si="18"/>
        <v>0</v>
      </c>
      <c r="P11" s="20">
        <f t="shared" si="19"/>
        <v>0</v>
      </c>
      <c r="T11" s="44"/>
      <c r="U11" s="47">
        <v>1</v>
      </c>
      <c r="V11" s="47">
        <v>0</v>
      </c>
      <c r="W11" s="47">
        <v>1</v>
      </c>
      <c r="X11" s="47">
        <v>0</v>
      </c>
      <c r="Y11" s="47">
        <v>0</v>
      </c>
      <c r="Z11" s="47">
        <v>1</v>
      </c>
      <c r="AA11" s="47">
        <v>0</v>
      </c>
      <c r="AB11" s="47">
        <v>0</v>
      </c>
      <c r="AC11" s="48"/>
    </row>
    <row r="12" spans="1:1026" ht="45.75" customHeight="1">
      <c r="A12" s="42"/>
      <c r="B12" s="20">
        <f t="shared" si="5"/>
        <v>5</v>
      </c>
      <c r="C12" s="20">
        <f t="shared" si="6"/>
        <v>8</v>
      </c>
      <c r="D12" s="21">
        <f t="shared" si="7"/>
        <v>7</v>
      </c>
      <c r="E12" s="22">
        <f t="shared" si="8"/>
        <v>2</v>
      </c>
      <c r="F12" s="22">
        <f t="shared" si="9"/>
        <v>3</v>
      </c>
      <c r="G12" s="22">
        <f t="shared" si="10"/>
        <v>0</v>
      </c>
      <c r="H12" s="23">
        <f t="shared" si="11"/>
        <v>1</v>
      </c>
      <c r="I12" s="24">
        <f t="shared" si="12"/>
        <v>1</v>
      </c>
      <c r="J12" s="20">
        <f t="shared" si="13"/>
        <v>1</v>
      </c>
      <c r="K12" s="20">
        <f t="shared" si="14"/>
        <v>1</v>
      </c>
      <c r="L12" s="20">
        <f t="shared" si="15"/>
        <v>1</v>
      </c>
      <c r="M12" s="20">
        <f t="shared" si="16"/>
        <v>1</v>
      </c>
      <c r="N12" s="20">
        <f t="shared" si="17"/>
        <v>0</v>
      </c>
      <c r="O12" s="20">
        <f t="shared" si="18"/>
        <v>0</v>
      </c>
      <c r="P12" s="20">
        <f t="shared" si="19"/>
        <v>0</v>
      </c>
      <c r="T12" s="44"/>
      <c r="U12" s="47">
        <v>1</v>
      </c>
      <c r="V12" s="47">
        <v>1</v>
      </c>
      <c r="W12" s="47">
        <v>1</v>
      </c>
      <c r="X12" s="47">
        <v>1</v>
      </c>
      <c r="Y12" s="47">
        <v>0</v>
      </c>
      <c r="Z12" s="47">
        <v>1</v>
      </c>
      <c r="AA12" s="47">
        <v>0</v>
      </c>
      <c r="AB12" s="47">
        <v>0</v>
      </c>
      <c r="AC12" s="48"/>
    </row>
    <row r="13" spans="1:1026" ht="45.75" customHeight="1">
      <c r="A13" s="42"/>
      <c r="B13" s="20">
        <f t="shared" si="5"/>
        <v>5</v>
      </c>
      <c r="C13" s="20">
        <f t="shared" si="6"/>
        <v>8</v>
      </c>
      <c r="D13" s="21">
        <f t="shared" si="7"/>
        <v>7</v>
      </c>
      <c r="E13" s="22">
        <f t="shared" si="8"/>
        <v>2</v>
      </c>
      <c r="F13" s="22">
        <f t="shared" si="9"/>
        <v>3</v>
      </c>
      <c r="G13" s="22">
        <f t="shared" si="10"/>
        <v>0</v>
      </c>
      <c r="H13" s="23">
        <f t="shared" si="11"/>
        <v>1</v>
      </c>
      <c r="I13" s="24">
        <f t="shared" si="12"/>
        <v>1</v>
      </c>
      <c r="J13" s="20">
        <f t="shared" si="13"/>
        <v>1</v>
      </c>
      <c r="K13" s="20">
        <f t="shared" si="14"/>
        <v>1</v>
      </c>
      <c r="L13" s="20">
        <f t="shared" si="15"/>
        <v>1</v>
      </c>
      <c r="M13" s="20">
        <f t="shared" si="16"/>
        <v>1</v>
      </c>
      <c r="N13" s="20">
        <f t="shared" si="17"/>
        <v>0</v>
      </c>
      <c r="O13" s="20">
        <f t="shared" si="18"/>
        <v>0</v>
      </c>
      <c r="P13" s="20">
        <f t="shared" si="19"/>
        <v>0</v>
      </c>
      <c r="T13" s="44"/>
      <c r="U13" s="47">
        <v>1</v>
      </c>
      <c r="V13" s="47">
        <v>1</v>
      </c>
      <c r="W13" s="47">
        <v>1</v>
      </c>
      <c r="X13" s="47">
        <v>1</v>
      </c>
      <c r="Y13" s="47">
        <v>0</v>
      </c>
      <c r="Z13" s="47">
        <v>1</v>
      </c>
      <c r="AA13" s="47">
        <v>0</v>
      </c>
      <c r="AB13" s="47">
        <v>0</v>
      </c>
      <c r="AC13" s="48"/>
    </row>
    <row r="14" spans="1:1026" ht="45.75" customHeight="1">
      <c r="A14" s="42"/>
      <c r="B14" s="20">
        <f t="shared" si="5"/>
        <v>2</v>
      </c>
      <c r="C14" s="20">
        <f t="shared" si="6"/>
        <v>8</v>
      </c>
      <c r="D14" s="21">
        <f t="shared" si="7"/>
        <v>5</v>
      </c>
      <c r="E14" s="22">
        <f t="shared" si="8"/>
        <v>2</v>
      </c>
      <c r="F14" s="22">
        <f t="shared" si="9"/>
        <v>0</v>
      </c>
      <c r="G14" s="22">
        <f t="shared" si="10"/>
        <v>0</v>
      </c>
      <c r="H14" s="23">
        <f t="shared" si="11"/>
        <v>1</v>
      </c>
      <c r="I14" s="24">
        <f t="shared" si="12"/>
        <v>1</v>
      </c>
      <c r="J14" s="20">
        <f t="shared" si="13"/>
        <v>1</v>
      </c>
      <c r="K14" s="20">
        <f t="shared" si="14"/>
        <v>1</v>
      </c>
      <c r="L14" s="20">
        <f t="shared" si="15"/>
        <v>0</v>
      </c>
      <c r="M14" s="20">
        <f t="shared" si="16"/>
        <v>0</v>
      </c>
      <c r="N14" s="20">
        <f t="shared" si="17"/>
        <v>0</v>
      </c>
      <c r="O14" s="20">
        <f t="shared" si="18"/>
        <v>0</v>
      </c>
      <c r="P14" s="20">
        <f t="shared" si="19"/>
        <v>0</v>
      </c>
      <c r="T14" s="44"/>
      <c r="U14" s="47">
        <v>1</v>
      </c>
      <c r="V14" s="47">
        <v>0</v>
      </c>
      <c r="W14" s="47">
        <v>0</v>
      </c>
      <c r="X14" s="47">
        <v>0</v>
      </c>
      <c r="Y14" s="47">
        <v>0</v>
      </c>
      <c r="Z14" s="47">
        <v>1</v>
      </c>
      <c r="AA14" s="47">
        <v>0</v>
      </c>
      <c r="AB14" s="47">
        <v>0</v>
      </c>
      <c r="AC14" s="48"/>
    </row>
    <row r="15" spans="1:1026" ht="45.75" customHeight="1">
      <c r="A15" s="42"/>
      <c r="B15" s="20">
        <f t="shared" si="5"/>
        <v>2</v>
      </c>
      <c r="C15" s="20">
        <f t="shared" si="6"/>
        <v>8</v>
      </c>
      <c r="D15" s="21">
        <f t="shared" si="7"/>
        <v>5</v>
      </c>
      <c r="E15" s="22">
        <f t="shared" si="8"/>
        <v>2</v>
      </c>
      <c r="F15" s="22">
        <f t="shared" si="9"/>
        <v>0</v>
      </c>
      <c r="G15" s="22">
        <f t="shared" si="10"/>
        <v>0</v>
      </c>
      <c r="H15" s="23">
        <f t="shared" si="11"/>
        <v>1</v>
      </c>
      <c r="I15" s="24">
        <f t="shared" si="12"/>
        <v>1</v>
      </c>
      <c r="J15" s="20">
        <f t="shared" si="13"/>
        <v>1</v>
      </c>
      <c r="K15" s="20">
        <f t="shared" si="14"/>
        <v>1</v>
      </c>
      <c r="L15" s="20">
        <f t="shared" si="15"/>
        <v>0</v>
      </c>
      <c r="M15" s="20">
        <f t="shared" si="16"/>
        <v>0</v>
      </c>
      <c r="N15" s="20">
        <f t="shared" si="17"/>
        <v>0</v>
      </c>
      <c r="O15" s="20">
        <f t="shared" si="18"/>
        <v>0</v>
      </c>
      <c r="P15" s="20">
        <f t="shared" si="19"/>
        <v>0</v>
      </c>
      <c r="T15" s="44"/>
      <c r="U15" s="47">
        <v>1</v>
      </c>
      <c r="V15" s="47">
        <v>0</v>
      </c>
      <c r="W15" s="47">
        <v>0</v>
      </c>
      <c r="X15" s="47">
        <v>0</v>
      </c>
      <c r="Y15" s="47">
        <v>0</v>
      </c>
      <c r="Z15" s="47">
        <v>1</v>
      </c>
      <c r="AA15" s="47">
        <v>0</v>
      </c>
      <c r="AB15" s="47">
        <v>0</v>
      </c>
      <c r="AC15" s="48"/>
    </row>
    <row r="16" spans="1:1026" ht="45.75" customHeight="1">
      <c r="A16" s="42"/>
      <c r="B16" s="20">
        <f t="shared" si="5"/>
        <v>3</v>
      </c>
      <c r="C16" s="20">
        <f t="shared" si="6"/>
        <v>8</v>
      </c>
      <c r="D16" s="21">
        <f t="shared" si="7"/>
        <v>6</v>
      </c>
      <c r="E16" s="22">
        <f t="shared" si="8"/>
        <v>2</v>
      </c>
      <c r="F16" s="22">
        <f t="shared" si="9"/>
        <v>1</v>
      </c>
      <c r="G16" s="22">
        <f t="shared" si="10"/>
        <v>0</v>
      </c>
      <c r="H16" s="23">
        <f t="shared" si="11"/>
        <v>1</v>
      </c>
      <c r="I16" s="24">
        <f t="shared" si="12"/>
        <v>1</v>
      </c>
      <c r="J16" s="20">
        <f t="shared" si="13"/>
        <v>1</v>
      </c>
      <c r="K16" s="20">
        <f t="shared" si="14"/>
        <v>1</v>
      </c>
      <c r="L16" s="20">
        <f t="shared" si="15"/>
        <v>1</v>
      </c>
      <c r="M16" s="20">
        <f t="shared" si="16"/>
        <v>0</v>
      </c>
      <c r="N16" s="20">
        <f t="shared" si="17"/>
        <v>0</v>
      </c>
      <c r="O16" s="20">
        <f t="shared" si="18"/>
        <v>0</v>
      </c>
      <c r="P16" s="20">
        <f t="shared" si="19"/>
        <v>0</v>
      </c>
      <c r="T16" s="44"/>
      <c r="U16" s="47">
        <v>1</v>
      </c>
      <c r="V16" s="47">
        <v>1</v>
      </c>
      <c r="W16" s="47">
        <v>0</v>
      </c>
      <c r="X16" s="47">
        <v>0</v>
      </c>
      <c r="Y16" s="47">
        <v>0</v>
      </c>
      <c r="Z16" s="47">
        <v>1</v>
      </c>
      <c r="AA16" s="47">
        <v>0</v>
      </c>
      <c r="AB16" s="47">
        <v>0</v>
      </c>
      <c r="AC16" s="48"/>
    </row>
    <row r="17" spans="1:29" ht="45.75" customHeight="1">
      <c r="A17" s="42"/>
      <c r="B17" s="20">
        <f t="shared" si="5"/>
        <v>2</v>
      </c>
      <c r="C17" s="20">
        <f t="shared" si="6"/>
        <v>8</v>
      </c>
      <c r="D17" s="21">
        <f t="shared" si="7"/>
        <v>5</v>
      </c>
      <c r="E17" s="22">
        <f t="shared" si="8"/>
        <v>2</v>
      </c>
      <c r="F17" s="22">
        <f t="shared" si="9"/>
        <v>0</v>
      </c>
      <c r="G17" s="22">
        <f t="shared" si="10"/>
        <v>0</v>
      </c>
      <c r="H17" s="23">
        <f t="shared" si="11"/>
        <v>1</v>
      </c>
      <c r="I17" s="24">
        <f t="shared" si="12"/>
        <v>1</v>
      </c>
      <c r="J17" s="20">
        <f t="shared" si="13"/>
        <v>1</v>
      </c>
      <c r="K17" s="20">
        <f t="shared" si="14"/>
        <v>1</v>
      </c>
      <c r="L17" s="20">
        <f t="shared" si="15"/>
        <v>0</v>
      </c>
      <c r="M17" s="20">
        <f t="shared" si="16"/>
        <v>0</v>
      </c>
      <c r="N17" s="20">
        <f t="shared" si="17"/>
        <v>0</v>
      </c>
      <c r="O17" s="20">
        <f t="shared" si="18"/>
        <v>0</v>
      </c>
      <c r="P17" s="20">
        <f t="shared" si="19"/>
        <v>0</v>
      </c>
      <c r="T17" s="44"/>
      <c r="U17" s="47">
        <v>1</v>
      </c>
      <c r="V17" s="47">
        <v>0</v>
      </c>
      <c r="W17" s="47">
        <v>0</v>
      </c>
      <c r="X17" s="47">
        <v>0</v>
      </c>
      <c r="Y17" s="47">
        <v>0</v>
      </c>
      <c r="Z17" s="47">
        <v>1</v>
      </c>
      <c r="AA17" s="47">
        <v>0</v>
      </c>
      <c r="AB17" s="47">
        <v>0</v>
      </c>
      <c r="AC17" s="48"/>
    </row>
    <row r="18" spans="1:29" ht="45.75" customHeight="1">
      <c r="A18" s="42"/>
      <c r="B18" s="20">
        <f t="shared" si="5"/>
        <v>5</v>
      </c>
      <c r="C18" s="20">
        <f t="shared" si="6"/>
        <v>8</v>
      </c>
      <c r="D18" s="21">
        <f t="shared" si="7"/>
        <v>7</v>
      </c>
      <c r="E18" s="22">
        <f t="shared" si="8"/>
        <v>2</v>
      </c>
      <c r="F18" s="22">
        <f t="shared" si="9"/>
        <v>3</v>
      </c>
      <c r="G18" s="22">
        <f t="shared" si="10"/>
        <v>0</v>
      </c>
      <c r="H18" s="23">
        <f t="shared" si="11"/>
        <v>1</v>
      </c>
      <c r="I18" s="24">
        <f t="shared" si="12"/>
        <v>1</v>
      </c>
      <c r="J18" s="20">
        <f t="shared" si="13"/>
        <v>1</v>
      </c>
      <c r="K18" s="20">
        <f t="shared" si="14"/>
        <v>1</v>
      </c>
      <c r="L18" s="20">
        <f t="shared" si="15"/>
        <v>1</v>
      </c>
      <c r="M18" s="20">
        <f t="shared" si="16"/>
        <v>1</v>
      </c>
      <c r="N18" s="20">
        <f t="shared" si="17"/>
        <v>0</v>
      </c>
      <c r="O18" s="20">
        <f t="shared" si="18"/>
        <v>0</v>
      </c>
      <c r="P18" s="20">
        <f t="shared" si="19"/>
        <v>0</v>
      </c>
      <c r="T18" s="44"/>
      <c r="U18" s="47">
        <v>1</v>
      </c>
      <c r="V18" s="47">
        <v>1</v>
      </c>
      <c r="W18" s="47">
        <v>1</v>
      </c>
      <c r="X18" s="47">
        <v>1</v>
      </c>
      <c r="Y18" s="47">
        <v>0</v>
      </c>
      <c r="Z18" s="47">
        <v>1</v>
      </c>
      <c r="AA18" s="47">
        <v>0</v>
      </c>
      <c r="AB18" s="47">
        <v>0</v>
      </c>
      <c r="AC18" s="48"/>
    </row>
    <row r="19" spans="1:29" ht="45.75" customHeight="1">
      <c r="A19" s="42"/>
      <c r="B19" s="20">
        <f t="shared" si="5"/>
        <v>7</v>
      </c>
      <c r="C19" s="20">
        <f t="shared" si="6"/>
        <v>8</v>
      </c>
      <c r="D19" s="21">
        <f t="shared" si="7"/>
        <v>9</v>
      </c>
      <c r="E19" s="22">
        <f t="shared" si="8"/>
        <v>2</v>
      </c>
      <c r="F19" s="22">
        <f t="shared" si="9"/>
        <v>3</v>
      </c>
      <c r="G19" s="22">
        <f t="shared" si="10"/>
        <v>2</v>
      </c>
      <c r="H19" s="23">
        <f t="shared" si="11"/>
        <v>1</v>
      </c>
      <c r="I19" s="24">
        <f t="shared" si="12"/>
        <v>1</v>
      </c>
      <c r="J19" s="20">
        <f t="shared" si="13"/>
        <v>1</v>
      </c>
      <c r="K19" s="20">
        <f t="shared" si="14"/>
        <v>1</v>
      </c>
      <c r="L19" s="20">
        <f t="shared" si="15"/>
        <v>1</v>
      </c>
      <c r="M19" s="20">
        <f t="shared" si="16"/>
        <v>1</v>
      </c>
      <c r="N19" s="20">
        <f t="shared" si="17"/>
        <v>1</v>
      </c>
      <c r="O19" s="20">
        <f t="shared" si="18"/>
        <v>0</v>
      </c>
      <c r="P19" s="20">
        <f t="shared" si="19"/>
        <v>0</v>
      </c>
      <c r="T19" s="44"/>
      <c r="U19" s="47">
        <v>1</v>
      </c>
      <c r="V19" s="47">
        <v>1</v>
      </c>
      <c r="W19" s="47">
        <v>1</v>
      </c>
      <c r="X19" s="47">
        <v>1</v>
      </c>
      <c r="Y19" s="47">
        <v>1</v>
      </c>
      <c r="Z19" s="47">
        <v>1</v>
      </c>
      <c r="AA19" s="47">
        <v>1</v>
      </c>
      <c r="AB19" s="47">
        <v>0</v>
      </c>
      <c r="AC19" s="48"/>
    </row>
    <row r="20" spans="1:29" ht="45.75" customHeight="1">
      <c r="A20" s="42"/>
      <c r="B20" s="20">
        <f t="shared" si="5"/>
        <v>4</v>
      </c>
      <c r="C20" s="20">
        <f t="shared" si="6"/>
        <v>8</v>
      </c>
      <c r="D20" s="21">
        <f t="shared" si="7"/>
        <v>6</v>
      </c>
      <c r="E20" s="22">
        <f t="shared" si="8"/>
        <v>2</v>
      </c>
      <c r="F20" s="22">
        <f t="shared" si="9"/>
        <v>2</v>
      </c>
      <c r="G20" s="22">
        <f t="shared" si="10"/>
        <v>0</v>
      </c>
      <c r="H20" s="23">
        <f t="shared" si="11"/>
        <v>1</v>
      </c>
      <c r="I20" s="24">
        <f t="shared" si="12"/>
        <v>1</v>
      </c>
      <c r="J20" s="20">
        <f t="shared" si="13"/>
        <v>1</v>
      </c>
      <c r="K20" s="20">
        <f t="shared" si="14"/>
        <v>1</v>
      </c>
      <c r="L20" s="20">
        <f t="shared" si="15"/>
        <v>1</v>
      </c>
      <c r="M20" s="20">
        <f t="shared" si="16"/>
        <v>1</v>
      </c>
      <c r="N20" s="20">
        <f t="shared" si="17"/>
        <v>0</v>
      </c>
      <c r="O20" s="20">
        <f t="shared" si="18"/>
        <v>0</v>
      </c>
      <c r="P20" s="20">
        <f t="shared" si="19"/>
        <v>0</v>
      </c>
      <c r="T20" s="44"/>
      <c r="U20" s="47">
        <v>1</v>
      </c>
      <c r="V20" s="47">
        <v>0</v>
      </c>
      <c r="W20" s="47">
        <v>1</v>
      </c>
      <c r="X20" s="47">
        <v>1</v>
      </c>
      <c r="Y20" s="47">
        <v>0</v>
      </c>
      <c r="Z20" s="47">
        <v>1</v>
      </c>
      <c r="AA20" s="47">
        <v>0</v>
      </c>
      <c r="AB20" s="47">
        <v>0</v>
      </c>
      <c r="AC20" s="48"/>
    </row>
    <row r="21" spans="1:29" ht="45.75" customHeight="1">
      <c r="A21" s="42"/>
      <c r="B21" s="20">
        <f t="shared" si="5"/>
        <v>5</v>
      </c>
      <c r="C21" s="20">
        <f t="shared" si="6"/>
        <v>8</v>
      </c>
      <c r="D21" s="21">
        <f t="shared" si="7"/>
        <v>7</v>
      </c>
      <c r="E21" s="22">
        <f t="shared" si="8"/>
        <v>2</v>
      </c>
      <c r="F21" s="22">
        <f t="shared" si="9"/>
        <v>1</v>
      </c>
      <c r="G21" s="22">
        <f t="shared" si="10"/>
        <v>2</v>
      </c>
      <c r="H21" s="23">
        <f t="shared" si="11"/>
        <v>1</v>
      </c>
      <c r="I21" s="24">
        <f t="shared" si="12"/>
        <v>1</v>
      </c>
      <c r="J21" s="20">
        <f t="shared" si="13"/>
        <v>1</v>
      </c>
      <c r="K21" s="20">
        <f t="shared" si="14"/>
        <v>1</v>
      </c>
      <c r="L21" s="20">
        <f t="shared" si="15"/>
        <v>1</v>
      </c>
      <c r="M21" s="20">
        <f t="shared" si="16"/>
        <v>1</v>
      </c>
      <c r="N21" s="20">
        <f t="shared" si="17"/>
        <v>0</v>
      </c>
      <c r="O21" s="20">
        <f t="shared" si="18"/>
        <v>0</v>
      </c>
      <c r="P21" s="20">
        <f t="shared" si="19"/>
        <v>0</v>
      </c>
      <c r="T21" s="44"/>
      <c r="U21" s="47">
        <v>1</v>
      </c>
      <c r="V21" s="47">
        <v>0</v>
      </c>
      <c r="W21" s="47">
        <v>1</v>
      </c>
      <c r="X21" s="47">
        <v>0</v>
      </c>
      <c r="Y21" s="47">
        <v>1</v>
      </c>
      <c r="Z21" s="47">
        <v>1</v>
      </c>
      <c r="AA21" s="47">
        <v>1</v>
      </c>
      <c r="AB21" s="47">
        <v>0</v>
      </c>
      <c r="AC21" s="48"/>
    </row>
    <row r="22" spans="1:29" ht="45.75" customHeight="1">
      <c r="A22" s="42"/>
      <c r="B22" s="20">
        <f t="shared" si="5"/>
        <v>5</v>
      </c>
      <c r="C22" s="20">
        <f t="shared" si="6"/>
        <v>8</v>
      </c>
      <c r="D22" s="21">
        <f t="shared" si="7"/>
        <v>7</v>
      </c>
      <c r="E22" s="22">
        <f t="shared" si="8"/>
        <v>2</v>
      </c>
      <c r="F22" s="22">
        <f t="shared" si="9"/>
        <v>3</v>
      </c>
      <c r="G22" s="22">
        <f t="shared" si="10"/>
        <v>0</v>
      </c>
      <c r="H22" s="23">
        <f t="shared" si="11"/>
        <v>1</v>
      </c>
      <c r="I22" s="24">
        <f t="shared" si="12"/>
        <v>1</v>
      </c>
      <c r="J22" s="20">
        <f t="shared" si="13"/>
        <v>1</v>
      </c>
      <c r="K22" s="20">
        <f t="shared" si="14"/>
        <v>1</v>
      </c>
      <c r="L22" s="20">
        <f t="shared" si="15"/>
        <v>1</v>
      </c>
      <c r="M22" s="20">
        <f t="shared" si="16"/>
        <v>1</v>
      </c>
      <c r="N22" s="20">
        <f t="shared" si="17"/>
        <v>0</v>
      </c>
      <c r="O22" s="20">
        <f t="shared" si="18"/>
        <v>0</v>
      </c>
      <c r="P22" s="20">
        <f t="shared" si="19"/>
        <v>0</v>
      </c>
      <c r="T22" s="44"/>
      <c r="U22" s="47">
        <v>1</v>
      </c>
      <c r="V22" s="47">
        <v>1</v>
      </c>
      <c r="W22" s="47">
        <v>1</v>
      </c>
      <c r="X22" s="47">
        <v>1</v>
      </c>
      <c r="Y22" s="47">
        <v>0</v>
      </c>
      <c r="Z22" s="47">
        <v>1</v>
      </c>
      <c r="AA22" s="47">
        <v>0</v>
      </c>
      <c r="AB22" s="47">
        <v>0</v>
      </c>
      <c r="AC22" s="48"/>
    </row>
    <row r="23" spans="1:29" ht="45.75" customHeight="1">
      <c r="A23" s="42"/>
      <c r="B23" s="20">
        <f t="shared" si="5"/>
        <v>3</v>
      </c>
      <c r="C23" s="20">
        <f t="shared" si="6"/>
        <v>8</v>
      </c>
      <c r="D23" s="21">
        <f t="shared" si="7"/>
        <v>6</v>
      </c>
      <c r="E23" s="22">
        <f t="shared" si="8"/>
        <v>2</v>
      </c>
      <c r="F23" s="22">
        <f t="shared" si="9"/>
        <v>1</v>
      </c>
      <c r="G23" s="22">
        <f t="shared" si="10"/>
        <v>0</v>
      </c>
      <c r="H23" s="23">
        <f t="shared" si="11"/>
        <v>1</v>
      </c>
      <c r="I23" s="24">
        <f t="shared" si="12"/>
        <v>1</v>
      </c>
      <c r="J23" s="20">
        <f t="shared" si="13"/>
        <v>1</v>
      </c>
      <c r="K23" s="20">
        <f t="shared" si="14"/>
        <v>1</v>
      </c>
      <c r="L23" s="20">
        <f t="shared" si="15"/>
        <v>1</v>
      </c>
      <c r="M23" s="20">
        <f t="shared" si="16"/>
        <v>0</v>
      </c>
      <c r="N23" s="20">
        <f t="shared" si="17"/>
        <v>0</v>
      </c>
      <c r="O23" s="20">
        <f t="shared" si="18"/>
        <v>0</v>
      </c>
      <c r="P23" s="20">
        <f t="shared" si="19"/>
        <v>0</v>
      </c>
      <c r="T23" s="44"/>
      <c r="U23" s="47">
        <v>1</v>
      </c>
      <c r="V23" s="47">
        <v>0</v>
      </c>
      <c r="W23" s="47">
        <v>1</v>
      </c>
      <c r="X23" s="47">
        <v>0</v>
      </c>
      <c r="Y23" s="47">
        <v>0</v>
      </c>
      <c r="Z23" s="47">
        <v>1</v>
      </c>
      <c r="AA23" s="47">
        <v>0</v>
      </c>
      <c r="AB23" s="47">
        <v>0</v>
      </c>
      <c r="AC23" s="48"/>
    </row>
    <row r="24" spans="1:29" ht="45.75" customHeight="1">
      <c r="A24" s="42"/>
      <c r="B24" s="20">
        <f t="shared" si="5"/>
        <v>4</v>
      </c>
      <c r="C24" s="20">
        <f t="shared" si="6"/>
        <v>8</v>
      </c>
      <c r="D24" s="21">
        <f t="shared" si="7"/>
        <v>6</v>
      </c>
      <c r="E24" s="22">
        <f t="shared" si="8"/>
        <v>2</v>
      </c>
      <c r="F24" s="22">
        <f t="shared" si="9"/>
        <v>1</v>
      </c>
      <c r="G24" s="22">
        <f t="shared" si="10"/>
        <v>1</v>
      </c>
      <c r="H24" s="23">
        <f t="shared" si="11"/>
        <v>1</v>
      </c>
      <c r="I24" s="24">
        <f t="shared" si="12"/>
        <v>1</v>
      </c>
      <c r="J24" s="20">
        <f t="shared" si="13"/>
        <v>1</v>
      </c>
      <c r="K24" s="20">
        <f t="shared" si="14"/>
        <v>1</v>
      </c>
      <c r="L24" s="20">
        <f t="shared" si="15"/>
        <v>1</v>
      </c>
      <c r="M24" s="20">
        <f t="shared" si="16"/>
        <v>1</v>
      </c>
      <c r="N24" s="20">
        <f t="shared" si="17"/>
        <v>0</v>
      </c>
      <c r="O24" s="20">
        <f t="shared" si="18"/>
        <v>0</v>
      </c>
      <c r="P24" s="20">
        <f t="shared" si="19"/>
        <v>0</v>
      </c>
      <c r="T24" s="44"/>
      <c r="U24" s="47">
        <v>1</v>
      </c>
      <c r="V24" s="47">
        <v>0</v>
      </c>
      <c r="W24" s="47">
        <v>1</v>
      </c>
      <c r="X24" s="47">
        <v>0</v>
      </c>
      <c r="Y24" s="47">
        <v>1</v>
      </c>
      <c r="Z24" s="47">
        <v>1</v>
      </c>
      <c r="AA24" s="47">
        <v>0</v>
      </c>
      <c r="AB24" s="47">
        <v>0</v>
      </c>
      <c r="AC24" s="48"/>
    </row>
    <row r="25" spans="1:29" ht="45.75" customHeight="1">
      <c r="A25" s="42"/>
      <c r="B25" s="20">
        <f t="shared" si="5"/>
        <v>2</v>
      </c>
      <c r="C25" s="20">
        <f t="shared" si="6"/>
        <v>8</v>
      </c>
      <c r="D25" s="21">
        <f t="shared" si="7"/>
        <v>5</v>
      </c>
      <c r="E25" s="22">
        <f t="shared" si="8"/>
        <v>2</v>
      </c>
      <c r="F25" s="22">
        <f t="shared" si="9"/>
        <v>0</v>
      </c>
      <c r="G25" s="22">
        <f t="shared" si="10"/>
        <v>0</v>
      </c>
      <c r="H25" s="23">
        <f t="shared" si="11"/>
        <v>1</v>
      </c>
      <c r="I25" s="24">
        <f t="shared" si="12"/>
        <v>1</v>
      </c>
      <c r="J25" s="20">
        <f t="shared" si="13"/>
        <v>1</v>
      </c>
      <c r="K25" s="20">
        <f t="shared" si="14"/>
        <v>1</v>
      </c>
      <c r="L25" s="20">
        <f t="shared" si="15"/>
        <v>0</v>
      </c>
      <c r="M25" s="20">
        <f t="shared" si="16"/>
        <v>0</v>
      </c>
      <c r="N25" s="20">
        <f t="shared" si="17"/>
        <v>0</v>
      </c>
      <c r="O25" s="20">
        <f t="shared" si="18"/>
        <v>0</v>
      </c>
      <c r="P25" s="20">
        <f t="shared" si="19"/>
        <v>0</v>
      </c>
      <c r="T25" s="44"/>
      <c r="U25" s="47">
        <v>1</v>
      </c>
      <c r="V25" s="47">
        <v>0</v>
      </c>
      <c r="W25" s="47">
        <v>0</v>
      </c>
      <c r="X25" s="47">
        <v>0</v>
      </c>
      <c r="Y25" s="47">
        <v>0</v>
      </c>
      <c r="Z25" s="47">
        <v>1</v>
      </c>
      <c r="AA25" s="47">
        <v>0</v>
      </c>
      <c r="AB25" s="47">
        <v>0</v>
      </c>
      <c r="AC25" s="48"/>
    </row>
    <row r="26" spans="1:29" ht="45.75" customHeight="1">
      <c r="A26" s="42"/>
      <c r="B26" s="20">
        <f t="shared" si="5"/>
        <v>3</v>
      </c>
      <c r="C26" s="20">
        <f t="shared" si="6"/>
        <v>8</v>
      </c>
      <c r="D26" s="21">
        <f t="shared" si="7"/>
        <v>6</v>
      </c>
      <c r="E26" s="22">
        <f t="shared" si="8"/>
        <v>2</v>
      </c>
      <c r="F26" s="22">
        <f t="shared" si="9"/>
        <v>1</v>
      </c>
      <c r="G26" s="22">
        <f t="shared" si="10"/>
        <v>0</v>
      </c>
      <c r="H26" s="23">
        <f t="shared" si="11"/>
        <v>1</v>
      </c>
      <c r="I26" s="24">
        <f t="shared" si="12"/>
        <v>1</v>
      </c>
      <c r="J26" s="20">
        <f t="shared" si="13"/>
        <v>1</v>
      </c>
      <c r="K26" s="20">
        <f t="shared" si="14"/>
        <v>1</v>
      </c>
      <c r="L26" s="20">
        <f t="shared" si="15"/>
        <v>1</v>
      </c>
      <c r="M26" s="20">
        <f t="shared" si="16"/>
        <v>0</v>
      </c>
      <c r="N26" s="20">
        <f t="shared" si="17"/>
        <v>0</v>
      </c>
      <c r="O26" s="20">
        <f t="shared" si="18"/>
        <v>0</v>
      </c>
      <c r="P26" s="20">
        <f t="shared" si="19"/>
        <v>0</v>
      </c>
      <c r="T26" s="44"/>
      <c r="U26" s="47">
        <v>1</v>
      </c>
      <c r="V26" s="47">
        <v>0</v>
      </c>
      <c r="W26" s="47">
        <v>1</v>
      </c>
      <c r="X26" s="47">
        <v>0</v>
      </c>
      <c r="Y26" s="47">
        <v>0</v>
      </c>
      <c r="Z26" s="47">
        <v>1</v>
      </c>
      <c r="AA26" s="47">
        <v>0</v>
      </c>
      <c r="AB26" s="47">
        <v>0</v>
      </c>
      <c r="AC26" s="48"/>
    </row>
    <row r="27" spans="1:29" ht="45.75" customHeight="1">
      <c r="A27" s="42"/>
      <c r="B27" s="20">
        <f t="shared" si="5"/>
        <v>3</v>
      </c>
      <c r="C27" s="20">
        <f t="shared" si="6"/>
        <v>8</v>
      </c>
      <c r="D27" s="21">
        <f t="shared" si="7"/>
        <v>6</v>
      </c>
      <c r="E27" s="22">
        <f t="shared" si="8"/>
        <v>2</v>
      </c>
      <c r="F27" s="22">
        <f t="shared" si="9"/>
        <v>1</v>
      </c>
      <c r="G27" s="22">
        <f t="shared" si="10"/>
        <v>0</v>
      </c>
      <c r="H27" s="23">
        <f t="shared" si="11"/>
        <v>1</v>
      </c>
      <c r="I27" s="24">
        <f t="shared" si="12"/>
        <v>1</v>
      </c>
      <c r="J27" s="20">
        <f t="shared" si="13"/>
        <v>1</v>
      </c>
      <c r="K27" s="20">
        <f t="shared" si="14"/>
        <v>1</v>
      </c>
      <c r="L27" s="20">
        <f t="shared" si="15"/>
        <v>1</v>
      </c>
      <c r="M27" s="20">
        <f t="shared" si="16"/>
        <v>0</v>
      </c>
      <c r="N27" s="20">
        <f t="shared" si="17"/>
        <v>0</v>
      </c>
      <c r="O27" s="20">
        <f t="shared" si="18"/>
        <v>0</v>
      </c>
      <c r="P27" s="20">
        <f t="shared" si="19"/>
        <v>0</v>
      </c>
      <c r="T27" s="44"/>
      <c r="U27" s="47">
        <v>1</v>
      </c>
      <c r="V27" s="47">
        <v>0</v>
      </c>
      <c r="W27" s="47">
        <v>1</v>
      </c>
      <c r="X27" s="47">
        <v>0</v>
      </c>
      <c r="Y27" s="47">
        <v>0</v>
      </c>
      <c r="Z27" s="47">
        <v>1</v>
      </c>
      <c r="AA27" s="47">
        <v>0</v>
      </c>
      <c r="AB27" s="47">
        <v>0</v>
      </c>
      <c r="AC27" s="48"/>
    </row>
    <row r="28" spans="1:29" ht="45.75" customHeight="1">
      <c r="A28" s="42"/>
      <c r="B28" s="20">
        <f t="shared" si="5"/>
        <v>2</v>
      </c>
      <c r="C28" s="20">
        <f t="shared" si="6"/>
        <v>8</v>
      </c>
      <c r="D28" s="21">
        <f t="shared" si="7"/>
        <v>5</v>
      </c>
      <c r="E28" s="22">
        <f t="shared" si="8"/>
        <v>2</v>
      </c>
      <c r="F28" s="22">
        <f t="shared" si="9"/>
        <v>0</v>
      </c>
      <c r="G28" s="22">
        <f t="shared" si="10"/>
        <v>0</v>
      </c>
      <c r="H28" s="23">
        <f t="shared" si="11"/>
        <v>1</v>
      </c>
      <c r="I28" s="24">
        <f t="shared" si="12"/>
        <v>1</v>
      </c>
      <c r="J28" s="20">
        <f t="shared" si="13"/>
        <v>1</v>
      </c>
      <c r="K28" s="20">
        <f t="shared" si="14"/>
        <v>1</v>
      </c>
      <c r="L28" s="20">
        <f t="shared" si="15"/>
        <v>0</v>
      </c>
      <c r="M28" s="20">
        <f t="shared" si="16"/>
        <v>0</v>
      </c>
      <c r="N28" s="20">
        <f t="shared" si="17"/>
        <v>0</v>
      </c>
      <c r="O28" s="20">
        <f t="shared" si="18"/>
        <v>0</v>
      </c>
      <c r="P28" s="20">
        <f t="shared" si="19"/>
        <v>0</v>
      </c>
      <c r="T28" s="44"/>
      <c r="U28" s="47">
        <v>1</v>
      </c>
      <c r="V28" s="47">
        <v>0</v>
      </c>
      <c r="W28" s="47">
        <v>0</v>
      </c>
      <c r="X28" s="47">
        <v>0</v>
      </c>
      <c r="Y28" s="47">
        <v>0</v>
      </c>
      <c r="Z28" s="47">
        <v>1</v>
      </c>
      <c r="AA28" s="47">
        <v>0</v>
      </c>
      <c r="AB28" s="47">
        <v>0</v>
      </c>
      <c r="AC28" s="48"/>
    </row>
    <row r="29" spans="1:29" ht="45.75" customHeight="1">
      <c r="A29" s="42"/>
      <c r="B29" s="20">
        <f t="shared" si="5"/>
        <v>5</v>
      </c>
      <c r="C29" s="20">
        <f t="shared" si="6"/>
        <v>8</v>
      </c>
      <c r="D29" s="21">
        <f t="shared" si="7"/>
        <v>7</v>
      </c>
      <c r="E29" s="22">
        <f t="shared" si="8"/>
        <v>2</v>
      </c>
      <c r="F29" s="22">
        <f t="shared" si="9"/>
        <v>3</v>
      </c>
      <c r="G29" s="22">
        <f t="shared" si="10"/>
        <v>0</v>
      </c>
      <c r="H29" s="23">
        <f t="shared" si="11"/>
        <v>1</v>
      </c>
      <c r="I29" s="24">
        <f t="shared" si="12"/>
        <v>1</v>
      </c>
      <c r="J29" s="20">
        <f t="shared" si="13"/>
        <v>1</v>
      </c>
      <c r="K29" s="20">
        <f t="shared" si="14"/>
        <v>1</v>
      </c>
      <c r="L29" s="20">
        <f t="shared" si="15"/>
        <v>1</v>
      </c>
      <c r="M29" s="20">
        <f t="shared" si="16"/>
        <v>1</v>
      </c>
      <c r="N29" s="20">
        <f t="shared" si="17"/>
        <v>0</v>
      </c>
      <c r="O29" s="20">
        <f t="shared" si="18"/>
        <v>0</v>
      </c>
      <c r="P29" s="20">
        <f t="shared" si="19"/>
        <v>0</v>
      </c>
      <c r="T29" s="44"/>
      <c r="U29" s="47">
        <v>1</v>
      </c>
      <c r="V29" s="47">
        <v>1</v>
      </c>
      <c r="W29" s="47">
        <v>1</v>
      </c>
      <c r="X29" s="47">
        <v>1</v>
      </c>
      <c r="Y29" s="47">
        <v>0</v>
      </c>
      <c r="Z29" s="47">
        <v>1</v>
      </c>
      <c r="AA29" s="47">
        <v>0</v>
      </c>
      <c r="AB29" s="47">
        <v>0</v>
      </c>
      <c r="AC29" s="48"/>
    </row>
    <row r="30" spans="1:29" ht="45.75" customHeight="1">
      <c r="A30" s="42"/>
      <c r="B30" s="20">
        <f t="shared" si="5"/>
        <v>2</v>
      </c>
      <c r="C30" s="20">
        <f t="shared" si="6"/>
        <v>8</v>
      </c>
      <c r="D30" s="21">
        <f t="shared" si="7"/>
        <v>5</v>
      </c>
      <c r="E30" s="22">
        <f t="shared" si="8"/>
        <v>2</v>
      </c>
      <c r="F30" s="22">
        <f t="shared" si="9"/>
        <v>0</v>
      </c>
      <c r="G30" s="22">
        <f t="shared" si="10"/>
        <v>0</v>
      </c>
      <c r="H30" s="23">
        <f t="shared" si="11"/>
        <v>1</v>
      </c>
      <c r="I30" s="24">
        <f t="shared" si="12"/>
        <v>1</v>
      </c>
      <c r="J30" s="20">
        <f t="shared" si="13"/>
        <v>1</v>
      </c>
      <c r="K30" s="20">
        <f t="shared" si="14"/>
        <v>1</v>
      </c>
      <c r="L30" s="20">
        <f t="shared" si="15"/>
        <v>0</v>
      </c>
      <c r="M30" s="20">
        <f t="shared" si="16"/>
        <v>0</v>
      </c>
      <c r="N30" s="20">
        <f t="shared" si="17"/>
        <v>0</v>
      </c>
      <c r="O30" s="20">
        <f t="shared" si="18"/>
        <v>0</v>
      </c>
      <c r="P30" s="20">
        <f t="shared" si="19"/>
        <v>0</v>
      </c>
      <c r="T30" s="44"/>
      <c r="U30" s="47">
        <v>1</v>
      </c>
      <c r="V30" s="47">
        <v>0</v>
      </c>
      <c r="W30" s="47">
        <v>0</v>
      </c>
      <c r="X30" s="47">
        <v>0</v>
      </c>
      <c r="Y30" s="47">
        <v>0</v>
      </c>
      <c r="Z30" s="47">
        <v>1</v>
      </c>
      <c r="AA30" s="47">
        <v>0</v>
      </c>
      <c r="AB30" s="47">
        <v>0</v>
      </c>
      <c r="AC30" s="48"/>
    </row>
    <row r="31" spans="1:29" ht="45.75" customHeight="1">
      <c r="A31" s="42"/>
      <c r="B31" s="20">
        <f t="shared" si="5"/>
        <v>6</v>
      </c>
      <c r="C31" s="20">
        <f t="shared" si="6"/>
        <v>8</v>
      </c>
      <c r="D31" s="21">
        <f t="shared" si="7"/>
        <v>8</v>
      </c>
      <c r="E31" s="22">
        <f t="shared" si="8"/>
        <v>2</v>
      </c>
      <c r="F31" s="22">
        <f t="shared" si="9"/>
        <v>3</v>
      </c>
      <c r="G31" s="22">
        <f t="shared" si="10"/>
        <v>1</v>
      </c>
      <c r="H31" s="23">
        <f t="shared" si="11"/>
        <v>1</v>
      </c>
      <c r="I31" s="24">
        <f t="shared" si="12"/>
        <v>1</v>
      </c>
      <c r="J31" s="20">
        <f t="shared" si="13"/>
        <v>1</v>
      </c>
      <c r="K31" s="20">
        <f t="shared" si="14"/>
        <v>1</v>
      </c>
      <c r="L31" s="20">
        <f t="shared" si="15"/>
        <v>1</v>
      </c>
      <c r="M31" s="20">
        <f t="shared" si="16"/>
        <v>1</v>
      </c>
      <c r="N31" s="20">
        <f t="shared" si="17"/>
        <v>1</v>
      </c>
      <c r="O31" s="20">
        <f t="shared" si="18"/>
        <v>0</v>
      </c>
      <c r="P31" s="20">
        <f t="shared" si="19"/>
        <v>0</v>
      </c>
      <c r="T31" s="44"/>
      <c r="U31" s="47">
        <v>1</v>
      </c>
      <c r="V31" s="47">
        <v>1</v>
      </c>
      <c r="W31" s="47">
        <v>1</v>
      </c>
      <c r="X31" s="47">
        <v>1</v>
      </c>
      <c r="Y31" s="47">
        <v>1</v>
      </c>
      <c r="Z31" s="47">
        <v>1</v>
      </c>
      <c r="AA31" s="47">
        <v>0</v>
      </c>
      <c r="AB31" s="47">
        <v>0</v>
      </c>
      <c r="AC31" s="48"/>
    </row>
    <row r="32" spans="1:29" ht="45.75" customHeight="1">
      <c r="A32" s="42"/>
      <c r="B32" s="20">
        <f t="shared" si="5"/>
        <v>4</v>
      </c>
      <c r="C32" s="20">
        <f t="shared" si="6"/>
        <v>8</v>
      </c>
      <c r="D32" s="21">
        <f t="shared" si="7"/>
        <v>6</v>
      </c>
      <c r="E32" s="22">
        <f t="shared" si="8"/>
        <v>2</v>
      </c>
      <c r="F32" s="22">
        <f t="shared" si="9"/>
        <v>2</v>
      </c>
      <c r="G32" s="22">
        <f t="shared" si="10"/>
        <v>0</v>
      </c>
      <c r="H32" s="23">
        <f t="shared" si="11"/>
        <v>1</v>
      </c>
      <c r="I32" s="24">
        <f t="shared" si="12"/>
        <v>1</v>
      </c>
      <c r="J32" s="20">
        <f t="shared" si="13"/>
        <v>1</v>
      </c>
      <c r="K32" s="20">
        <f t="shared" si="14"/>
        <v>1</v>
      </c>
      <c r="L32" s="20">
        <f t="shared" si="15"/>
        <v>1</v>
      </c>
      <c r="M32" s="20">
        <f t="shared" si="16"/>
        <v>1</v>
      </c>
      <c r="N32" s="20">
        <f t="shared" si="17"/>
        <v>0</v>
      </c>
      <c r="O32" s="20">
        <f t="shared" si="18"/>
        <v>0</v>
      </c>
      <c r="P32" s="20">
        <f t="shared" si="19"/>
        <v>0</v>
      </c>
      <c r="T32" s="44"/>
      <c r="U32" s="47">
        <v>1</v>
      </c>
      <c r="V32" s="47">
        <v>0</v>
      </c>
      <c r="W32" s="47">
        <v>1</v>
      </c>
      <c r="X32" s="47">
        <v>1</v>
      </c>
      <c r="Y32" s="47">
        <v>0</v>
      </c>
      <c r="Z32" s="47">
        <v>1</v>
      </c>
      <c r="AA32" s="47">
        <v>0</v>
      </c>
      <c r="AB32" s="47">
        <v>0</v>
      </c>
      <c r="AC32" s="48"/>
    </row>
    <row r="33" spans="1:29" ht="45.75" customHeight="1">
      <c r="A33" s="42"/>
      <c r="B33" s="20">
        <f t="shared" si="5"/>
        <v>6</v>
      </c>
      <c r="C33" s="20">
        <f t="shared" si="6"/>
        <v>8</v>
      </c>
      <c r="D33" s="21">
        <f t="shared" si="7"/>
        <v>8</v>
      </c>
      <c r="E33" s="22">
        <f t="shared" si="8"/>
        <v>2</v>
      </c>
      <c r="F33" s="22">
        <f t="shared" si="9"/>
        <v>3</v>
      </c>
      <c r="G33" s="22">
        <f t="shared" si="10"/>
        <v>1</v>
      </c>
      <c r="H33" s="23">
        <f t="shared" si="11"/>
        <v>1</v>
      </c>
      <c r="I33" s="24">
        <f t="shared" si="12"/>
        <v>1</v>
      </c>
      <c r="J33" s="20">
        <f t="shared" si="13"/>
        <v>1</v>
      </c>
      <c r="K33" s="20">
        <f t="shared" si="14"/>
        <v>1</v>
      </c>
      <c r="L33" s="20">
        <f t="shared" si="15"/>
        <v>1</v>
      </c>
      <c r="M33" s="20">
        <f t="shared" si="16"/>
        <v>1</v>
      </c>
      <c r="N33" s="20">
        <f t="shared" si="17"/>
        <v>1</v>
      </c>
      <c r="O33" s="20">
        <f t="shared" si="18"/>
        <v>0</v>
      </c>
      <c r="P33" s="20">
        <f t="shared" si="19"/>
        <v>0</v>
      </c>
      <c r="T33" s="44"/>
      <c r="U33" s="47">
        <v>1</v>
      </c>
      <c r="V33" s="47">
        <v>1</v>
      </c>
      <c r="W33" s="47">
        <v>1</v>
      </c>
      <c r="X33" s="47">
        <v>1</v>
      </c>
      <c r="Y33" s="47">
        <v>1</v>
      </c>
      <c r="Z33" s="47">
        <v>1</v>
      </c>
      <c r="AA33" s="47">
        <v>0</v>
      </c>
      <c r="AB33" s="47">
        <v>0</v>
      </c>
      <c r="AC33" s="48"/>
    </row>
    <row r="34" spans="1:29" ht="45.75" customHeight="1">
      <c r="A34" s="42"/>
      <c r="B34" s="20">
        <f t="shared" si="5"/>
        <v>3</v>
      </c>
      <c r="C34" s="20">
        <f t="shared" si="6"/>
        <v>8</v>
      </c>
      <c r="D34" s="21">
        <f t="shared" si="7"/>
        <v>6</v>
      </c>
      <c r="E34" s="22">
        <f t="shared" si="8"/>
        <v>2</v>
      </c>
      <c r="F34" s="22">
        <f t="shared" si="9"/>
        <v>1</v>
      </c>
      <c r="G34" s="22">
        <f t="shared" si="10"/>
        <v>0</v>
      </c>
      <c r="H34" s="23">
        <f t="shared" si="11"/>
        <v>1</v>
      </c>
      <c r="I34" s="24">
        <f t="shared" si="12"/>
        <v>1</v>
      </c>
      <c r="J34" s="20">
        <f t="shared" si="13"/>
        <v>1</v>
      </c>
      <c r="K34" s="20">
        <f t="shared" si="14"/>
        <v>1</v>
      </c>
      <c r="L34" s="20">
        <f t="shared" si="15"/>
        <v>1</v>
      </c>
      <c r="M34" s="20">
        <f t="shared" si="16"/>
        <v>0</v>
      </c>
      <c r="N34" s="20">
        <f t="shared" si="17"/>
        <v>0</v>
      </c>
      <c r="O34" s="20">
        <f t="shared" si="18"/>
        <v>0</v>
      </c>
      <c r="P34" s="20">
        <f t="shared" si="19"/>
        <v>0</v>
      </c>
      <c r="T34" s="44"/>
      <c r="U34" s="47">
        <v>1</v>
      </c>
      <c r="V34" s="47">
        <v>1</v>
      </c>
      <c r="W34" s="47">
        <v>0</v>
      </c>
      <c r="X34" s="47">
        <v>0</v>
      </c>
      <c r="Y34" s="47">
        <v>0</v>
      </c>
      <c r="Z34" s="47">
        <v>1</v>
      </c>
      <c r="AA34" s="47">
        <v>0</v>
      </c>
      <c r="AB34" s="47">
        <v>0</v>
      </c>
      <c r="AC34" s="48"/>
    </row>
    <row r="35" spans="1:29" ht="45.75" customHeight="1">
      <c r="A35" s="42"/>
      <c r="B35" s="20">
        <f t="shared" si="5"/>
        <v>5</v>
      </c>
      <c r="C35" s="20">
        <f t="shared" si="6"/>
        <v>8</v>
      </c>
      <c r="D35" s="21">
        <f t="shared" si="7"/>
        <v>7</v>
      </c>
      <c r="E35" s="22">
        <f t="shared" si="8"/>
        <v>2</v>
      </c>
      <c r="F35" s="22">
        <f t="shared" si="9"/>
        <v>3</v>
      </c>
      <c r="G35" s="22">
        <f t="shared" si="10"/>
        <v>0</v>
      </c>
      <c r="H35" s="23">
        <f t="shared" si="11"/>
        <v>1</v>
      </c>
      <c r="I35" s="24">
        <f t="shared" si="12"/>
        <v>1</v>
      </c>
      <c r="J35" s="20">
        <f t="shared" si="13"/>
        <v>1</v>
      </c>
      <c r="K35" s="20">
        <f t="shared" si="14"/>
        <v>1</v>
      </c>
      <c r="L35" s="20">
        <f t="shared" si="15"/>
        <v>1</v>
      </c>
      <c r="M35" s="20">
        <f t="shared" si="16"/>
        <v>1</v>
      </c>
      <c r="N35" s="20">
        <f t="shared" si="17"/>
        <v>0</v>
      </c>
      <c r="O35" s="20">
        <f t="shared" si="18"/>
        <v>0</v>
      </c>
      <c r="P35" s="20">
        <f t="shared" si="19"/>
        <v>0</v>
      </c>
      <c r="T35" s="44"/>
      <c r="U35" s="47">
        <v>1</v>
      </c>
      <c r="V35" s="47">
        <v>1</v>
      </c>
      <c r="W35" s="47">
        <v>1</v>
      </c>
      <c r="X35" s="47">
        <v>1</v>
      </c>
      <c r="Y35" s="47">
        <v>0</v>
      </c>
      <c r="Z35" s="47">
        <v>1</v>
      </c>
      <c r="AA35" s="47">
        <v>0</v>
      </c>
      <c r="AB35" s="47">
        <v>0</v>
      </c>
      <c r="AC35" s="48"/>
    </row>
    <row r="36" spans="1:29" ht="45.75" customHeight="1">
      <c r="A36" s="42"/>
      <c r="B36" s="20">
        <f t="shared" si="5"/>
        <v>4</v>
      </c>
      <c r="C36" s="20">
        <f t="shared" si="6"/>
        <v>8</v>
      </c>
      <c r="D36" s="21">
        <f t="shared" si="7"/>
        <v>6</v>
      </c>
      <c r="E36" s="22">
        <f t="shared" si="8"/>
        <v>2</v>
      </c>
      <c r="F36" s="22">
        <f t="shared" si="9"/>
        <v>2</v>
      </c>
      <c r="G36" s="22">
        <f t="shared" si="10"/>
        <v>0</v>
      </c>
      <c r="H36" s="23">
        <f t="shared" si="11"/>
        <v>1</v>
      </c>
      <c r="I36" s="24">
        <f t="shared" si="12"/>
        <v>1</v>
      </c>
      <c r="J36" s="20">
        <f t="shared" si="13"/>
        <v>1</v>
      </c>
      <c r="K36" s="20">
        <f t="shared" si="14"/>
        <v>1</v>
      </c>
      <c r="L36" s="20">
        <f t="shared" si="15"/>
        <v>1</v>
      </c>
      <c r="M36" s="20">
        <f t="shared" si="16"/>
        <v>1</v>
      </c>
      <c r="N36" s="20">
        <f t="shared" si="17"/>
        <v>0</v>
      </c>
      <c r="O36" s="20">
        <f t="shared" si="18"/>
        <v>0</v>
      </c>
      <c r="P36" s="20">
        <f t="shared" si="19"/>
        <v>0</v>
      </c>
      <c r="T36" s="44"/>
      <c r="U36" s="47">
        <v>1</v>
      </c>
      <c r="V36" s="47">
        <v>0</v>
      </c>
      <c r="W36" s="47">
        <v>1</v>
      </c>
      <c r="X36" s="47">
        <v>1</v>
      </c>
      <c r="Y36" s="47">
        <v>0</v>
      </c>
      <c r="Z36" s="47">
        <v>1</v>
      </c>
      <c r="AA36" s="47">
        <v>0</v>
      </c>
      <c r="AB36" s="47">
        <v>0</v>
      </c>
      <c r="AC36" s="48"/>
    </row>
    <row r="37" spans="1:29" ht="45.75" customHeight="1">
      <c r="A37" s="42"/>
      <c r="B37" s="20">
        <f t="shared" si="5"/>
        <v>3</v>
      </c>
      <c r="C37" s="20">
        <f t="shared" si="6"/>
        <v>8</v>
      </c>
      <c r="D37" s="21">
        <f t="shared" si="7"/>
        <v>6</v>
      </c>
      <c r="E37" s="22">
        <f t="shared" si="8"/>
        <v>2</v>
      </c>
      <c r="F37" s="22">
        <f t="shared" si="9"/>
        <v>1</v>
      </c>
      <c r="G37" s="22">
        <f t="shared" si="10"/>
        <v>0</v>
      </c>
      <c r="H37" s="23">
        <f t="shared" si="11"/>
        <v>1</v>
      </c>
      <c r="I37" s="24">
        <f t="shared" si="12"/>
        <v>1</v>
      </c>
      <c r="J37" s="20">
        <f t="shared" si="13"/>
        <v>1</v>
      </c>
      <c r="K37" s="20">
        <f t="shared" si="14"/>
        <v>1</v>
      </c>
      <c r="L37" s="20">
        <f t="shared" si="15"/>
        <v>1</v>
      </c>
      <c r="M37" s="20">
        <f t="shared" si="16"/>
        <v>0</v>
      </c>
      <c r="N37" s="20">
        <f t="shared" si="17"/>
        <v>0</v>
      </c>
      <c r="O37" s="20">
        <f t="shared" si="18"/>
        <v>0</v>
      </c>
      <c r="P37" s="20">
        <f t="shared" si="19"/>
        <v>0</v>
      </c>
      <c r="T37" s="44"/>
      <c r="U37" s="47">
        <v>1</v>
      </c>
      <c r="V37" s="47">
        <v>0</v>
      </c>
      <c r="W37" s="47">
        <v>1</v>
      </c>
      <c r="X37" s="47">
        <v>0</v>
      </c>
      <c r="Y37" s="47">
        <v>0</v>
      </c>
      <c r="Z37" s="47">
        <v>1</v>
      </c>
      <c r="AA37" s="47">
        <v>0</v>
      </c>
      <c r="AB37" s="47">
        <v>0</v>
      </c>
      <c r="AC37" s="48"/>
    </row>
    <row r="38" spans="1:29" ht="45.75" customHeight="1">
      <c r="A38" s="42"/>
      <c r="B38" s="20">
        <f t="shared" si="5"/>
        <v>5</v>
      </c>
      <c r="C38" s="20">
        <f t="shared" si="6"/>
        <v>8</v>
      </c>
      <c r="D38" s="21">
        <f t="shared" si="7"/>
        <v>7</v>
      </c>
      <c r="E38" s="22">
        <f t="shared" si="8"/>
        <v>2</v>
      </c>
      <c r="F38" s="22">
        <f t="shared" si="9"/>
        <v>2</v>
      </c>
      <c r="G38" s="22">
        <f t="shared" si="10"/>
        <v>1</v>
      </c>
      <c r="H38" s="23">
        <f t="shared" si="11"/>
        <v>1</v>
      </c>
      <c r="I38" s="24">
        <f t="shared" si="12"/>
        <v>1</v>
      </c>
      <c r="J38" s="20">
        <f t="shared" si="13"/>
        <v>1</v>
      </c>
      <c r="K38" s="20">
        <f t="shared" si="14"/>
        <v>1</v>
      </c>
      <c r="L38" s="20">
        <f t="shared" si="15"/>
        <v>1</v>
      </c>
      <c r="M38" s="20">
        <f t="shared" si="16"/>
        <v>1</v>
      </c>
      <c r="N38" s="20">
        <f t="shared" si="17"/>
        <v>0</v>
      </c>
      <c r="O38" s="20">
        <f t="shared" si="18"/>
        <v>0</v>
      </c>
      <c r="P38" s="20">
        <f t="shared" si="19"/>
        <v>0</v>
      </c>
      <c r="T38" s="44"/>
      <c r="U38" s="47">
        <v>1</v>
      </c>
      <c r="V38" s="47">
        <v>1</v>
      </c>
      <c r="W38" s="47">
        <v>1</v>
      </c>
      <c r="X38" s="47">
        <v>0</v>
      </c>
      <c r="Y38" s="47">
        <v>1</v>
      </c>
      <c r="Z38" s="47">
        <v>1</v>
      </c>
      <c r="AA38" s="47">
        <v>0</v>
      </c>
      <c r="AB38" s="47">
        <v>0</v>
      </c>
      <c r="AC38" s="48"/>
    </row>
    <row r="39" spans="1:29" ht="45.75" customHeight="1">
      <c r="A39" s="42"/>
      <c r="B39" s="20">
        <f t="shared" si="5"/>
        <v>5</v>
      </c>
      <c r="C39" s="20">
        <f t="shared" si="6"/>
        <v>8</v>
      </c>
      <c r="D39" s="21">
        <f t="shared" si="7"/>
        <v>7</v>
      </c>
      <c r="E39" s="22">
        <f t="shared" si="8"/>
        <v>2</v>
      </c>
      <c r="F39" s="22">
        <f t="shared" si="9"/>
        <v>2</v>
      </c>
      <c r="G39" s="22">
        <f t="shared" si="10"/>
        <v>1</v>
      </c>
      <c r="H39" s="23">
        <f t="shared" si="11"/>
        <v>1</v>
      </c>
      <c r="I39" s="24">
        <f t="shared" si="12"/>
        <v>1</v>
      </c>
      <c r="J39" s="20">
        <f t="shared" si="13"/>
        <v>1</v>
      </c>
      <c r="K39" s="20">
        <f t="shared" si="14"/>
        <v>1</v>
      </c>
      <c r="L39" s="20">
        <f t="shared" si="15"/>
        <v>1</v>
      </c>
      <c r="M39" s="20">
        <f t="shared" si="16"/>
        <v>1</v>
      </c>
      <c r="N39" s="20">
        <f t="shared" si="17"/>
        <v>0</v>
      </c>
      <c r="O39" s="20">
        <f t="shared" si="18"/>
        <v>0</v>
      </c>
      <c r="P39" s="20">
        <f t="shared" si="19"/>
        <v>0</v>
      </c>
      <c r="T39" s="44"/>
      <c r="U39" s="47">
        <v>1</v>
      </c>
      <c r="V39" s="47">
        <v>0</v>
      </c>
      <c r="W39" s="47">
        <v>1</v>
      </c>
      <c r="X39" s="47">
        <v>1</v>
      </c>
      <c r="Y39" s="47">
        <v>1</v>
      </c>
      <c r="Z39" s="47">
        <v>1</v>
      </c>
      <c r="AA39" s="47">
        <v>0</v>
      </c>
      <c r="AB39" s="47">
        <v>0</v>
      </c>
      <c r="AC39" s="48"/>
    </row>
    <row r="40" spans="1:29" ht="45.75" customHeight="1">
      <c r="A40" s="42"/>
      <c r="B40" s="20">
        <f t="shared" si="5"/>
        <v>4</v>
      </c>
      <c r="C40" s="20">
        <f t="shared" si="6"/>
        <v>8</v>
      </c>
      <c r="D40" s="21">
        <f t="shared" si="7"/>
        <v>6</v>
      </c>
      <c r="E40" s="22">
        <f t="shared" si="8"/>
        <v>2</v>
      </c>
      <c r="F40" s="22">
        <f t="shared" si="9"/>
        <v>2</v>
      </c>
      <c r="G40" s="22">
        <f t="shared" si="10"/>
        <v>0</v>
      </c>
      <c r="H40" s="23">
        <f t="shared" si="11"/>
        <v>1</v>
      </c>
      <c r="I40" s="24">
        <f t="shared" si="12"/>
        <v>1</v>
      </c>
      <c r="J40" s="20">
        <f t="shared" si="13"/>
        <v>1</v>
      </c>
      <c r="K40" s="20">
        <f t="shared" si="14"/>
        <v>1</v>
      </c>
      <c r="L40" s="20">
        <f t="shared" si="15"/>
        <v>1</v>
      </c>
      <c r="M40" s="20">
        <f t="shared" si="16"/>
        <v>1</v>
      </c>
      <c r="N40" s="20">
        <f t="shared" si="17"/>
        <v>0</v>
      </c>
      <c r="O40" s="20">
        <f t="shared" si="18"/>
        <v>0</v>
      </c>
      <c r="P40" s="20">
        <f t="shared" si="19"/>
        <v>0</v>
      </c>
      <c r="T40" s="44"/>
      <c r="U40" s="47">
        <v>1</v>
      </c>
      <c r="V40" s="47">
        <v>1</v>
      </c>
      <c r="W40" s="47">
        <v>1</v>
      </c>
      <c r="X40" s="47">
        <v>0</v>
      </c>
      <c r="Y40" s="47">
        <v>0</v>
      </c>
      <c r="Z40" s="47">
        <v>1</v>
      </c>
      <c r="AA40" s="47">
        <v>0</v>
      </c>
      <c r="AB40" s="47">
        <v>0</v>
      </c>
      <c r="AC40" s="48"/>
    </row>
    <row r="41" spans="1:29" ht="45.75" customHeight="1">
      <c r="A41" s="42"/>
      <c r="B41" s="20">
        <f t="shared" si="5"/>
        <v>2</v>
      </c>
      <c r="C41" s="20">
        <f t="shared" si="6"/>
        <v>8</v>
      </c>
      <c r="D41" s="21">
        <f t="shared" si="7"/>
        <v>5</v>
      </c>
      <c r="E41" s="22">
        <f t="shared" si="8"/>
        <v>2</v>
      </c>
      <c r="F41" s="22">
        <f t="shared" si="9"/>
        <v>0</v>
      </c>
      <c r="G41" s="22">
        <f t="shared" si="10"/>
        <v>0</v>
      </c>
      <c r="H41" s="23">
        <f t="shared" si="11"/>
        <v>1</v>
      </c>
      <c r="I41" s="24">
        <f t="shared" si="12"/>
        <v>1</v>
      </c>
      <c r="J41" s="20">
        <f t="shared" si="13"/>
        <v>1</v>
      </c>
      <c r="K41" s="20">
        <f t="shared" si="14"/>
        <v>1</v>
      </c>
      <c r="L41" s="20">
        <f t="shared" si="15"/>
        <v>0</v>
      </c>
      <c r="M41" s="20">
        <f t="shared" si="16"/>
        <v>0</v>
      </c>
      <c r="N41" s="20">
        <f t="shared" si="17"/>
        <v>0</v>
      </c>
      <c r="O41" s="20">
        <f t="shared" si="18"/>
        <v>0</v>
      </c>
      <c r="P41" s="20">
        <f t="shared" si="19"/>
        <v>0</v>
      </c>
      <c r="T41" s="44"/>
      <c r="U41" s="47">
        <v>1</v>
      </c>
      <c r="V41" s="47">
        <v>0</v>
      </c>
      <c r="W41" s="47">
        <v>0</v>
      </c>
      <c r="X41" s="47">
        <v>0</v>
      </c>
      <c r="Y41" s="47">
        <v>0</v>
      </c>
      <c r="Z41" s="47">
        <v>1</v>
      </c>
      <c r="AA41" s="47">
        <v>0</v>
      </c>
      <c r="AB41" s="47">
        <v>0</v>
      </c>
      <c r="AC41" s="48"/>
    </row>
    <row r="42" spans="1:29" ht="45.75" customHeight="1">
      <c r="A42" s="42"/>
      <c r="B42" s="20">
        <f t="shared" si="5"/>
        <v>5</v>
      </c>
      <c r="C42" s="20">
        <f t="shared" si="6"/>
        <v>8</v>
      </c>
      <c r="D42" s="21">
        <f t="shared" si="7"/>
        <v>7</v>
      </c>
      <c r="E42" s="22">
        <f t="shared" si="8"/>
        <v>2</v>
      </c>
      <c r="F42" s="22">
        <f t="shared" si="9"/>
        <v>3</v>
      </c>
      <c r="G42" s="22">
        <f t="shared" si="10"/>
        <v>0</v>
      </c>
      <c r="H42" s="23">
        <f t="shared" si="11"/>
        <v>1</v>
      </c>
      <c r="I42" s="24">
        <f t="shared" si="12"/>
        <v>1</v>
      </c>
      <c r="J42" s="20">
        <f t="shared" si="13"/>
        <v>1</v>
      </c>
      <c r="K42" s="20">
        <f t="shared" si="14"/>
        <v>1</v>
      </c>
      <c r="L42" s="20">
        <f t="shared" si="15"/>
        <v>1</v>
      </c>
      <c r="M42" s="20">
        <f t="shared" si="16"/>
        <v>1</v>
      </c>
      <c r="N42" s="20">
        <f t="shared" si="17"/>
        <v>0</v>
      </c>
      <c r="O42" s="20">
        <f t="shared" si="18"/>
        <v>0</v>
      </c>
      <c r="P42" s="20">
        <f t="shared" si="19"/>
        <v>0</v>
      </c>
      <c r="T42" s="44"/>
      <c r="U42" s="47">
        <v>1</v>
      </c>
      <c r="V42" s="47">
        <v>1</v>
      </c>
      <c r="W42" s="47">
        <v>1</v>
      </c>
      <c r="X42" s="47">
        <v>1</v>
      </c>
      <c r="Y42" s="47">
        <v>0</v>
      </c>
      <c r="Z42" s="47">
        <v>1</v>
      </c>
      <c r="AA42" s="47">
        <v>0</v>
      </c>
      <c r="AB42" s="47">
        <v>0</v>
      </c>
      <c r="AC42" s="48"/>
    </row>
    <row r="43" spans="1:29" ht="45.75" customHeight="1">
      <c r="A43" s="42"/>
      <c r="B43" s="20">
        <f t="shared" si="5"/>
        <v>5</v>
      </c>
      <c r="C43" s="20">
        <f t="shared" si="6"/>
        <v>8</v>
      </c>
      <c r="D43" s="21">
        <f t="shared" si="7"/>
        <v>7</v>
      </c>
      <c r="E43" s="22">
        <f t="shared" si="8"/>
        <v>2</v>
      </c>
      <c r="F43" s="22">
        <f t="shared" si="9"/>
        <v>3</v>
      </c>
      <c r="G43" s="22">
        <f t="shared" si="10"/>
        <v>0</v>
      </c>
      <c r="H43" s="23">
        <f t="shared" si="11"/>
        <v>1</v>
      </c>
      <c r="I43" s="24">
        <f t="shared" si="12"/>
        <v>1</v>
      </c>
      <c r="J43" s="20">
        <f t="shared" si="13"/>
        <v>1</v>
      </c>
      <c r="K43" s="20">
        <f t="shared" si="14"/>
        <v>1</v>
      </c>
      <c r="L43" s="20">
        <f t="shared" si="15"/>
        <v>1</v>
      </c>
      <c r="M43" s="20">
        <f t="shared" si="16"/>
        <v>1</v>
      </c>
      <c r="N43" s="20">
        <f t="shared" si="17"/>
        <v>0</v>
      </c>
      <c r="O43" s="20">
        <f t="shared" si="18"/>
        <v>0</v>
      </c>
      <c r="P43" s="20">
        <f t="shared" si="19"/>
        <v>0</v>
      </c>
      <c r="T43" s="44"/>
      <c r="U43" s="47">
        <v>1</v>
      </c>
      <c r="V43" s="47">
        <v>1</v>
      </c>
      <c r="W43" s="47">
        <v>1</v>
      </c>
      <c r="X43" s="47">
        <v>1</v>
      </c>
      <c r="Y43" s="47">
        <v>0</v>
      </c>
      <c r="Z43" s="47">
        <v>1</v>
      </c>
      <c r="AA43" s="47">
        <v>0</v>
      </c>
      <c r="AB43" s="47">
        <v>0</v>
      </c>
      <c r="AC43" s="48"/>
    </row>
    <row r="44" spans="1:29" ht="45.75" customHeight="1">
      <c r="A44" s="42"/>
      <c r="B44" s="20">
        <f t="shared" si="5"/>
        <v>3</v>
      </c>
      <c r="C44" s="20">
        <f t="shared" si="6"/>
        <v>8</v>
      </c>
      <c r="D44" s="21">
        <f t="shared" si="7"/>
        <v>6</v>
      </c>
      <c r="E44" s="22">
        <f t="shared" si="8"/>
        <v>2</v>
      </c>
      <c r="F44" s="22">
        <f t="shared" si="9"/>
        <v>1</v>
      </c>
      <c r="G44" s="22">
        <f t="shared" si="10"/>
        <v>0</v>
      </c>
      <c r="H44" s="23">
        <f t="shared" si="11"/>
        <v>1</v>
      </c>
      <c r="I44" s="24">
        <f t="shared" si="12"/>
        <v>1</v>
      </c>
      <c r="J44" s="20">
        <f t="shared" si="13"/>
        <v>1</v>
      </c>
      <c r="K44" s="20">
        <f t="shared" si="14"/>
        <v>1</v>
      </c>
      <c r="L44" s="20">
        <f t="shared" si="15"/>
        <v>1</v>
      </c>
      <c r="M44" s="20">
        <f t="shared" si="16"/>
        <v>0</v>
      </c>
      <c r="N44" s="20">
        <f t="shared" si="17"/>
        <v>0</v>
      </c>
      <c r="O44" s="20">
        <f t="shared" si="18"/>
        <v>0</v>
      </c>
      <c r="P44" s="20">
        <f t="shared" si="19"/>
        <v>0</v>
      </c>
      <c r="T44" s="44"/>
      <c r="U44" s="47">
        <v>1</v>
      </c>
      <c r="V44" s="47">
        <v>1</v>
      </c>
      <c r="W44" s="47">
        <v>0</v>
      </c>
      <c r="X44" s="47">
        <v>0</v>
      </c>
      <c r="Y44" s="47">
        <v>0</v>
      </c>
      <c r="Z44" s="47">
        <v>1</v>
      </c>
      <c r="AA44" s="47">
        <v>0</v>
      </c>
      <c r="AB44" s="47">
        <v>0</v>
      </c>
      <c r="AC44" s="48"/>
    </row>
    <row r="45" spans="1:29" ht="45.75" customHeight="1">
      <c r="A45" s="42"/>
      <c r="B45" s="20">
        <f t="shared" si="5"/>
        <v>2</v>
      </c>
      <c r="C45" s="20">
        <f t="shared" si="6"/>
        <v>8</v>
      </c>
      <c r="D45" s="21">
        <f t="shared" si="7"/>
        <v>5</v>
      </c>
      <c r="E45" s="22">
        <f t="shared" si="8"/>
        <v>2</v>
      </c>
      <c r="F45" s="22">
        <f t="shared" si="9"/>
        <v>0</v>
      </c>
      <c r="G45" s="22">
        <f t="shared" si="10"/>
        <v>0</v>
      </c>
      <c r="H45" s="23">
        <f t="shared" si="11"/>
        <v>1</v>
      </c>
      <c r="I45" s="24">
        <f t="shared" si="12"/>
        <v>1</v>
      </c>
      <c r="J45" s="20">
        <f t="shared" si="13"/>
        <v>1</v>
      </c>
      <c r="K45" s="20">
        <f t="shared" si="14"/>
        <v>1</v>
      </c>
      <c r="L45" s="20">
        <f t="shared" si="15"/>
        <v>0</v>
      </c>
      <c r="M45" s="20">
        <f t="shared" si="16"/>
        <v>0</v>
      </c>
      <c r="N45" s="20">
        <f t="shared" si="17"/>
        <v>0</v>
      </c>
      <c r="O45" s="20">
        <f t="shared" si="18"/>
        <v>0</v>
      </c>
      <c r="P45" s="20">
        <f t="shared" si="19"/>
        <v>0</v>
      </c>
      <c r="T45" s="44"/>
      <c r="U45" s="47">
        <v>1</v>
      </c>
      <c r="V45" s="47">
        <v>0</v>
      </c>
      <c r="W45" s="47">
        <v>0</v>
      </c>
      <c r="X45" s="47">
        <v>0</v>
      </c>
      <c r="Y45" s="47">
        <v>0</v>
      </c>
      <c r="Z45" s="47">
        <v>1</v>
      </c>
      <c r="AA45" s="47">
        <v>0</v>
      </c>
      <c r="AB45" s="47">
        <v>0</v>
      </c>
      <c r="AC45" s="48"/>
    </row>
    <row r="46" spans="1:29" ht="45.75" customHeight="1">
      <c r="A46" s="42"/>
      <c r="B46" s="20">
        <f t="shared" si="5"/>
        <v>5</v>
      </c>
      <c r="C46" s="20">
        <f t="shared" si="6"/>
        <v>8</v>
      </c>
      <c r="D46" s="21">
        <f t="shared" si="7"/>
        <v>7</v>
      </c>
      <c r="E46" s="22">
        <f t="shared" si="8"/>
        <v>2</v>
      </c>
      <c r="F46" s="22">
        <f t="shared" si="9"/>
        <v>3</v>
      </c>
      <c r="G46" s="22">
        <f t="shared" si="10"/>
        <v>0</v>
      </c>
      <c r="H46" s="23">
        <f t="shared" si="11"/>
        <v>1</v>
      </c>
      <c r="I46" s="24">
        <f t="shared" si="12"/>
        <v>1</v>
      </c>
      <c r="J46" s="20">
        <f t="shared" si="13"/>
        <v>1</v>
      </c>
      <c r="K46" s="20">
        <f t="shared" si="14"/>
        <v>1</v>
      </c>
      <c r="L46" s="20">
        <f t="shared" si="15"/>
        <v>1</v>
      </c>
      <c r="M46" s="20">
        <f t="shared" si="16"/>
        <v>1</v>
      </c>
      <c r="N46" s="20">
        <f t="shared" si="17"/>
        <v>0</v>
      </c>
      <c r="O46" s="20">
        <f t="shared" si="18"/>
        <v>0</v>
      </c>
      <c r="P46" s="20">
        <f t="shared" si="19"/>
        <v>0</v>
      </c>
      <c r="T46" s="44"/>
      <c r="U46" s="47">
        <v>1</v>
      </c>
      <c r="V46" s="47">
        <v>1</v>
      </c>
      <c r="W46" s="47">
        <v>1</v>
      </c>
      <c r="X46" s="47">
        <v>1</v>
      </c>
      <c r="Y46" s="47">
        <v>0</v>
      </c>
      <c r="Z46" s="47">
        <v>1</v>
      </c>
      <c r="AA46" s="47">
        <v>0</v>
      </c>
      <c r="AB46" s="47">
        <v>0</v>
      </c>
      <c r="AC46" s="48"/>
    </row>
    <row r="47" spans="1:29" ht="45.75" customHeight="1">
      <c r="A47" s="42"/>
      <c r="B47" s="20">
        <f t="shared" si="5"/>
        <v>2</v>
      </c>
      <c r="C47" s="20">
        <f t="shared" si="6"/>
        <v>8</v>
      </c>
      <c r="D47" s="21">
        <f t="shared" si="7"/>
        <v>5</v>
      </c>
      <c r="E47" s="22">
        <f t="shared" si="8"/>
        <v>2</v>
      </c>
      <c r="F47" s="22">
        <f t="shared" si="9"/>
        <v>0</v>
      </c>
      <c r="G47" s="22">
        <f t="shared" si="10"/>
        <v>0</v>
      </c>
      <c r="H47" s="23">
        <f t="shared" si="11"/>
        <v>1</v>
      </c>
      <c r="I47" s="24">
        <f t="shared" si="12"/>
        <v>1</v>
      </c>
      <c r="J47" s="20">
        <f t="shared" si="13"/>
        <v>1</v>
      </c>
      <c r="K47" s="20">
        <f t="shared" si="14"/>
        <v>1</v>
      </c>
      <c r="L47" s="20">
        <f t="shared" si="15"/>
        <v>0</v>
      </c>
      <c r="M47" s="20">
        <f t="shared" si="16"/>
        <v>0</v>
      </c>
      <c r="N47" s="20">
        <f t="shared" si="17"/>
        <v>0</v>
      </c>
      <c r="O47" s="20">
        <f t="shared" si="18"/>
        <v>0</v>
      </c>
      <c r="P47" s="20">
        <f t="shared" si="19"/>
        <v>0</v>
      </c>
      <c r="T47" s="44"/>
      <c r="U47">
        <v>1</v>
      </c>
      <c r="V47">
        <v>0</v>
      </c>
      <c r="W47">
        <v>0</v>
      </c>
      <c r="X47">
        <v>0</v>
      </c>
      <c r="Y47">
        <v>0</v>
      </c>
      <c r="Z47">
        <v>1</v>
      </c>
      <c r="AA47">
        <v>0</v>
      </c>
      <c r="AB47">
        <v>0</v>
      </c>
    </row>
    <row r="48" spans="1:29" ht="45.75" customHeight="1">
      <c r="A48" s="42"/>
      <c r="B48" s="20">
        <f t="shared" si="5"/>
        <v>3</v>
      </c>
      <c r="C48" s="20">
        <f t="shared" si="6"/>
        <v>8</v>
      </c>
      <c r="D48" s="21">
        <f t="shared" si="7"/>
        <v>5</v>
      </c>
      <c r="E48" s="22">
        <f t="shared" si="8"/>
        <v>1</v>
      </c>
      <c r="F48" s="22">
        <f t="shared" si="9"/>
        <v>2</v>
      </c>
      <c r="G48" s="22">
        <f t="shared" si="10"/>
        <v>0</v>
      </c>
      <c r="H48" s="23">
        <f t="shared" si="11"/>
        <v>1</v>
      </c>
      <c r="I48" s="24">
        <f t="shared" si="12"/>
        <v>1</v>
      </c>
      <c r="J48" s="20">
        <f t="shared" si="13"/>
        <v>1</v>
      </c>
      <c r="K48" s="20">
        <f t="shared" si="14"/>
        <v>1</v>
      </c>
      <c r="L48" s="20">
        <f t="shared" si="15"/>
        <v>0</v>
      </c>
      <c r="M48" s="20">
        <f t="shared" si="16"/>
        <v>0</v>
      </c>
      <c r="N48" s="20">
        <f t="shared" si="17"/>
        <v>0</v>
      </c>
      <c r="O48" s="20">
        <f t="shared" si="18"/>
        <v>0</v>
      </c>
      <c r="P48" s="20">
        <f t="shared" si="19"/>
        <v>0</v>
      </c>
      <c r="T48" s="44"/>
      <c r="U48">
        <v>0</v>
      </c>
      <c r="V48">
        <v>1</v>
      </c>
      <c r="W48">
        <v>1</v>
      </c>
      <c r="X48">
        <v>0</v>
      </c>
      <c r="Y48">
        <v>0</v>
      </c>
      <c r="Z48">
        <v>1</v>
      </c>
      <c r="AA48">
        <v>0</v>
      </c>
      <c r="AB48">
        <v>0</v>
      </c>
    </row>
    <row r="49" spans="1:29" ht="45.75" customHeight="1">
      <c r="A49" s="42"/>
      <c r="B49" s="20">
        <f t="shared" si="5"/>
        <v>1</v>
      </c>
      <c r="C49" s="20">
        <f t="shared" si="6"/>
        <v>8</v>
      </c>
      <c r="D49" s="21">
        <f t="shared" si="7"/>
        <v>4</v>
      </c>
      <c r="E49" s="22">
        <f t="shared" si="8"/>
        <v>1</v>
      </c>
      <c r="F49" s="22">
        <f t="shared" si="9"/>
        <v>0</v>
      </c>
      <c r="G49" s="22">
        <f t="shared" si="10"/>
        <v>0</v>
      </c>
      <c r="H49" s="23">
        <f t="shared" si="11"/>
        <v>1</v>
      </c>
      <c r="I49" s="24">
        <f t="shared" si="12"/>
        <v>1</v>
      </c>
      <c r="J49" s="20">
        <f t="shared" si="13"/>
        <v>0</v>
      </c>
      <c r="K49" s="20">
        <f t="shared" si="14"/>
        <v>0</v>
      </c>
      <c r="L49" s="20">
        <f t="shared" si="15"/>
        <v>0</v>
      </c>
      <c r="M49" s="20">
        <f t="shared" si="16"/>
        <v>0</v>
      </c>
      <c r="N49" s="20">
        <f t="shared" si="17"/>
        <v>0</v>
      </c>
      <c r="O49" s="20">
        <f t="shared" si="18"/>
        <v>0</v>
      </c>
      <c r="P49" s="20">
        <f t="shared" si="19"/>
        <v>0</v>
      </c>
      <c r="T49" s="44"/>
      <c r="U49">
        <v>0</v>
      </c>
      <c r="V49">
        <v>0</v>
      </c>
      <c r="W49">
        <v>0</v>
      </c>
      <c r="X49">
        <v>0</v>
      </c>
      <c r="Y49">
        <v>0</v>
      </c>
      <c r="Z49">
        <v>1</v>
      </c>
      <c r="AA49">
        <v>0</v>
      </c>
      <c r="AB49">
        <v>0</v>
      </c>
    </row>
    <row r="50" spans="1:29" ht="45.75" customHeight="1">
      <c r="A50" s="42"/>
      <c r="B50" s="20">
        <f t="shared" si="5"/>
        <v>5</v>
      </c>
      <c r="C50" s="20">
        <f t="shared" si="6"/>
        <v>8</v>
      </c>
      <c r="D50" s="21">
        <f t="shared" si="7"/>
        <v>7</v>
      </c>
      <c r="E50" s="22">
        <f t="shared" si="8"/>
        <v>0</v>
      </c>
      <c r="F50" s="22">
        <f t="shared" si="9"/>
        <v>3</v>
      </c>
      <c r="G50" s="22">
        <f t="shared" si="10"/>
        <v>2</v>
      </c>
      <c r="H50" s="23">
        <f t="shared" si="11"/>
        <v>1</v>
      </c>
      <c r="I50" s="24">
        <f t="shared" si="12"/>
        <v>1</v>
      </c>
      <c r="J50" s="20">
        <f t="shared" si="13"/>
        <v>1</v>
      </c>
      <c r="K50" s="20">
        <f t="shared" si="14"/>
        <v>1</v>
      </c>
      <c r="L50" s="20">
        <f t="shared" si="15"/>
        <v>1</v>
      </c>
      <c r="M50" s="20">
        <f t="shared" si="16"/>
        <v>0</v>
      </c>
      <c r="N50" s="20">
        <f t="shared" si="17"/>
        <v>0</v>
      </c>
      <c r="O50" s="20">
        <f t="shared" si="18"/>
        <v>0</v>
      </c>
      <c r="P50" s="20">
        <f t="shared" si="19"/>
        <v>0</v>
      </c>
      <c r="T50" s="44"/>
      <c r="U50">
        <v>0</v>
      </c>
      <c r="V50">
        <v>1</v>
      </c>
      <c r="W50">
        <v>1</v>
      </c>
      <c r="X50">
        <v>1</v>
      </c>
      <c r="Y50">
        <v>1</v>
      </c>
      <c r="Z50" s="113">
        <v>0</v>
      </c>
      <c r="AA50">
        <v>1</v>
      </c>
      <c r="AB50">
        <v>0</v>
      </c>
    </row>
    <row r="51" spans="1:29" ht="45.75" customHeight="1">
      <c r="A51" s="42"/>
      <c r="B51" s="20">
        <f t="shared" si="5"/>
        <v>5</v>
      </c>
      <c r="C51" s="20">
        <f t="shared" si="6"/>
        <v>8</v>
      </c>
      <c r="D51" s="21">
        <f t="shared" si="7"/>
        <v>7</v>
      </c>
      <c r="E51" s="22">
        <f t="shared" si="8"/>
        <v>1</v>
      </c>
      <c r="F51" s="22">
        <f t="shared" si="9"/>
        <v>3</v>
      </c>
      <c r="G51" s="22">
        <f t="shared" si="10"/>
        <v>1</v>
      </c>
      <c r="H51" s="23">
        <f t="shared" si="11"/>
        <v>1</v>
      </c>
      <c r="I51" s="24">
        <f t="shared" si="12"/>
        <v>1</v>
      </c>
      <c r="J51" s="20">
        <f t="shared" si="13"/>
        <v>1</v>
      </c>
      <c r="K51" s="20">
        <f t="shared" si="14"/>
        <v>1</v>
      </c>
      <c r="L51" s="20">
        <f t="shared" si="15"/>
        <v>1</v>
      </c>
      <c r="M51" s="20">
        <f t="shared" si="16"/>
        <v>0</v>
      </c>
      <c r="N51" s="20">
        <f t="shared" si="17"/>
        <v>0</v>
      </c>
      <c r="O51" s="20">
        <f t="shared" si="18"/>
        <v>0</v>
      </c>
      <c r="P51" s="20">
        <f t="shared" si="19"/>
        <v>0</v>
      </c>
      <c r="T51" s="44"/>
      <c r="U51">
        <v>0</v>
      </c>
      <c r="V51">
        <v>1</v>
      </c>
      <c r="W51">
        <v>1</v>
      </c>
      <c r="X51">
        <v>1</v>
      </c>
      <c r="Y51">
        <v>1</v>
      </c>
      <c r="Z51">
        <v>1</v>
      </c>
      <c r="AA51">
        <v>0</v>
      </c>
      <c r="AB51">
        <v>0</v>
      </c>
    </row>
    <row r="52" spans="1:29" ht="45.75" customHeight="1">
      <c r="A52" s="42"/>
      <c r="B52" s="20">
        <f t="shared" si="5"/>
        <v>3</v>
      </c>
      <c r="C52" s="20">
        <f t="shared" si="6"/>
        <v>8</v>
      </c>
      <c r="D52" s="21">
        <f t="shared" si="7"/>
        <v>5</v>
      </c>
      <c r="E52" s="22">
        <f t="shared" si="8"/>
        <v>1</v>
      </c>
      <c r="F52" s="22">
        <f t="shared" si="9"/>
        <v>2</v>
      </c>
      <c r="G52" s="22">
        <f t="shared" si="10"/>
        <v>0</v>
      </c>
      <c r="H52" s="23">
        <f t="shared" si="11"/>
        <v>1</v>
      </c>
      <c r="I52" s="24">
        <f t="shared" si="12"/>
        <v>1</v>
      </c>
      <c r="J52" s="20">
        <f t="shared" si="13"/>
        <v>1</v>
      </c>
      <c r="K52" s="20">
        <f t="shared" si="14"/>
        <v>1</v>
      </c>
      <c r="L52" s="20">
        <f t="shared" si="15"/>
        <v>0</v>
      </c>
      <c r="M52" s="20">
        <f t="shared" si="16"/>
        <v>0</v>
      </c>
      <c r="N52" s="20">
        <f t="shared" si="17"/>
        <v>0</v>
      </c>
      <c r="O52" s="20">
        <f t="shared" si="18"/>
        <v>0</v>
      </c>
      <c r="P52" s="20">
        <f t="shared" si="19"/>
        <v>0</v>
      </c>
      <c r="T52" s="44"/>
      <c r="U52">
        <v>0</v>
      </c>
      <c r="V52">
        <v>0</v>
      </c>
      <c r="W52">
        <v>1</v>
      </c>
      <c r="X52">
        <v>1</v>
      </c>
      <c r="Y52">
        <v>0</v>
      </c>
      <c r="Z52">
        <v>1</v>
      </c>
      <c r="AA52">
        <v>0</v>
      </c>
      <c r="AB52">
        <v>0</v>
      </c>
    </row>
    <row r="53" spans="1:29" ht="45.75" customHeight="1">
      <c r="A53" s="42"/>
      <c r="B53" s="20">
        <f t="shared" si="5"/>
        <v>1</v>
      </c>
      <c r="C53" s="20">
        <f t="shared" si="6"/>
        <v>8</v>
      </c>
      <c r="D53" s="21">
        <f t="shared" si="7"/>
        <v>4</v>
      </c>
      <c r="E53" s="22">
        <f t="shared" si="8"/>
        <v>1</v>
      </c>
      <c r="F53" s="22">
        <f t="shared" si="9"/>
        <v>0</v>
      </c>
      <c r="G53" s="22">
        <f t="shared" si="10"/>
        <v>0</v>
      </c>
      <c r="H53" s="23">
        <f t="shared" si="11"/>
        <v>1</v>
      </c>
      <c r="I53" s="24">
        <f t="shared" si="12"/>
        <v>1</v>
      </c>
      <c r="J53" s="20">
        <f t="shared" si="13"/>
        <v>0</v>
      </c>
      <c r="K53" s="20">
        <f t="shared" si="14"/>
        <v>0</v>
      </c>
      <c r="L53" s="20">
        <f t="shared" si="15"/>
        <v>0</v>
      </c>
      <c r="M53" s="20">
        <f t="shared" si="16"/>
        <v>0</v>
      </c>
      <c r="N53" s="20">
        <f t="shared" si="17"/>
        <v>0</v>
      </c>
      <c r="O53" s="20">
        <f t="shared" si="18"/>
        <v>0</v>
      </c>
      <c r="P53" s="20">
        <f t="shared" si="19"/>
        <v>0</v>
      </c>
      <c r="T53" s="44"/>
      <c r="U53">
        <v>1</v>
      </c>
      <c r="V53">
        <v>0</v>
      </c>
      <c r="W53">
        <v>0</v>
      </c>
      <c r="X53">
        <v>0</v>
      </c>
      <c r="Y53">
        <v>0</v>
      </c>
      <c r="Z53">
        <v>0</v>
      </c>
      <c r="AA53">
        <v>0</v>
      </c>
      <c r="AB53">
        <v>0</v>
      </c>
      <c r="AC53" s="78" t="s">
        <v>158</v>
      </c>
    </row>
    <row r="54" spans="1:29" ht="45.75" customHeight="1">
      <c r="A54" s="42"/>
      <c r="B54" s="20">
        <f t="shared" si="5"/>
        <v>3</v>
      </c>
      <c r="C54" s="20">
        <f t="shared" si="6"/>
        <v>8</v>
      </c>
      <c r="D54" s="21">
        <f t="shared" si="7"/>
        <v>5</v>
      </c>
      <c r="E54" s="22">
        <f t="shared" si="8"/>
        <v>1</v>
      </c>
      <c r="F54" s="22">
        <f t="shared" si="9"/>
        <v>1</v>
      </c>
      <c r="G54" s="22">
        <f t="shared" si="10"/>
        <v>1</v>
      </c>
      <c r="H54" s="23">
        <f t="shared" si="11"/>
        <v>1</v>
      </c>
      <c r="I54" s="24">
        <f t="shared" si="12"/>
        <v>1</v>
      </c>
      <c r="J54" s="20">
        <f t="shared" si="13"/>
        <v>1</v>
      </c>
      <c r="K54" s="20">
        <f t="shared" si="14"/>
        <v>1</v>
      </c>
      <c r="L54" s="20">
        <f t="shared" si="15"/>
        <v>0</v>
      </c>
      <c r="M54" s="20">
        <f t="shared" si="16"/>
        <v>0</v>
      </c>
      <c r="N54" s="20">
        <f t="shared" si="17"/>
        <v>0</v>
      </c>
      <c r="O54" s="20">
        <f t="shared" si="18"/>
        <v>0</v>
      </c>
      <c r="P54" s="20">
        <f t="shared" si="19"/>
        <v>0</v>
      </c>
      <c r="T54" s="44"/>
      <c r="U54">
        <v>0</v>
      </c>
      <c r="V54">
        <v>0</v>
      </c>
      <c r="W54">
        <v>1</v>
      </c>
      <c r="X54">
        <v>0</v>
      </c>
      <c r="Y54">
        <v>1</v>
      </c>
      <c r="Z54">
        <v>1</v>
      </c>
      <c r="AA54">
        <v>0</v>
      </c>
      <c r="AB54">
        <v>0</v>
      </c>
    </row>
    <row r="55" spans="1:29" ht="45.75" customHeight="1">
      <c r="A55" s="42"/>
      <c r="B55" s="20">
        <f t="shared" si="5"/>
        <v>2</v>
      </c>
      <c r="C55" s="20">
        <f t="shared" si="6"/>
        <v>8</v>
      </c>
      <c r="D55" s="21">
        <f t="shared" si="7"/>
        <v>5</v>
      </c>
      <c r="E55" s="22">
        <f t="shared" si="8"/>
        <v>1</v>
      </c>
      <c r="F55" s="22">
        <f t="shared" si="9"/>
        <v>1</v>
      </c>
      <c r="G55" s="22">
        <f t="shared" si="10"/>
        <v>0</v>
      </c>
      <c r="H55" s="23">
        <f t="shared" si="11"/>
        <v>1</v>
      </c>
      <c r="I55" s="24">
        <f t="shared" si="12"/>
        <v>1</v>
      </c>
      <c r="J55" s="20">
        <f t="shared" si="13"/>
        <v>1</v>
      </c>
      <c r="K55" s="20">
        <f t="shared" si="14"/>
        <v>0</v>
      </c>
      <c r="L55" s="20">
        <f t="shared" si="15"/>
        <v>0</v>
      </c>
      <c r="M55" s="20">
        <f t="shared" si="16"/>
        <v>0</v>
      </c>
      <c r="N55" s="20">
        <f t="shared" si="17"/>
        <v>0</v>
      </c>
      <c r="O55" s="20">
        <f t="shared" si="18"/>
        <v>0</v>
      </c>
      <c r="P55" s="20">
        <f t="shared" si="19"/>
        <v>0</v>
      </c>
      <c r="T55" s="44"/>
      <c r="U55">
        <v>0</v>
      </c>
      <c r="V55">
        <v>1</v>
      </c>
      <c r="W55">
        <v>0</v>
      </c>
      <c r="X55">
        <v>0</v>
      </c>
      <c r="Y55">
        <v>0</v>
      </c>
      <c r="Z55">
        <v>1</v>
      </c>
      <c r="AA55">
        <v>0</v>
      </c>
      <c r="AB55">
        <v>0</v>
      </c>
    </row>
    <row r="56" spans="1:29" ht="45.75" customHeight="1">
      <c r="A56" s="42"/>
      <c r="B56" s="20">
        <f t="shared" si="5"/>
        <v>3</v>
      </c>
      <c r="C56" s="20">
        <f t="shared" si="6"/>
        <v>8</v>
      </c>
      <c r="D56" s="21">
        <f t="shared" si="7"/>
        <v>6</v>
      </c>
      <c r="E56" s="22">
        <f t="shared" si="8"/>
        <v>2</v>
      </c>
      <c r="F56" s="22">
        <f t="shared" si="9"/>
        <v>1</v>
      </c>
      <c r="G56" s="22">
        <f t="shared" si="10"/>
        <v>0</v>
      </c>
      <c r="H56" s="23">
        <f t="shared" si="11"/>
        <v>1</v>
      </c>
      <c r="I56" s="24">
        <f t="shared" si="12"/>
        <v>1</v>
      </c>
      <c r="J56" s="20">
        <f t="shared" si="13"/>
        <v>1</v>
      </c>
      <c r="K56" s="20">
        <f t="shared" si="14"/>
        <v>1</v>
      </c>
      <c r="L56" s="20">
        <f t="shared" si="15"/>
        <v>1</v>
      </c>
      <c r="M56" s="20">
        <f t="shared" si="16"/>
        <v>0</v>
      </c>
      <c r="N56" s="20">
        <f t="shared" si="17"/>
        <v>0</v>
      </c>
      <c r="O56" s="20">
        <f t="shared" si="18"/>
        <v>0</v>
      </c>
      <c r="P56" s="20">
        <f t="shared" si="19"/>
        <v>0</v>
      </c>
      <c r="T56" s="44"/>
      <c r="U56" s="118">
        <v>1</v>
      </c>
      <c r="V56">
        <v>1</v>
      </c>
      <c r="W56">
        <v>0</v>
      </c>
      <c r="X56">
        <v>0</v>
      </c>
      <c r="Y56">
        <v>0</v>
      </c>
      <c r="Z56">
        <v>1</v>
      </c>
      <c r="AA56">
        <v>0</v>
      </c>
      <c r="AB56">
        <v>0</v>
      </c>
    </row>
    <row r="57" spans="1:29" ht="45.75" customHeight="1">
      <c r="A57" s="42"/>
      <c r="B57" s="20">
        <f t="shared" si="5"/>
        <v>2</v>
      </c>
      <c r="C57" s="20">
        <f t="shared" si="6"/>
        <v>8</v>
      </c>
      <c r="D57" s="21">
        <f t="shared" si="7"/>
        <v>5</v>
      </c>
      <c r="E57" s="22">
        <f t="shared" si="8"/>
        <v>1</v>
      </c>
      <c r="F57" s="22">
        <f t="shared" si="9"/>
        <v>1</v>
      </c>
      <c r="G57" s="22">
        <f t="shared" si="10"/>
        <v>0</v>
      </c>
      <c r="H57" s="23">
        <f t="shared" si="11"/>
        <v>1</v>
      </c>
      <c r="I57" s="24">
        <f t="shared" si="12"/>
        <v>1</v>
      </c>
      <c r="J57" s="20">
        <f t="shared" si="13"/>
        <v>1</v>
      </c>
      <c r="K57" s="20">
        <f t="shared" si="14"/>
        <v>0</v>
      </c>
      <c r="L57" s="20">
        <f t="shared" si="15"/>
        <v>0</v>
      </c>
      <c r="M57" s="20">
        <f t="shared" si="16"/>
        <v>0</v>
      </c>
      <c r="N57" s="20">
        <f t="shared" si="17"/>
        <v>0</v>
      </c>
      <c r="O57" s="20">
        <f t="shared" si="18"/>
        <v>0</v>
      </c>
      <c r="P57" s="20">
        <f t="shared" si="19"/>
        <v>0</v>
      </c>
      <c r="T57" s="44"/>
      <c r="U57">
        <v>0</v>
      </c>
      <c r="V57">
        <v>0</v>
      </c>
      <c r="W57">
        <v>1</v>
      </c>
      <c r="X57">
        <v>0</v>
      </c>
      <c r="Y57">
        <v>0</v>
      </c>
      <c r="Z57">
        <v>1</v>
      </c>
      <c r="AA57">
        <v>0</v>
      </c>
      <c r="AB57">
        <v>0</v>
      </c>
    </row>
    <row r="58" spans="1:29" ht="45.75" customHeight="1">
      <c r="A58" s="42"/>
      <c r="B58" s="20">
        <f t="shared" si="5"/>
        <v>5</v>
      </c>
      <c r="C58" s="20">
        <f t="shared" si="6"/>
        <v>8</v>
      </c>
      <c r="D58" s="21">
        <f t="shared" si="7"/>
        <v>7</v>
      </c>
      <c r="E58" s="22">
        <f t="shared" si="8"/>
        <v>2</v>
      </c>
      <c r="F58" s="22">
        <f t="shared" si="9"/>
        <v>2</v>
      </c>
      <c r="G58" s="22">
        <f t="shared" si="10"/>
        <v>1</v>
      </c>
      <c r="H58" s="23">
        <f t="shared" si="11"/>
        <v>1</v>
      </c>
      <c r="I58" s="24">
        <f t="shared" si="12"/>
        <v>1</v>
      </c>
      <c r="J58" s="20">
        <f t="shared" si="13"/>
        <v>1</v>
      </c>
      <c r="K58" s="20">
        <f t="shared" si="14"/>
        <v>1</v>
      </c>
      <c r="L58" s="20">
        <f t="shared" si="15"/>
        <v>1</v>
      </c>
      <c r="M58" s="20">
        <f t="shared" si="16"/>
        <v>1</v>
      </c>
      <c r="N58" s="20">
        <f t="shared" si="17"/>
        <v>0</v>
      </c>
      <c r="O58" s="20">
        <f t="shared" si="18"/>
        <v>0</v>
      </c>
      <c r="P58" s="20">
        <f t="shared" si="19"/>
        <v>0</v>
      </c>
      <c r="T58" s="44"/>
      <c r="U58">
        <v>1</v>
      </c>
      <c r="V58">
        <v>1</v>
      </c>
      <c r="W58">
        <v>1</v>
      </c>
      <c r="X58">
        <v>0</v>
      </c>
      <c r="Y58">
        <v>1</v>
      </c>
      <c r="Z58">
        <v>1</v>
      </c>
      <c r="AA58">
        <v>0</v>
      </c>
      <c r="AB58">
        <v>0</v>
      </c>
    </row>
    <row r="59" spans="1:29" ht="45.75" customHeight="1">
      <c r="A59" s="42"/>
      <c r="B59" s="20">
        <f t="shared" si="5"/>
        <v>3</v>
      </c>
      <c r="C59" s="20">
        <f t="shared" si="6"/>
        <v>8</v>
      </c>
      <c r="D59" s="21">
        <f t="shared" si="7"/>
        <v>5</v>
      </c>
      <c r="E59" s="22">
        <f t="shared" si="8"/>
        <v>1</v>
      </c>
      <c r="F59" s="22">
        <f t="shared" si="9"/>
        <v>2</v>
      </c>
      <c r="G59" s="22">
        <f t="shared" si="10"/>
        <v>0</v>
      </c>
      <c r="H59" s="23">
        <f t="shared" si="11"/>
        <v>1</v>
      </c>
      <c r="I59" s="24">
        <f t="shared" si="12"/>
        <v>1</v>
      </c>
      <c r="J59" s="20">
        <f t="shared" si="13"/>
        <v>1</v>
      </c>
      <c r="K59" s="20">
        <f t="shared" si="14"/>
        <v>1</v>
      </c>
      <c r="L59" s="20">
        <f t="shared" si="15"/>
        <v>0</v>
      </c>
      <c r="M59" s="20">
        <f t="shared" si="16"/>
        <v>0</v>
      </c>
      <c r="N59" s="20">
        <f t="shared" si="17"/>
        <v>0</v>
      </c>
      <c r="O59" s="20">
        <f t="shared" si="18"/>
        <v>0</v>
      </c>
      <c r="P59" s="20">
        <f t="shared" si="19"/>
        <v>0</v>
      </c>
      <c r="T59" s="44"/>
      <c r="U59">
        <v>0</v>
      </c>
      <c r="V59">
        <v>1</v>
      </c>
      <c r="W59">
        <v>1</v>
      </c>
      <c r="X59">
        <v>0</v>
      </c>
      <c r="Y59">
        <v>0</v>
      </c>
      <c r="Z59">
        <v>1</v>
      </c>
      <c r="AA59">
        <v>0</v>
      </c>
      <c r="AB59">
        <v>0</v>
      </c>
    </row>
    <row r="60" spans="1:29" ht="45.75" customHeight="1">
      <c r="A60" s="42"/>
      <c r="B60" s="20">
        <f t="shared" si="5"/>
        <v>4</v>
      </c>
      <c r="C60" s="20">
        <f t="shared" si="6"/>
        <v>8</v>
      </c>
      <c r="D60" s="21">
        <f t="shared" si="7"/>
        <v>5</v>
      </c>
      <c r="E60" s="22">
        <f t="shared" si="8"/>
        <v>1</v>
      </c>
      <c r="F60" s="22">
        <f t="shared" si="9"/>
        <v>3</v>
      </c>
      <c r="G60" s="22">
        <f t="shared" si="10"/>
        <v>0</v>
      </c>
      <c r="H60" s="23">
        <f t="shared" si="11"/>
        <v>1</v>
      </c>
      <c r="I60" s="24">
        <f t="shared" si="12"/>
        <v>1</v>
      </c>
      <c r="J60" s="20">
        <f t="shared" si="13"/>
        <v>1</v>
      </c>
      <c r="K60" s="20">
        <f t="shared" si="14"/>
        <v>1</v>
      </c>
      <c r="L60" s="20">
        <f t="shared" si="15"/>
        <v>0</v>
      </c>
      <c r="M60" s="20">
        <f t="shared" si="16"/>
        <v>0</v>
      </c>
      <c r="N60" s="20">
        <f t="shared" si="17"/>
        <v>0</v>
      </c>
      <c r="O60" s="20">
        <f t="shared" si="18"/>
        <v>0</v>
      </c>
      <c r="P60" s="20">
        <f t="shared" si="19"/>
        <v>0</v>
      </c>
      <c r="T60" s="44"/>
      <c r="U60">
        <v>0</v>
      </c>
      <c r="V60">
        <v>1</v>
      </c>
      <c r="W60">
        <v>1</v>
      </c>
      <c r="X60">
        <v>1</v>
      </c>
      <c r="Y60">
        <v>0</v>
      </c>
      <c r="Z60">
        <v>1</v>
      </c>
      <c r="AA60">
        <v>0</v>
      </c>
      <c r="AB60">
        <v>0</v>
      </c>
    </row>
    <row r="61" spans="1:29" ht="45.75" customHeight="1">
      <c r="A61" s="42"/>
      <c r="B61" s="20">
        <f t="shared" si="5"/>
        <v>2</v>
      </c>
      <c r="C61" s="20">
        <f t="shared" si="6"/>
        <v>8</v>
      </c>
      <c r="D61" s="21">
        <f t="shared" si="7"/>
        <v>5</v>
      </c>
      <c r="E61" s="22">
        <f t="shared" si="8"/>
        <v>1</v>
      </c>
      <c r="F61" s="22">
        <f t="shared" si="9"/>
        <v>0</v>
      </c>
      <c r="G61" s="22">
        <f t="shared" si="10"/>
        <v>1</v>
      </c>
      <c r="H61" s="23">
        <f t="shared" si="11"/>
        <v>1</v>
      </c>
      <c r="I61" s="24">
        <f t="shared" si="12"/>
        <v>1</v>
      </c>
      <c r="J61" s="20">
        <f t="shared" si="13"/>
        <v>1</v>
      </c>
      <c r="K61" s="20">
        <f t="shared" si="14"/>
        <v>1</v>
      </c>
      <c r="L61" s="20">
        <f t="shared" si="15"/>
        <v>0</v>
      </c>
      <c r="M61" s="20">
        <f t="shared" si="16"/>
        <v>0</v>
      </c>
      <c r="N61" s="20">
        <f t="shared" si="17"/>
        <v>0</v>
      </c>
      <c r="O61" s="20">
        <f t="shared" si="18"/>
        <v>0</v>
      </c>
      <c r="P61" s="20">
        <f t="shared" si="19"/>
        <v>0</v>
      </c>
      <c r="T61" s="44"/>
      <c r="U61">
        <v>0</v>
      </c>
      <c r="V61">
        <v>0</v>
      </c>
      <c r="W61">
        <v>0</v>
      </c>
      <c r="X61">
        <v>0</v>
      </c>
      <c r="Y61">
        <v>0</v>
      </c>
      <c r="Z61">
        <v>1</v>
      </c>
      <c r="AA61">
        <v>0</v>
      </c>
      <c r="AB61" s="75">
        <v>1</v>
      </c>
      <c r="AC61" s="78" t="s">
        <v>159</v>
      </c>
    </row>
    <row r="62" spans="1:29" ht="45.75" customHeight="1">
      <c r="A62" s="42"/>
      <c r="B62" s="20">
        <f t="shared" si="5"/>
        <v>1</v>
      </c>
      <c r="C62" s="20">
        <f t="shared" si="6"/>
        <v>8</v>
      </c>
      <c r="D62" s="21">
        <f t="shared" si="7"/>
        <v>4</v>
      </c>
      <c r="E62" s="22">
        <f t="shared" si="8"/>
        <v>1</v>
      </c>
      <c r="F62" s="22">
        <f t="shared" si="9"/>
        <v>0</v>
      </c>
      <c r="G62" s="22">
        <f t="shared" si="10"/>
        <v>0</v>
      </c>
      <c r="H62" s="23">
        <f t="shared" si="11"/>
        <v>1</v>
      </c>
      <c r="I62" s="24">
        <f t="shared" si="12"/>
        <v>1</v>
      </c>
      <c r="J62" s="20">
        <f t="shared" si="13"/>
        <v>0</v>
      </c>
      <c r="K62" s="20">
        <f t="shared" si="14"/>
        <v>0</v>
      </c>
      <c r="L62" s="20">
        <f t="shared" si="15"/>
        <v>0</v>
      </c>
      <c r="M62" s="20">
        <f t="shared" si="16"/>
        <v>0</v>
      </c>
      <c r="N62" s="20">
        <f t="shared" si="17"/>
        <v>0</v>
      </c>
      <c r="O62" s="20">
        <f t="shared" si="18"/>
        <v>0</v>
      </c>
      <c r="P62" s="20">
        <f t="shared" si="19"/>
        <v>0</v>
      </c>
      <c r="T62" s="44"/>
      <c r="U62">
        <v>0</v>
      </c>
      <c r="V62">
        <v>0</v>
      </c>
      <c r="W62">
        <v>0</v>
      </c>
      <c r="X62">
        <v>0</v>
      </c>
      <c r="Y62">
        <v>0</v>
      </c>
      <c r="Z62">
        <v>1</v>
      </c>
      <c r="AA62">
        <v>0</v>
      </c>
      <c r="AB62">
        <v>0</v>
      </c>
    </row>
    <row r="63" spans="1:29" ht="45.75" customHeight="1">
      <c r="A63" s="42"/>
      <c r="B63" s="20">
        <f t="shared" si="5"/>
        <v>2</v>
      </c>
      <c r="C63" s="20">
        <f t="shared" si="6"/>
        <v>8</v>
      </c>
      <c r="D63" s="21">
        <f t="shared" si="7"/>
        <v>5</v>
      </c>
      <c r="E63" s="22">
        <f t="shared" si="8"/>
        <v>2</v>
      </c>
      <c r="F63" s="22">
        <f t="shared" si="9"/>
        <v>0</v>
      </c>
      <c r="G63" s="22">
        <f t="shared" si="10"/>
        <v>0</v>
      </c>
      <c r="H63" s="23">
        <f t="shared" si="11"/>
        <v>1</v>
      </c>
      <c r="I63" s="24">
        <f t="shared" si="12"/>
        <v>1</v>
      </c>
      <c r="J63" s="20">
        <f t="shared" si="13"/>
        <v>1</v>
      </c>
      <c r="K63" s="20">
        <f t="shared" si="14"/>
        <v>1</v>
      </c>
      <c r="L63" s="20">
        <f t="shared" si="15"/>
        <v>0</v>
      </c>
      <c r="M63" s="20">
        <f t="shared" si="16"/>
        <v>0</v>
      </c>
      <c r="N63" s="20">
        <f t="shared" si="17"/>
        <v>0</v>
      </c>
      <c r="O63" s="20">
        <f t="shared" si="18"/>
        <v>0</v>
      </c>
      <c r="P63" s="20">
        <f t="shared" si="19"/>
        <v>0</v>
      </c>
      <c r="T63" s="44"/>
      <c r="U63">
        <v>1</v>
      </c>
      <c r="V63">
        <v>0</v>
      </c>
      <c r="W63">
        <v>0</v>
      </c>
      <c r="X63">
        <v>0</v>
      </c>
      <c r="Y63">
        <v>0</v>
      </c>
      <c r="Z63">
        <v>1</v>
      </c>
      <c r="AA63">
        <v>0</v>
      </c>
      <c r="AB63">
        <v>0</v>
      </c>
    </row>
    <row r="64" spans="1:29" ht="45.75" customHeight="1">
      <c r="A64" s="42"/>
      <c r="B64" s="20">
        <f t="shared" si="5"/>
        <v>4</v>
      </c>
      <c r="C64" s="20">
        <f t="shared" si="6"/>
        <v>8</v>
      </c>
      <c r="D64" s="21">
        <f t="shared" si="7"/>
        <v>6</v>
      </c>
      <c r="E64" s="22">
        <f t="shared" si="8"/>
        <v>2</v>
      </c>
      <c r="F64" s="22">
        <f t="shared" si="9"/>
        <v>1</v>
      </c>
      <c r="G64" s="22">
        <f t="shared" si="10"/>
        <v>1</v>
      </c>
      <c r="H64" s="23">
        <f t="shared" si="11"/>
        <v>1</v>
      </c>
      <c r="I64" s="24">
        <f t="shared" si="12"/>
        <v>1</v>
      </c>
      <c r="J64" s="20">
        <f t="shared" si="13"/>
        <v>1</v>
      </c>
      <c r="K64" s="20">
        <f t="shared" si="14"/>
        <v>1</v>
      </c>
      <c r="L64" s="20">
        <f t="shared" si="15"/>
        <v>1</v>
      </c>
      <c r="M64" s="20">
        <f t="shared" si="16"/>
        <v>1</v>
      </c>
      <c r="N64" s="20">
        <f t="shared" si="17"/>
        <v>0</v>
      </c>
      <c r="O64" s="20">
        <f t="shared" si="18"/>
        <v>0</v>
      </c>
      <c r="P64" s="20">
        <f t="shared" si="19"/>
        <v>0</v>
      </c>
      <c r="T64" s="44"/>
      <c r="U64">
        <v>1</v>
      </c>
      <c r="V64">
        <v>0</v>
      </c>
      <c r="W64">
        <v>1</v>
      </c>
      <c r="X64">
        <v>0</v>
      </c>
      <c r="Y64">
        <v>1</v>
      </c>
      <c r="Z64">
        <v>1</v>
      </c>
      <c r="AA64">
        <v>0</v>
      </c>
      <c r="AB64">
        <v>0</v>
      </c>
    </row>
    <row r="65" spans="1:29" ht="45.75" customHeight="1">
      <c r="A65" s="42"/>
      <c r="B65" s="20">
        <f t="shared" si="5"/>
        <v>3</v>
      </c>
      <c r="C65" s="20">
        <f t="shared" si="6"/>
        <v>8</v>
      </c>
      <c r="D65" s="21">
        <f t="shared" si="7"/>
        <v>5</v>
      </c>
      <c r="E65" s="22">
        <f t="shared" si="8"/>
        <v>1</v>
      </c>
      <c r="F65" s="22">
        <f t="shared" si="9"/>
        <v>2</v>
      </c>
      <c r="G65" s="22">
        <f t="shared" si="10"/>
        <v>0</v>
      </c>
      <c r="H65" s="23">
        <f t="shared" si="11"/>
        <v>1</v>
      </c>
      <c r="I65" s="24">
        <f t="shared" si="12"/>
        <v>1</v>
      </c>
      <c r="J65" s="20">
        <f t="shared" si="13"/>
        <v>1</v>
      </c>
      <c r="K65" s="20">
        <f t="shared" si="14"/>
        <v>1</v>
      </c>
      <c r="L65" s="20">
        <f t="shared" si="15"/>
        <v>0</v>
      </c>
      <c r="M65" s="20">
        <f t="shared" si="16"/>
        <v>0</v>
      </c>
      <c r="N65" s="20">
        <f t="shared" si="17"/>
        <v>0</v>
      </c>
      <c r="O65" s="20">
        <f t="shared" si="18"/>
        <v>0</v>
      </c>
      <c r="P65" s="20">
        <f t="shared" si="19"/>
        <v>0</v>
      </c>
      <c r="T65" s="44"/>
      <c r="U65">
        <v>0</v>
      </c>
      <c r="V65">
        <v>1</v>
      </c>
      <c r="W65">
        <v>0</v>
      </c>
      <c r="X65">
        <v>1</v>
      </c>
      <c r="Y65">
        <v>0</v>
      </c>
      <c r="Z65">
        <v>1</v>
      </c>
      <c r="AA65">
        <v>0</v>
      </c>
      <c r="AB65">
        <v>0</v>
      </c>
    </row>
    <row r="66" spans="1:29" ht="45.75" customHeight="1">
      <c r="A66" s="42"/>
      <c r="B66" s="20">
        <f t="shared" si="5"/>
        <v>2</v>
      </c>
      <c r="C66" s="20">
        <f t="shared" si="6"/>
        <v>8</v>
      </c>
      <c r="D66" s="21">
        <f t="shared" si="7"/>
        <v>5</v>
      </c>
      <c r="E66" s="22">
        <f t="shared" si="8"/>
        <v>2</v>
      </c>
      <c r="F66" s="22">
        <f t="shared" si="9"/>
        <v>0</v>
      </c>
      <c r="G66" s="22">
        <f t="shared" si="10"/>
        <v>0</v>
      </c>
      <c r="H66" s="23">
        <f t="shared" si="11"/>
        <v>1</v>
      </c>
      <c r="I66" s="24">
        <f t="shared" si="12"/>
        <v>1</v>
      </c>
      <c r="J66" s="20">
        <f t="shared" si="13"/>
        <v>1</v>
      </c>
      <c r="K66" s="20">
        <f t="shared" si="14"/>
        <v>1</v>
      </c>
      <c r="L66" s="20">
        <f t="shared" si="15"/>
        <v>0</v>
      </c>
      <c r="M66" s="20">
        <f t="shared" si="16"/>
        <v>0</v>
      </c>
      <c r="N66" s="20">
        <f t="shared" si="17"/>
        <v>0</v>
      </c>
      <c r="O66" s="20">
        <f t="shared" si="18"/>
        <v>0</v>
      </c>
      <c r="P66" s="20">
        <f t="shared" si="19"/>
        <v>0</v>
      </c>
      <c r="T66" s="44"/>
      <c r="U66">
        <v>1</v>
      </c>
      <c r="V66">
        <v>0</v>
      </c>
      <c r="W66">
        <v>0</v>
      </c>
      <c r="X66">
        <v>0</v>
      </c>
      <c r="Y66">
        <v>0</v>
      </c>
      <c r="Z66">
        <v>1</v>
      </c>
      <c r="AA66">
        <v>0</v>
      </c>
      <c r="AB66">
        <v>0</v>
      </c>
    </row>
    <row r="67" spans="1:29" ht="45.75" customHeight="1">
      <c r="A67" s="2"/>
      <c r="B67" s="20">
        <f t="shared" si="5"/>
        <v>5</v>
      </c>
      <c r="C67" s="20">
        <f t="shared" si="6"/>
        <v>8</v>
      </c>
      <c r="D67" s="21">
        <f t="shared" si="7"/>
        <v>7</v>
      </c>
      <c r="E67" s="22">
        <f t="shared" si="8"/>
        <v>2</v>
      </c>
      <c r="F67" s="22">
        <f t="shared" si="9"/>
        <v>2</v>
      </c>
      <c r="G67" s="22">
        <f t="shared" si="10"/>
        <v>1</v>
      </c>
      <c r="H67" s="23">
        <f t="shared" si="11"/>
        <v>1</v>
      </c>
      <c r="I67" s="24">
        <f t="shared" si="12"/>
        <v>1</v>
      </c>
      <c r="J67" s="20">
        <f t="shared" si="13"/>
        <v>1</v>
      </c>
      <c r="K67" s="20">
        <f t="shared" si="14"/>
        <v>1</v>
      </c>
      <c r="L67" s="20">
        <f t="shared" si="15"/>
        <v>1</v>
      </c>
      <c r="M67" s="20">
        <f t="shared" si="16"/>
        <v>1</v>
      </c>
      <c r="N67" s="20">
        <f t="shared" si="17"/>
        <v>0</v>
      </c>
      <c r="O67" s="20">
        <f t="shared" si="18"/>
        <v>0</v>
      </c>
      <c r="P67" s="20">
        <f t="shared" si="19"/>
        <v>0</v>
      </c>
      <c r="T67" s="44"/>
      <c r="U67" s="46">
        <v>1</v>
      </c>
      <c r="V67" s="46">
        <v>1</v>
      </c>
      <c r="W67" s="46">
        <v>1</v>
      </c>
      <c r="X67" s="46">
        <v>0</v>
      </c>
      <c r="Y67" s="46">
        <v>1</v>
      </c>
      <c r="Z67" s="46">
        <v>1</v>
      </c>
      <c r="AA67" s="46">
        <v>0</v>
      </c>
      <c r="AB67" s="46">
        <v>0</v>
      </c>
      <c r="AC67" s="49"/>
    </row>
    <row r="68" spans="1:29" ht="45.75" customHeight="1">
      <c r="A68" s="2"/>
      <c r="B68" s="20">
        <f t="shared" si="5"/>
        <v>3</v>
      </c>
      <c r="C68" s="20">
        <f t="shared" si="6"/>
        <v>8</v>
      </c>
      <c r="D68" s="21">
        <f t="shared" si="7"/>
        <v>6</v>
      </c>
      <c r="E68" s="22">
        <f t="shared" si="8"/>
        <v>2</v>
      </c>
      <c r="F68" s="22">
        <f t="shared" si="9"/>
        <v>0</v>
      </c>
      <c r="G68" s="22">
        <f t="shared" si="10"/>
        <v>1</v>
      </c>
      <c r="H68" s="23">
        <f t="shared" si="11"/>
        <v>1</v>
      </c>
      <c r="I68" s="24">
        <f t="shared" si="12"/>
        <v>1</v>
      </c>
      <c r="J68" s="20">
        <f t="shared" si="13"/>
        <v>1</v>
      </c>
      <c r="K68" s="20">
        <f t="shared" si="14"/>
        <v>1</v>
      </c>
      <c r="L68" s="20">
        <f t="shared" si="15"/>
        <v>1</v>
      </c>
      <c r="M68" s="20">
        <f t="shared" si="16"/>
        <v>0</v>
      </c>
      <c r="N68" s="20">
        <f t="shared" si="17"/>
        <v>0</v>
      </c>
      <c r="O68" s="20">
        <f t="shared" si="18"/>
        <v>0</v>
      </c>
      <c r="P68" s="20">
        <f t="shared" si="19"/>
        <v>0</v>
      </c>
      <c r="T68" s="44"/>
      <c r="U68" s="46">
        <v>1</v>
      </c>
      <c r="V68" s="46">
        <v>0</v>
      </c>
      <c r="W68" s="46">
        <v>0</v>
      </c>
      <c r="X68" s="46">
        <v>0</v>
      </c>
      <c r="Y68" s="46">
        <v>1</v>
      </c>
      <c r="Z68" s="46">
        <v>1</v>
      </c>
      <c r="AA68" s="46">
        <v>0</v>
      </c>
      <c r="AB68" s="46">
        <v>0</v>
      </c>
      <c r="AC68" s="49"/>
    </row>
    <row r="69" spans="1:29" ht="45.75" customHeight="1">
      <c r="A69" s="2"/>
      <c r="B69" s="20">
        <f t="shared" si="5"/>
        <v>3</v>
      </c>
      <c r="C69" s="20">
        <f t="shared" si="6"/>
        <v>8</v>
      </c>
      <c r="D69" s="21">
        <f t="shared" si="7"/>
        <v>6</v>
      </c>
      <c r="E69" s="22">
        <f t="shared" si="8"/>
        <v>2</v>
      </c>
      <c r="F69" s="22">
        <f t="shared" si="9"/>
        <v>0</v>
      </c>
      <c r="G69" s="22">
        <f t="shared" si="10"/>
        <v>1</v>
      </c>
      <c r="H69" s="23">
        <f t="shared" si="11"/>
        <v>1</v>
      </c>
      <c r="I69" s="24">
        <f t="shared" si="12"/>
        <v>1</v>
      </c>
      <c r="J69" s="20">
        <f t="shared" si="13"/>
        <v>1</v>
      </c>
      <c r="K69" s="20">
        <f t="shared" si="14"/>
        <v>1</v>
      </c>
      <c r="L69" s="20">
        <f t="shared" si="15"/>
        <v>1</v>
      </c>
      <c r="M69" s="20">
        <f t="shared" si="16"/>
        <v>0</v>
      </c>
      <c r="N69" s="20">
        <f t="shared" si="17"/>
        <v>0</v>
      </c>
      <c r="O69" s="20">
        <f t="shared" si="18"/>
        <v>0</v>
      </c>
      <c r="P69" s="20">
        <f t="shared" si="19"/>
        <v>0</v>
      </c>
      <c r="T69" s="44"/>
      <c r="U69" s="46">
        <v>1</v>
      </c>
      <c r="V69" s="46">
        <v>0</v>
      </c>
      <c r="W69" s="46">
        <v>0</v>
      </c>
      <c r="X69" s="46">
        <v>0</v>
      </c>
      <c r="Y69" s="46">
        <v>1</v>
      </c>
      <c r="Z69" s="46">
        <v>1</v>
      </c>
      <c r="AA69" s="46">
        <v>0</v>
      </c>
      <c r="AB69" s="46">
        <v>0</v>
      </c>
      <c r="AC69" s="49"/>
    </row>
    <row r="70" spans="1:29" ht="45.75" customHeight="1">
      <c r="A70" s="2"/>
      <c r="B70" s="20">
        <f t="shared" si="5"/>
        <v>3</v>
      </c>
      <c r="C70" s="20">
        <f t="shared" si="6"/>
        <v>8</v>
      </c>
      <c r="D70" s="21">
        <f t="shared" si="7"/>
        <v>6</v>
      </c>
      <c r="E70" s="22">
        <f t="shared" si="8"/>
        <v>2</v>
      </c>
      <c r="F70" s="22">
        <f t="shared" si="9"/>
        <v>1</v>
      </c>
      <c r="G70" s="22">
        <f t="shared" si="10"/>
        <v>0</v>
      </c>
      <c r="H70" s="23">
        <f t="shared" si="11"/>
        <v>1</v>
      </c>
      <c r="I70" s="24">
        <f t="shared" si="12"/>
        <v>1</v>
      </c>
      <c r="J70" s="20">
        <f t="shared" si="13"/>
        <v>1</v>
      </c>
      <c r="K70" s="20">
        <f t="shared" si="14"/>
        <v>1</v>
      </c>
      <c r="L70" s="20">
        <f t="shared" si="15"/>
        <v>1</v>
      </c>
      <c r="M70" s="20">
        <f t="shared" si="16"/>
        <v>0</v>
      </c>
      <c r="N70" s="20">
        <f t="shared" si="17"/>
        <v>0</v>
      </c>
      <c r="O70" s="20">
        <f t="shared" si="18"/>
        <v>0</v>
      </c>
      <c r="P70" s="20">
        <f t="shared" si="19"/>
        <v>0</v>
      </c>
      <c r="T70" s="44"/>
      <c r="U70" s="46">
        <v>1</v>
      </c>
      <c r="V70" s="46">
        <v>1</v>
      </c>
      <c r="W70" s="46">
        <v>0</v>
      </c>
      <c r="X70" s="46">
        <v>0</v>
      </c>
      <c r="Y70" s="46">
        <v>0</v>
      </c>
      <c r="Z70" s="46">
        <v>1</v>
      </c>
      <c r="AA70" s="46">
        <v>0</v>
      </c>
      <c r="AB70" s="46">
        <v>0</v>
      </c>
      <c r="AC70" s="49"/>
    </row>
    <row r="71" spans="1:29" ht="45.75" customHeight="1">
      <c r="A71" s="2"/>
      <c r="B71" s="20">
        <f t="shared" si="5"/>
        <v>6</v>
      </c>
      <c r="C71" s="20">
        <f t="shared" si="6"/>
        <v>8</v>
      </c>
      <c r="D71" s="21">
        <f t="shared" si="7"/>
        <v>8</v>
      </c>
      <c r="E71" s="22">
        <f t="shared" si="8"/>
        <v>2</v>
      </c>
      <c r="F71" s="22">
        <f t="shared" si="9"/>
        <v>2</v>
      </c>
      <c r="G71" s="22">
        <f t="shared" si="10"/>
        <v>2</v>
      </c>
      <c r="H71" s="23">
        <f t="shared" si="11"/>
        <v>1</v>
      </c>
      <c r="I71" s="24">
        <f t="shared" si="12"/>
        <v>1</v>
      </c>
      <c r="J71" s="20">
        <f t="shared" si="13"/>
        <v>1</v>
      </c>
      <c r="K71" s="20">
        <f t="shared" si="14"/>
        <v>1</v>
      </c>
      <c r="L71" s="20">
        <f t="shared" si="15"/>
        <v>1</v>
      </c>
      <c r="M71" s="20">
        <f t="shared" si="16"/>
        <v>1</v>
      </c>
      <c r="N71" s="20">
        <f t="shared" si="17"/>
        <v>1</v>
      </c>
      <c r="O71" s="20">
        <f t="shared" si="18"/>
        <v>0</v>
      </c>
      <c r="P71" s="20">
        <f t="shared" si="19"/>
        <v>0</v>
      </c>
      <c r="T71" s="44"/>
      <c r="U71" s="46">
        <v>1</v>
      </c>
      <c r="V71" s="46">
        <v>1</v>
      </c>
      <c r="W71" s="46">
        <v>1</v>
      </c>
      <c r="X71" s="46">
        <v>0</v>
      </c>
      <c r="Y71" s="46">
        <v>1</v>
      </c>
      <c r="Z71" s="46">
        <v>1</v>
      </c>
      <c r="AA71" s="46">
        <v>1</v>
      </c>
      <c r="AB71" s="46">
        <v>0</v>
      </c>
      <c r="AC71" s="49"/>
    </row>
    <row r="72" spans="1:29" ht="45.75" customHeight="1">
      <c r="A72" s="2"/>
      <c r="B72" s="20">
        <f t="shared" ref="B72:B135" si="20">(SUM(U72:AB72))</f>
        <v>5</v>
      </c>
      <c r="C72" s="20">
        <f t="shared" ref="C72:C135" si="21">(COUNT(U72:AB72))</f>
        <v>8</v>
      </c>
      <c r="D72" s="21">
        <f t="shared" ref="D72:D135" si="22">ROUNDUP( MAX( IF(P72,100, IF(O72,80, IF(N72,70, IF(M72,60, IF(L72,55, IF(K72,50, IF(J72,45, IF(I72,35, IF(H72,25, 0))))))))), 100 * B72/C72 ) * 10 / 100,0)</f>
        <v>7</v>
      </c>
      <c r="E72" s="22">
        <f t="shared" ref="E72:E135" si="23">SUM(U72, Z72)</f>
        <v>2</v>
      </c>
      <c r="F72" s="22">
        <f t="shared" ref="F72:F135" si="24">SUM(V72, W72, X72)</f>
        <v>2</v>
      </c>
      <c r="G72" s="22">
        <f t="shared" ref="G72:G135" si="25">SUM(Y72, AA72, AB72)</f>
        <v>1</v>
      </c>
      <c r="H72" s="23">
        <f t="shared" ref="H72:H135" si="26">IF(B72&gt;0,1,0)</f>
        <v>1</v>
      </c>
      <c r="I72" s="24">
        <f t="shared" ref="I72:I135" si="27">IF( B72/C72 &gt; 0.2, 1, IF(E72&gt;0, 1, 0) )</f>
        <v>1</v>
      </c>
      <c r="J72" s="20">
        <f t="shared" ref="J72:J135" si="28">IF( B72/C72 &gt; 0.4, 1, IF( E72=2, 1, IF(AND(E72&gt;0, OR(F72&gt;0, G72&gt;0)), 1, 0 ) ))</f>
        <v>1</v>
      </c>
      <c r="K72" s="20">
        <f t="shared" ref="K72:K135" si="29">IF(B72/C72 &gt; 0.5, 1, IF( E72=2, 1, IF(AND(E72&gt;0, OR(F72&gt;1, G72&gt;0)), 1, 0 ) ))</f>
        <v>1</v>
      </c>
      <c r="L72" s="20">
        <f t="shared" ref="L72:L135" si="30">IF(B72/C72 &gt; 0.6, 1, IF( AND(E72=2, OR(F72&gt;0, G72&gt;0)), 1, 0 ) )</f>
        <v>1</v>
      </c>
      <c r="M72" s="20">
        <f t="shared" ref="M72:M135" si="31">IF(B72/C72 &gt; 0.7, 1, IF( AND(E72=2, SUM(F72, G72)&gt;1), 1, 0 ) )</f>
        <v>1</v>
      </c>
      <c r="N72" s="20">
        <f t="shared" ref="N72:N135" si="32">IF(B72/C72 &gt; 0.8, 1, IF( AND(E72=2, SUM(F72, G72)&gt;3), 1, 0 ) )</f>
        <v>0</v>
      </c>
      <c r="O72" s="20">
        <f t="shared" ref="O72:O135" si="33">IF(B72/C72 &gt; 0.9, 1, 0)</f>
        <v>0</v>
      </c>
      <c r="P72" s="20">
        <f t="shared" ref="P72:P135" si="34">ROUNDDOWN(B72/C72,0)</f>
        <v>0</v>
      </c>
      <c r="T72" s="44"/>
      <c r="U72" s="46">
        <v>1</v>
      </c>
      <c r="V72" s="46">
        <v>1</v>
      </c>
      <c r="W72" s="46">
        <v>1</v>
      </c>
      <c r="X72" s="46">
        <v>0</v>
      </c>
      <c r="Y72" s="46">
        <v>1</v>
      </c>
      <c r="Z72" s="46">
        <v>1</v>
      </c>
      <c r="AA72" s="46">
        <v>0</v>
      </c>
      <c r="AB72" s="46">
        <v>0</v>
      </c>
      <c r="AC72" s="49"/>
    </row>
    <row r="73" spans="1:29" ht="45.75" customHeight="1">
      <c r="A73" s="2"/>
      <c r="B73" s="20">
        <f t="shared" si="20"/>
        <v>4</v>
      </c>
      <c r="C73" s="20">
        <f t="shared" si="21"/>
        <v>8</v>
      </c>
      <c r="D73" s="21">
        <f t="shared" si="22"/>
        <v>6</v>
      </c>
      <c r="E73" s="22">
        <f t="shared" si="23"/>
        <v>2</v>
      </c>
      <c r="F73" s="22">
        <f t="shared" si="24"/>
        <v>2</v>
      </c>
      <c r="G73" s="22">
        <f t="shared" si="25"/>
        <v>0</v>
      </c>
      <c r="H73" s="23">
        <f t="shared" si="26"/>
        <v>1</v>
      </c>
      <c r="I73" s="24">
        <f t="shared" si="27"/>
        <v>1</v>
      </c>
      <c r="J73" s="20">
        <f t="shared" si="28"/>
        <v>1</v>
      </c>
      <c r="K73" s="20">
        <f t="shared" si="29"/>
        <v>1</v>
      </c>
      <c r="L73" s="20">
        <f t="shared" si="30"/>
        <v>1</v>
      </c>
      <c r="M73" s="20">
        <f t="shared" si="31"/>
        <v>1</v>
      </c>
      <c r="N73" s="20">
        <f t="shared" si="32"/>
        <v>0</v>
      </c>
      <c r="O73" s="20">
        <f t="shared" si="33"/>
        <v>0</v>
      </c>
      <c r="P73" s="20">
        <f t="shared" si="34"/>
        <v>0</v>
      </c>
      <c r="T73" s="44"/>
      <c r="U73" s="46">
        <v>1</v>
      </c>
      <c r="V73" s="46">
        <v>0</v>
      </c>
      <c r="W73" s="46">
        <v>1</v>
      </c>
      <c r="X73" s="46">
        <v>1</v>
      </c>
      <c r="Y73" s="46">
        <v>0</v>
      </c>
      <c r="Z73" s="46">
        <v>1</v>
      </c>
      <c r="AA73" s="46">
        <v>0</v>
      </c>
      <c r="AB73" s="46">
        <v>0</v>
      </c>
      <c r="AC73" s="49"/>
    </row>
    <row r="74" spans="1:29" ht="45.75" customHeight="1">
      <c r="A74" s="2"/>
      <c r="B74" s="20">
        <f t="shared" si="20"/>
        <v>6</v>
      </c>
      <c r="C74" s="20">
        <f t="shared" si="21"/>
        <v>8</v>
      </c>
      <c r="D74" s="21">
        <f t="shared" si="22"/>
        <v>8</v>
      </c>
      <c r="E74" s="22">
        <f t="shared" si="23"/>
        <v>2</v>
      </c>
      <c r="F74" s="22">
        <f t="shared" si="24"/>
        <v>3</v>
      </c>
      <c r="G74" s="22">
        <f t="shared" si="25"/>
        <v>1</v>
      </c>
      <c r="H74" s="23">
        <f t="shared" si="26"/>
        <v>1</v>
      </c>
      <c r="I74" s="24">
        <f t="shared" si="27"/>
        <v>1</v>
      </c>
      <c r="J74" s="20">
        <f t="shared" si="28"/>
        <v>1</v>
      </c>
      <c r="K74" s="20">
        <f t="shared" si="29"/>
        <v>1</v>
      </c>
      <c r="L74" s="20">
        <f t="shared" si="30"/>
        <v>1</v>
      </c>
      <c r="M74" s="20">
        <f t="shared" si="31"/>
        <v>1</v>
      </c>
      <c r="N74" s="20">
        <f t="shared" si="32"/>
        <v>1</v>
      </c>
      <c r="O74" s="20">
        <f t="shared" si="33"/>
        <v>0</v>
      </c>
      <c r="P74" s="20">
        <f t="shared" si="34"/>
        <v>0</v>
      </c>
      <c r="T74" s="44"/>
      <c r="U74" s="46">
        <v>1</v>
      </c>
      <c r="V74" s="46">
        <v>1</v>
      </c>
      <c r="W74" s="46">
        <v>1</v>
      </c>
      <c r="X74" s="46">
        <v>1</v>
      </c>
      <c r="Y74" s="46">
        <v>1</v>
      </c>
      <c r="Z74" s="46">
        <v>1</v>
      </c>
      <c r="AA74" s="46">
        <v>0</v>
      </c>
      <c r="AB74" s="46">
        <v>0</v>
      </c>
      <c r="AC74" s="49"/>
    </row>
    <row r="75" spans="1:29" ht="45.75" customHeight="1">
      <c r="A75" s="2"/>
      <c r="B75" s="20">
        <f t="shared" si="20"/>
        <v>1</v>
      </c>
      <c r="C75" s="20">
        <f t="shared" si="21"/>
        <v>8</v>
      </c>
      <c r="D75" s="21">
        <f t="shared" si="22"/>
        <v>4</v>
      </c>
      <c r="E75" s="22">
        <f t="shared" si="23"/>
        <v>1</v>
      </c>
      <c r="F75" s="22">
        <f t="shared" si="24"/>
        <v>0</v>
      </c>
      <c r="G75" s="22">
        <f t="shared" si="25"/>
        <v>0</v>
      </c>
      <c r="H75" s="23">
        <f t="shared" si="26"/>
        <v>1</v>
      </c>
      <c r="I75" s="24">
        <f t="shared" si="27"/>
        <v>1</v>
      </c>
      <c r="J75" s="20">
        <f t="shared" si="28"/>
        <v>0</v>
      </c>
      <c r="K75" s="20">
        <f t="shared" si="29"/>
        <v>0</v>
      </c>
      <c r="L75" s="20">
        <f t="shared" si="30"/>
        <v>0</v>
      </c>
      <c r="M75" s="20">
        <f t="shared" si="31"/>
        <v>0</v>
      </c>
      <c r="N75" s="20">
        <f t="shared" si="32"/>
        <v>0</v>
      </c>
      <c r="O75" s="20">
        <f t="shared" si="33"/>
        <v>0</v>
      </c>
      <c r="P75" s="20">
        <f t="shared" si="34"/>
        <v>0</v>
      </c>
      <c r="T75" s="44"/>
      <c r="U75" s="46">
        <v>1</v>
      </c>
      <c r="V75" s="46">
        <v>0</v>
      </c>
      <c r="W75" s="46">
        <v>0</v>
      </c>
      <c r="X75" s="46">
        <v>0</v>
      </c>
      <c r="Y75" s="46">
        <v>0</v>
      </c>
      <c r="Z75" s="46">
        <v>0</v>
      </c>
      <c r="AA75" s="46">
        <v>0</v>
      </c>
      <c r="AB75" s="46">
        <v>0</v>
      </c>
      <c r="AC75" s="49"/>
    </row>
    <row r="76" spans="1:29" ht="45.75" customHeight="1">
      <c r="A76" s="2"/>
      <c r="B76" s="20">
        <f t="shared" si="20"/>
        <v>2</v>
      </c>
      <c r="C76" s="20">
        <f t="shared" si="21"/>
        <v>8</v>
      </c>
      <c r="D76" s="21">
        <f t="shared" si="22"/>
        <v>5</v>
      </c>
      <c r="E76" s="22">
        <f t="shared" si="23"/>
        <v>2</v>
      </c>
      <c r="F76" s="22">
        <f t="shared" si="24"/>
        <v>0</v>
      </c>
      <c r="G76" s="22">
        <f t="shared" si="25"/>
        <v>0</v>
      </c>
      <c r="H76" s="23">
        <f t="shared" si="26"/>
        <v>1</v>
      </c>
      <c r="I76" s="24">
        <f t="shared" si="27"/>
        <v>1</v>
      </c>
      <c r="J76" s="20">
        <f t="shared" si="28"/>
        <v>1</v>
      </c>
      <c r="K76" s="20">
        <f t="shared" si="29"/>
        <v>1</v>
      </c>
      <c r="L76" s="20">
        <f t="shared" si="30"/>
        <v>0</v>
      </c>
      <c r="M76" s="20">
        <f t="shared" si="31"/>
        <v>0</v>
      </c>
      <c r="N76" s="20">
        <f t="shared" si="32"/>
        <v>0</v>
      </c>
      <c r="O76" s="20">
        <f t="shared" si="33"/>
        <v>0</v>
      </c>
      <c r="P76" s="20">
        <f t="shared" si="34"/>
        <v>0</v>
      </c>
      <c r="T76" s="44"/>
      <c r="U76" s="46">
        <v>1</v>
      </c>
      <c r="V76" s="46">
        <v>0</v>
      </c>
      <c r="W76" s="46">
        <v>0</v>
      </c>
      <c r="X76" s="46">
        <v>0</v>
      </c>
      <c r="Y76" s="46">
        <v>0</v>
      </c>
      <c r="Z76" s="46">
        <v>1</v>
      </c>
      <c r="AA76" s="46">
        <v>0</v>
      </c>
      <c r="AB76" s="46">
        <v>0</v>
      </c>
      <c r="AC76" s="49"/>
    </row>
    <row r="77" spans="1:29" ht="45.75" customHeight="1">
      <c r="A77" s="2"/>
      <c r="B77" s="20">
        <f t="shared" si="20"/>
        <v>2</v>
      </c>
      <c r="C77" s="20">
        <f t="shared" si="21"/>
        <v>8</v>
      </c>
      <c r="D77" s="21">
        <f t="shared" si="22"/>
        <v>5</v>
      </c>
      <c r="E77" s="22">
        <f t="shared" si="23"/>
        <v>2</v>
      </c>
      <c r="F77" s="22">
        <f t="shared" si="24"/>
        <v>0</v>
      </c>
      <c r="G77" s="22">
        <f t="shared" si="25"/>
        <v>0</v>
      </c>
      <c r="H77" s="23">
        <f t="shared" si="26"/>
        <v>1</v>
      </c>
      <c r="I77" s="24">
        <f t="shared" si="27"/>
        <v>1</v>
      </c>
      <c r="J77" s="20">
        <f t="shared" si="28"/>
        <v>1</v>
      </c>
      <c r="K77" s="20">
        <f t="shared" si="29"/>
        <v>1</v>
      </c>
      <c r="L77" s="20">
        <f t="shared" si="30"/>
        <v>0</v>
      </c>
      <c r="M77" s="20">
        <f t="shared" si="31"/>
        <v>0</v>
      </c>
      <c r="N77" s="20">
        <f t="shared" si="32"/>
        <v>0</v>
      </c>
      <c r="O77" s="20">
        <f t="shared" si="33"/>
        <v>0</v>
      </c>
      <c r="P77" s="20">
        <f t="shared" si="34"/>
        <v>0</v>
      </c>
      <c r="T77" s="44"/>
      <c r="U77" s="46">
        <v>1</v>
      </c>
      <c r="V77" s="46">
        <v>0</v>
      </c>
      <c r="W77" s="46">
        <v>0</v>
      </c>
      <c r="X77" s="46">
        <v>0</v>
      </c>
      <c r="Y77" s="46">
        <v>0</v>
      </c>
      <c r="Z77" s="46">
        <v>1</v>
      </c>
      <c r="AA77" s="46">
        <v>0</v>
      </c>
      <c r="AB77" s="46">
        <v>0</v>
      </c>
      <c r="AC77" s="49"/>
    </row>
    <row r="78" spans="1:29" ht="45.75" customHeight="1">
      <c r="A78" s="2"/>
      <c r="B78" s="20">
        <f t="shared" si="20"/>
        <v>5</v>
      </c>
      <c r="C78" s="20">
        <f t="shared" si="21"/>
        <v>8</v>
      </c>
      <c r="D78" s="21">
        <f t="shared" si="22"/>
        <v>7</v>
      </c>
      <c r="E78" s="22">
        <f t="shared" si="23"/>
        <v>2</v>
      </c>
      <c r="F78" s="22">
        <f t="shared" si="24"/>
        <v>3</v>
      </c>
      <c r="G78" s="22">
        <f t="shared" si="25"/>
        <v>0</v>
      </c>
      <c r="H78" s="23">
        <f t="shared" si="26"/>
        <v>1</v>
      </c>
      <c r="I78" s="24">
        <f t="shared" si="27"/>
        <v>1</v>
      </c>
      <c r="J78" s="20">
        <f t="shared" si="28"/>
        <v>1</v>
      </c>
      <c r="K78" s="20">
        <f t="shared" si="29"/>
        <v>1</v>
      </c>
      <c r="L78" s="20">
        <f t="shared" si="30"/>
        <v>1</v>
      </c>
      <c r="M78" s="20">
        <f t="shared" si="31"/>
        <v>1</v>
      </c>
      <c r="N78" s="20">
        <f t="shared" si="32"/>
        <v>0</v>
      </c>
      <c r="O78" s="20">
        <f t="shared" si="33"/>
        <v>0</v>
      </c>
      <c r="P78" s="20">
        <f t="shared" si="34"/>
        <v>0</v>
      </c>
      <c r="T78" s="44"/>
      <c r="U78" s="46">
        <v>1</v>
      </c>
      <c r="V78" s="46">
        <v>1</v>
      </c>
      <c r="W78" s="46">
        <v>1</v>
      </c>
      <c r="X78" s="46">
        <v>1</v>
      </c>
      <c r="Y78" s="46">
        <v>0</v>
      </c>
      <c r="Z78" s="46">
        <v>1</v>
      </c>
      <c r="AA78" s="46">
        <v>0</v>
      </c>
      <c r="AB78" s="46">
        <v>0</v>
      </c>
      <c r="AC78" s="49"/>
    </row>
    <row r="79" spans="1:29" ht="45.75" customHeight="1">
      <c r="A79" s="2"/>
      <c r="B79" s="20">
        <f t="shared" si="20"/>
        <v>4</v>
      </c>
      <c r="C79" s="20">
        <f t="shared" si="21"/>
        <v>8</v>
      </c>
      <c r="D79" s="21">
        <f t="shared" si="22"/>
        <v>6</v>
      </c>
      <c r="E79" s="22">
        <f t="shared" si="23"/>
        <v>2</v>
      </c>
      <c r="F79" s="22">
        <f t="shared" si="24"/>
        <v>2</v>
      </c>
      <c r="G79" s="22">
        <f t="shared" si="25"/>
        <v>0</v>
      </c>
      <c r="H79" s="23">
        <f t="shared" si="26"/>
        <v>1</v>
      </c>
      <c r="I79" s="24">
        <f t="shared" si="27"/>
        <v>1</v>
      </c>
      <c r="J79" s="20">
        <f t="shared" si="28"/>
        <v>1</v>
      </c>
      <c r="K79" s="20">
        <f t="shared" si="29"/>
        <v>1</v>
      </c>
      <c r="L79" s="20">
        <f t="shared" si="30"/>
        <v>1</v>
      </c>
      <c r="M79" s="20">
        <f t="shared" si="31"/>
        <v>1</v>
      </c>
      <c r="N79" s="20">
        <f t="shared" si="32"/>
        <v>0</v>
      </c>
      <c r="O79" s="20">
        <f t="shared" si="33"/>
        <v>0</v>
      </c>
      <c r="P79" s="20">
        <f t="shared" si="34"/>
        <v>0</v>
      </c>
      <c r="T79" s="44"/>
      <c r="U79" s="46">
        <v>1</v>
      </c>
      <c r="V79" s="46">
        <v>0</v>
      </c>
      <c r="W79" s="46">
        <v>1</v>
      </c>
      <c r="X79" s="46">
        <v>1</v>
      </c>
      <c r="Y79" s="46">
        <v>0</v>
      </c>
      <c r="Z79" s="46">
        <v>1</v>
      </c>
      <c r="AA79" s="46">
        <v>0</v>
      </c>
      <c r="AB79" s="46">
        <v>0</v>
      </c>
      <c r="AC79" s="49"/>
    </row>
    <row r="80" spans="1:29" ht="45.75" customHeight="1">
      <c r="A80" s="2"/>
      <c r="B80" s="20">
        <f t="shared" si="20"/>
        <v>0</v>
      </c>
      <c r="C80" s="20">
        <f t="shared" si="21"/>
        <v>8</v>
      </c>
      <c r="D80" s="21">
        <f t="shared" si="22"/>
        <v>0</v>
      </c>
      <c r="E80" s="22">
        <f t="shared" si="23"/>
        <v>0</v>
      </c>
      <c r="F80" s="22">
        <f t="shared" si="24"/>
        <v>0</v>
      </c>
      <c r="G80" s="22">
        <f t="shared" si="25"/>
        <v>0</v>
      </c>
      <c r="H80" s="23">
        <f t="shared" si="26"/>
        <v>0</v>
      </c>
      <c r="I80" s="24">
        <f t="shared" si="27"/>
        <v>0</v>
      </c>
      <c r="J80" s="20">
        <f t="shared" si="28"/>
        <v>0</v>
      </c>
      <c r="K80" s="20">
        <f t="shared" si="29"/>
        <v>0</v>
      </c>
      <c r="L80" s="20">
        <f t="shared" si="30"/>
        <v>0</v>
      </c>
      <c r="M80" s="20">
        <f t="shared" si="31"/>
        <v>0</v>
      </c>
      <c r="N80" s="20">
        <f t="shared" si="32"/>
        <v>0</v>
      </c>
      <c r="O80" s="20">
        <f t="shared" si="33"/>
        <v>0</v>
      </c>
      <c r="P80" s="20">
        <f t="shared" si="34"/>
        <v>0</v>
      </c>
      <c r="T80" s="44"/>
      <c r="U80" s="46">
        <v>0</v>
      </c>
      <c r="V80" s="46">
        <v>0</v>
      </c>
      <c r="W80" s="46">
        <v>0</v>
      </c>
      <c r="X80" s="46">
        <v>0</v>
      </c>
      <c r="Y80" s="46">
        <v>0</v>
      </c>
      <c r="Z80" s="46">
        <v>0</v>
      </c>
      <c r="AA80" s="46">
        <v>0</v>
      </c>
      <c r="AB80" s="46">
        <v>0</v>
      </c>
      <c r="AC80" s="49" t="s">
        <v>160</v>
      </c>
    </row>
    <row r="81" spans="1:29" ht="45.75" customHeight="1">
      <c r="A81" s="2"/>
      <c r="B81" s="20">
        <f t="shared" si="20"/>
        <v>5</v>
      </c>
      <c r="C81" s="20">
        <f t="shared" si="21"/>
        <v>8</v>
      </c>
      <c r="D81" s="21">
        <f t="shared" si="22"/>
        <v>7</v>
      </c>
      <c r="E81" s="22">
        <f t="shared" si="23"/>
        <v>2</v>
      </c>
      <c r="F81" s="22">
        <f t="shared" si="24"/>
        <v>2</v>
      </c>
      <c r="G81" s="22">
        <f t="shared" si="25"/>
        <v>1</v>
      </c>
      <c r="H81" s="23">
        <f t="shared" si="26"/>
        <v>1</v>
      </c>
      <c r="I81" s="24">
        <f t="shared" si="27"/>
        <v>1</v>
      </c>
      <c r="J81" s="20">
        <f t="shared" si="28"/>
        <v>1</v>
      </c>
      <c r="K81" s="20">
        <f t="shared" si="29"/>
        <v>1</v>
      </c>
      <c r="L81" s="20">
        <f t="shared" si="30"/>
        <v>1</v>
      </c>
      <c r="M81" s="20">
        <f t="shared" si="31"/>
        <v>1</v>
      </c>
      <c r="N81" s="20">
        <f t="shared" si="32"/>
        <v>0</v>
      </c>
      <c r="O81" s="20">
        <f t="shared" si="33"/>
        <v>0</v>
      </c>
      <c r="P81" s="20">
        <f t="shared" si="34"/>
        <v>0</v>
      </c>
      <c r="T81" s="44"/>
      <c r="U81" s="46">
        <v>1</v>
      </c>
      <c r="V81" s="46">
        <v>1</v>
      </c>
      <c r="W81" s="46">
        <v>1</v>
      </c>
      <c r="X81" s="46">
        <v>0</v>
      </c>
      <c r="Y81" s="46">
        <v>1</v>
      </c>
      <c r="Z81" s="46">
        <v>1</v>
      </c>
      <c r="AA81" s="46">
        <v>0</v>
      </c>
      <c r="AB81" s="46">
        <v>0</v>
      </c>
      <c r="AC81" s="49"/>
    </row>
    <row r="82" spans="1:29" ht="45.75" customHeight="1">
      <c r="A82" s="2"/>
      <c r="B82" s="20">
        <f t="shared" si="20"/>
        <v>2</v>
      </c>
      <c r="C82" s="20">
        <f t="shared" si="21"/>
        <v>8</v>
      </c>
      <c r="D82" s="21">
        <f t="shared" si="22"/>
        <v>5</v>
      </c>
      <c r="E82" s="22">
        <f t="shared" si="23"/>
        <v>2</v>
      </c>
      <c r="F82" s="22">
        <f t="shared" si="24"/>
        <v>0</v>
      </c>
      <c r="G82" s="22">
        <f t="shared" si="25"/>
        <v>0</v>
      </c>
      <c r="H82" s="23">
        <f t="shared" si="26"/>
        <v>1</v>
      </c>
      <c r="I82" s="24">
        <f t="shared" si="27"/>
        <v>1</v>
      </c>
      <c r="J82" s="20">
        <f t="shared" si="28"/>
        <v>1</v>
      </c>
      <c r="K82" s="20">
        <f t="shared" si="29"/>
        <v>1</v>
      </c>
      <c r="L82" s="20">
        <f t="shared" si="30"/>
        <v>0</v>
      </c>
      <c r="M82" s="20">
        <f t="shared" si="31"/>
        <v>0</v>
      </c>
      <c r="N82" s="20">
        <f t="shared" si="32"/>
        <v>0</v>
      </c>
      <c r="O82" s="20">
        <f t="shared" si="33"/>
        <v>0</v>
      </c>
      <c r="P82" s="20">
        <f t="shared" si="34"/>
        <v>0</v>
      </c>
      <c r="T82" s="44"/>
      <c r="U82" s="46">
        <v>1</v>
      </c>
      <c r="V82" s="46">
        <v>0</v>
      </c>
      <c r="W82" s="46">
        <v>0</v>
      </c>
      <c r="X82" s="46">
        <v>0</v>
      </c>
      <c r="Y82" s="46">
        <v>0</v>
      </c>
      <c r="Z82" s="46">
        <v>1</v>
      </c>
      <c r="AA82" s="46">
        <v>0</v>
      </c>
      <c r="AB82" s="46">
        <v>0</v>
      </c>
      <c r="AC82" s="49"/>
    </row>
    <row r="83" spans="1:29" ht="45.75" customHeight="1">
      <c r="A83" s="2"/>
      <c r="B83" s="20">
        <f t="shared" si="20"/>
        <v>2</v>
      </c>
      <c r="C83" s="20">
        <f t="shared" si="21"/>
        <v>8</v>
      </c>
      <c r="D83" s="21">
        <f t="shared" si="22"/>
        <v>5</v>
      </c>
      <c r="E83" s="22">
        <f t="shared" si="23"/>
        <v>2</v>
      </c>
      <c r="F83" s="22">
        <f t="shared" si="24"/>
        <v>0</v>
      </c>
      <c r="G83" s="22">
        <f t="shared" si="25"/>
        <v>0</v>
      </c>
      <c r="H83" s="23">
        <f t="shared" si="26"/>
        <v>1</v>
      </c>
      <c r="I83" s="24">
        <f t="shared" si="27"/>
        <v>1</v>
      </c>
      <c r="J83" s="20">
        <f t="shared" si="28"/>
        <v>1</v>
      </c>
      <c r="K83" s="20">
        <f t="shared" si="29"/>
        <v>1</v>
      </c>
      <c r="L83" s="20">
        <f t="shared" si="30"/>
        <v>0</v>
      </c>
      <c r="M83" s="20">
        <f t="shared" si="31"/>
        <v>0</v>
      </c>
      <c r="N83" s="20">
        <f t="shared" si="32"/>
        <v>0</v>
      </c>
      <c r="O83" s="20">
        <f t="shared" si="33"/>
        <v>0</v>
      </c>
      <c r="P83" s="20">
        <f t="shared" si="34"/>
        <v>0</v>
      </c>
      <c r="T83" s="44"/>
      <c r="U83" s="46">
        <v>1</v>
      </c>
      <c r="V83" s="46">
        <v>0</v>
      </c>
      <c r="W83" s="46">
        <v>0</v>
      </c>
      <c r="X83" s="46">
        <v>0</v>
      </c>
      <c r="Y83" s="46">
        <v>0</v>
      </c>
      <c r="Z83" s="46">
        <v>1</v>
      </c>
      <c r="AA83" s="46">
        <v>0</v>
      </c>
      <c r="AB83" s="46">
        <v>0</v>
      </c>
      <c r="AC83" s="49"/>
    </row>
    <row r="84" spans="1:29" ht="45.75" customHeight="1">
      <c r="A84" s="2"/>
      <c r="B84" s="20">
        <f t="shared" si="20"/>
        <v>4</v>
      </c>
      <c r="C84" s="20">
        <f t="shared" si="21"/>
        <v>8</v>
      </c>
      <c r="D84" s="21">
        <f t="shared" si="22"/>
        <v>6</v>
      </c>
      <c r="E84" s="22">
        <f t="shared" si="23"/>
        <v>2</v>
      </c>
      <c r="F84" s="22">
        <f t="shared" si="24"/>
        <v>2</v>
      </c>
      <c r="G84" s="22">
        <f t="shared" si="25"/>
        <v>0</v>
      </c>
      <c r="H84" s="23">
        <f t="shared" si="26"/>
        <v>1</v>
      </c>
      <c r="I84" s="24">
        <f t="shared" si="27"/>
        <v>1</v>
      </c>
      <c r="J84" s="20">
        <f t="shared" si="28"/>
        <v>1</v>
      </c>
      <c r="K84" s="20">
        <f t="shared" si="29"/>
        <v>1</v>
      </c>
      <c r="L84" s="20">
        <f t="shared" si="30"/>
        <v>1</v>
      </c>
      <c r="M84" s="20">
        <f t="shared" si="31"/>
        <v>1</v>
      </c>
      <c r="N84" s="20">
        <f t="shared" si="32"/>
        <v>0</v>
      </c>
      <c r="O84" s="20">
        <f t="shared" si="33"/>
        <v>0</v>
      </c>
      <c r="P84" s="20">
        <f t="shared" si="34"/>
        <v>0</v>
      </c>
      <c r="T84" s="44"/>
      <c r="U84" s="46">
        <v>1</v>
      </c>
      <c r="V84" s="46">
        <v>0</v>
      </c>
      <c r="W84" s="46">
        <v>1</v>
      </c>
      <c r="X84" s="46">
        <v>1</v>
      </c>
      <c r="Y84" s="46">
        <v>0</v>
      </c>
      <c r="Z84" s="46">
        <v>1</v>
      </c>
      <c r="AA84" s="46">
        <v>0</v>
      </c>
      <c r="AB84" s="46">
        <v>0</v>
      </c>
      <c r="AC84" s="49"/>
    </row>
    <row r="85" spans="1:29" ht="45.75" customHeight="1">
      <c r="A85" s="2"/>
      <c r="B85" s="20">
        <f t="shared" si="20"/>
        <v>2</v>
      </c>
      <c r="C85" s="20">
        <f t="shared" si="21"/>
        <v>8</v>
      </c>
      <c r="D85" s="21">
        <f t="shared" si="22"/>
        <v>5</v>
      </c>
      <c r="E85" s="22">
        <f t="shared" si="23"/>
        <v>2</v>
      </c>
      <c r="F85" s="22">
        <f t="shared" si="24"/>
        <v>0</v>
      </c>
      <c r="G85" s="22">
        <f t="shared" si="25"/>
        <v>0</v>
      </c>
      <c r="H85" s="23">
        <f t="shared" si="26"/>
        <v>1</v>
      </c>
      <c r="I85" s="24">
        <f t="shared" si="27"/>
        <v>1</v>
      </c>
      <c r="J85" s="20">
        <f t="shared" si="28"/>
        <v>1</v>
      </c>
      <c r="K85" s="20">
        <f t="shared" si="29"/>
        <v>1</v>
      </c>
      <c r="L85" s="20">
        <f t="shared" si="30"/>
        <v>0</v>
      </c>
      <c r="M85" s="20">
        <f t="shared" si="31"/>
        <v>0</v>
      </c>
      <c r="N85" s="20">
        <f t="shared" si="32"/>
        <v>0</v>
      </c>
      <c r="O85" s="20">
        <f t="shared" si="33"/>
        <v>0</v>
      </c>
      <c r="P85" s="20">
        <f t="shared" si="34"/>
        <v>0</v>
      </c>
      <c r="T85" s="44"/>
      <c r="U85" s="46">
        <v>1</v>
      </c>
      <c r="V85" s="46">
        <v>0</v>
      </c>
      <c r="W85" s="46">
        <v>0</v>
      </c>
      <c r="X85" s="46">
        <v>0</v>
      </c>
      <c r="Y85" s="46">
        <v>0</v>
      </c>
      <c r="Z85" s="46">
        <v>1</v>
      </c>
      <c r="AA85" s="46">
        <v>0</v>
      </c>
      <c r="AB85" s="46">
        <v>0</v>
      </c>
      <c r="AC85" s="49"/>
    </row>
    <row r="86" spans="1:29" ht="45.75" customHeight="1">
      <c r="A86" s="2"/>
      <c r="B86" s="20">
        <f t="shared" si="20"/>
        <v>2</v>
      </c>
      <c r="C86" s="20">
        <f t="shared" si="21"/>
        <v>8</v>
      </c>
      <c r="D86" s="21">
        <f t="shared" si="22"/>
        <v>5</v>
      </c>
      <c r="E86" s="22">
        <f t="shared" si="23"/>
        <v>2</v>
      </c>
      <c r="F86" s="22">
        <f t="shared" si="24"/>
        <v>0</v>
      </c>
      <c r="G86" s="22">
        <f t="shared" si="25"/>
        <v>0</v>
      </c>
      <c r="H86" s="23">
        <f t="shared" si="26"/>
        <v>1</v>
      </c>
      <c r="I86" s="24">
        <f t="shared" si="27"/>
        <v>1</v>
      </c>
      <c r="J86" s="20">
        <f t="shared" si="28"/>
        <v>1</v>
      </c>
      <c r="K86" s="20">
        <f t="shared" si="29"/>
        <v>1</v>
      </c>
      <c r="L86" s="20">
        <f t="shared" si="30"/>
        <v>0</v>
      </c>
      <c r="M86" s="20">
        <f t="shared" si="31"/>
        <v>0</v>
      </c>
      <c r="N86" s="20">
        <f t="shared" si="32"/>
        <v>0</v>
      </c>
      <c r="O86" s="20">
        <f t="shared" si="33"/>
        <v>0</v>
      </c>
      <c r="P86" s="20">
        <f t="shared" si="34"/>
        <v>0</v>
      </c>
      <c r="T86" s="44"/>
      <c r="U86" s="46">
        <v>1</v>
      </c>
      <c r="V86" s="46">
        <v>0</v>
      </c>
      <c r="W86" s="46">
        <v>0</v>
      </c>
      <c r="X86" s="46">
        <v>0</v>
      </c>
      <c r="Y86" s="46">
        <v>0</v>
      </c>
      <c r="Z86" s="46">
        <v>1</v>
      </c>
      <c r="AA86" s="46">
        <v>0</v>
      </c>
      <c r="AB86" s="46">
        <v>0</v>
      </c>
      <c r="AC86" s="49"/>
    </row>
    <row r="87" spans="1:29" ht="45.75" customHeight="1">
      <c r="A87" s="2"/>
      <c r="B87" s="20">
        <f t="shared" si="20"/>
        <v>3</v>
      </c>
      <c r="C87" s="20">
        <f t="shared" si="21"/>
        <v>8</v>
      </c>
      <c r="D87" s="21">
        <f t="shared" si="22"/>
        <v>6</v>
      </c>
      <c r="E87" s="22">
        <f t="shared" si="23"/>
        <v>2</v>
      </c>
      <c r="F87" s="22">
        <f t="shared" si="24"/>
        <v>1</v>
      </c>
      <c r="G87" s="22">
        <f t="shared" si="25"/>
        <v>0</v>
      </c>
      <c r="H87" s="23">
        <f t="shared" si="26"/>
        <v>1</v>
      </c>
      <c r="I87" s="24">
        <f t="shared" si="27"/>
        <v>1</v>
      </c>
      <c r="J87" s="20">
        <f t="shared" si="28"/>
        <v>1</v>
      </c>
      <c r="K87" s="20">
        <f t="shared" si="29"/>
        <v>1</v>
      </c>
      <c r="L87" s="20">
        <f t="shared" si="30"/>
        <v>1</v>
      </c>
      <c r="M87" s="20">
        <f t="shared" si="31"/>
        <v>0</v>
      </c>
      <c r="N87" s="20">
        <f t="shared" si="32"/>
        <v>0</v>
      </c>
      <c r="O87" s="20">
        <f t="shared" si="33"/>
        <v>0</v>
      </c>
      <c r="P87" s="20">
        <f t="shared" si="34"/>
        <v>0</v>
      </c>
      <c r="T87" s="44"/>
      <c r="U87" s="46">
        <v>1</v>
      </c>
      <c r="V87" s="46">
        <v>0</v>
      </c>
      <c r="W87" s="46">
        <v>1</v>
      </c>
      <c r="X87" s="46">
        <v>0</v>
      </c>
      <c r="Y87" s="46">
        <v>0</v>
      </c>
      <c r="Z87" s="46">
        <v>1</v>
      </c>
      <c r="AA87" s="46">
        <v>0</v>
      </c>
      <c r="AB87" s="46">
        <v>0</v>
      </c>
      <c r="AC87" s="49"/>
    </row>
    <row r="88" spans="1:29" ht="45.75" customHeight="1">
      <c r="A88" s="2"/>
      <c r="B88" s="20">
        <f t="shared" si="20"/>
        <v>4</v>
      </c>
      <c r="C88" s="20">
        <f t="shared" si="21"/>
        <v>8</v>
      </c>
      <c r="D88" s="21">
        <f t="shared" si="22"/>
        <v>6</v>
      </c>
      <c r="E88" s="22">
        <f t="shared" si="23"/>
        <v>2</v>
      </c>
      <c r="F88" s="22">
        <f t="shared" si="24"/>
        <v>1</v>
      </c>
      <c r="G88" s="22">
        <f t="shared" si="25"/>
        <v>1</v>
      </c>
      <c r="H88" s="23">
        <f t="shared" si="26"/>
        <v>1</v>
      </c>
      <c r="I88" s="24">
        <f t="shared" si="27"/>
        <v>1</v>
      </c>
      <c r="J88" s="20">
        <f t="shared" si="28"/>
        <v>1</v>
      </c>
      <c r="K88" s="20">
        <f t="shared" si="29"/>
        <v>1</v>
      </c>
      <c r="L88" s="20">
        <f t="shared" si="30"/>
        <v>1</v>
      </c>
      <c r="M88" s="20">
        <f t="shared" si="31"/>
        <v>1</v>
      </c>
      <c r="N88" s="20">
        <f t="shared" si="32"/>
        <v>0</v>
      </c>
      <c r="O88" s="20">
        <f t="shared" si="33"/>
        <v>0</v>
      </c>
      <c r="P88" s="20">
        <f t="shared" si="34"/>
        <v>0</v>
      </c>
      <c r="T88" s="44"/>
      <c r="U88" s="46">
        <v>1</v>
      </c>
      <c r="V88" s="46">
        <v>1</v>
      </c>
      <c r="W88" s="46">
        <v>0</v>
      </c>
      <c r="X88" s="46">
        <v>0</v>
      </c>
      <c r="Y88" s="46">
        <v>1</v>
      </c>
      <c r="Z88" s="46">
        <v>1</v>
      </c>
      <c r="AA88" s="46">
        <v>0</v>
      </c>
      <c r="AB88" s="46">
        <v>0</v>
      </c>
      <c r="AC88" s="49"/>
    </row>
    <row r="89" spans="1:29" ht="45.75" customHeight="1">
      <c r="A89" s="2"/>
      <c r="B89" s="20">
        <f t="shared" si="20"/>
        <v>5</v>
      </c>
      <c r="C89" s="20">
        <f t="shared" si="21"/>
        <v>8</v>
      </c>
      <c r="D89" s="21">
        <f t="shared" si="22"/>
        <v>7</v>
      </c>
      <c r="E89" s="22">
        <f t="shared" si="23"/>
        <v>2</v>
      </c>
      <c r="F89" s="22">
        <f t="shared" si="24"/>
        <v>2</v>
      </c>
      <c r="G89" s="22">
        <f t="shared" si="25"/>
        <v>1</v>
      </c>
      <c r="H89" s="23">
        <f t="shared" si="26"/>
        <v>1</v>
      </c>
      <c r="I89" s="24">
        <f t="shared" si="27"/>
        <v>1</v>
      </c>
      <c r="J89" s="20">
        <f t="shared" si="28"/>
        <v>1</v>
      </c>
      <c r="K89" s="20">
        <f t="shared" si="29"/>
        <v>1</v>
      </c>
      <c r="L89" s="20">
        <f t="shared" si="30"/>
        <v>1</v>
      </c>
      <c r="M89" s="20">
        <f t="shared" si="31"/>
        <v>1</v>
      </c>
      <c r="N89" s="20">
        <f t="shared" si="32"/>
        <v>0</v>
      </c>
      <c r="O89" s="20">
        <f t="shared" si="33"/>
        <v>0</v>
      </c>
      <c r="P89" s="20">
        <f t="shared" si="34"/>
        <v>0</v>
      </c>
      <c r="T89" s="44"/>
      <c r="U89" s="46">
        <v>1</v>
      </c>
      <c r="V89" s="46">
        <v>1</v>
      </c>
      <c r="W89" s="46">
        <v>1</v>
      </c>
      <c r="X89" s="46">
        <v>0</v>
      </c>
      <c r="Y89" s="46">
        <v>1</v>
      </c>
      <c r="Z89" s="46">
        <v>1</v>
      </c>
      <c r="AA89" s="46">
        <v>0</v>
      </c>
      <c r="AB89" s="46">
        <v>0</v>
      </c>
      <c r="AC89" s="49"/>
    </row>
    <row r="90" spans="1:29" ht="45.75" customHeight="1">
      <c r="A90" s="2"/>
      <c r="B90" s="20">
        <f t="shared" si="20"/>
        <v>5</v>
      </c>
      <c r="C90" s="20">
        <f t="shared" si="21"/>
        <v>8</v>
      </c>
      <c r="D90" s="21">
        <f t="shared" si="22"/>
        <v>7</v>
      </c>
      <c r="E90" s="22">
        <f t="shared" si="23"/>
        <v>2</v>
      </c>
      <c r="F90" s="22">
        <f t="shared" si="24"/>
        <v>2</v>
      </c>
      <c r="G90" s="22">
        <f t="shared" si="25"/>
        <v>1</v>
      </c>
      <c r="H90" s="23">
        <f t="shared" si="26"/>
        <v>1</v>
      </c>
      <c r="I90" s="24">
        <f t="shared" si="27"/>
        <v>1</v>
      </c>
      <c r="J90" s="20">
        <f t="shared" si="28"/>
        <v>1</v>
      </c>
      <c r="K90" s="20">
        <f t="shared" si="29"/>
        <v>1</v>
      </c>
      <c r="L90" s="20">
        <f t="shared" si="30"/>
        <v>1</v>
      </c>
      <c r="M90" s="20">
        <f t="shared" si="31"/>
        <v>1</v>
      </c>
      <c r="N90" s="20">
        <f t="shared" si="32"/>
        <v>0</v>
      </c>
      <c r="O90" s="20">
        <f t="shared" si="33"/>
        <v>0</v>
      </c>
      <c r="P90" s="20">
        <f t="shared" si="34"/>
        <v>0</v>
      </c>
      <c r="T90" s="44"/>
      <c r="U90" s="46">
        <v>1</v>
      </c>
      <c r="V90" s="46">
        <v>1</v>
      </c>
      <c r="W90" s="46">
        <v>1</v>
      </c>
      <c r="X90" s="46">
        <v>0</v>
      </c>
      <c r="Y90" s="46">
        <v>1</v>
      </c>
      <c r="Z90" s="46">
        <v>1</v>
      </c>
      <c r="AA90" s="46">
        <v>0</v>
      </c>
      <c r="AB90" s="46">
        <v>0</v>
      </c>
      <c r="AC90" s="49"/>
    </row>
    <row r="91" spans="1:29" ht="45.75" customHeight="1">
      <c r="A91" s="2"/>
      <c r="B91" s="20">
        <f t="shared" si="20"/>
        <v>3</v>
      </c>
      <c r="C91" s="20">
        <f t="shared" si="21"/>
        <v>8</v>
      </c>
      <c r="D91" s="21">
        <f t="shared" si="22"/>
        <v>6</v>
      </c>
      <c r="E91" s="22">
        <f t="shared" si="23"/>
        <v>2</v>
      </c>
      <c r="F91" s="22">
        <f t="shared" si="24"/>
        <v>0</v>
      </c>
      <c r="G91" s="22">
        <f t="shared" si="25"/>
        <v>1</v>
      </c>
      <c r="H91" s="23">
        <f t="shared" si="26"/>
        <v>1</v>
      </c>
      <c r="I91" s="24">
        <f t="shared" si="27"/>
        <v>1</v>
      </c>
      <c r="J91" s="20">
        <f t="shared" si="28"/>
        <v>1</v>
      </c>
      <c r="K91" s="20">
        <f t="shared" si="29"/>
        <v>1</v>
      </c>
      <c r="L91" s="20">
        <f t="shared" si="30"/>
        <v>1</v>
      </c>
      <c r="M91" s="20">
        <f t="shared" si="31"/>
        <v>0</v>
      </c>
      <c r="N91" s="20">
        <f t="shared" si="32"/>
        <v>0</v>
      </c>
      <c r="O91" s="20">
        <f t="shared" si="33"/>
        <v>0</v>
      </c>
      <c r="P91" s="20">
        <f t="shared" si="34"/>
        <v>0</v>
      </c>
      <c r="T91" s="44"/>
      <c r="U91" s="46">
        <v>1</v>
      </c>
      <c r="V91" s="46">
        <v>0</v>
      </c>
      <c r="W91" s="46">
        <v>0</v>
      </c>
      <c r="X91" s="46">
        <v>0</v>
      </c>
      <c r="Y91" s="46">
        <v>0</v>
      </c>
      <c r="Z91" s="46">
        <v>1</v>
      </c>
      <c r="AA91" s="46">
        <v>0</v>
      </c>
      <c r="AB91" s="76">
        <v>1</v>
      </c>
      <c r="AC91" s="77" t="s">
        <v>161</v>
      </c>
    </row>
    <row r="92" spans="1:29" ht="45.75" customHeight="1">
      <c r="A92" s="2"/>
      <c r="B92" s="20">
        <f t="shared" si="20"/>
        <v>4</v>
      </c>
      <c r="C92" s="20">
        <f t="shared" si="21"/>
        <v>8</v>
      </c>
      <c r="D92" s="21">
        <f t="shared" si="22"/>
        <v>6</v>
      </c>
      <c r="E92" s="22">
        <f t="shared" si="23"/>
        <v>2</v>
      </c>
      <c r="F92" s="22">
        <f t="shared" si="24"/>
        <v>2</v>
      </c>
      <c r="G92" s="22">
        <f t="shared" si="25"/>
        <v>0</v>
      </c>
      <c r="H92" s="23">
        <f t="shared" si="26"/>
        <v>1</v>
      </c>
      <c r="I92" s="24">
        <f t="shared" si="27"/>
        <v>1</v>
      </c>
      <c r="J92" s="20">
        <f t="shared" si="28"/>
        <v>1</v>
      </c>
      <c r="K92" s="20">
        <f t="shared" si="29"/>
        <v>1</v>
      </c>
      <c r="L92" s="20">
        <f t="shared" si="30"/>
        <v>1</v>
      </c>
      <c r="M92" s="20">
        <f t="shared" si="31"/>
        <v>1</v>
      </c>
      <c r="N92" s="20">
        <f t="shared" si="32"/>
        <v>0</v>
      </c>
      <c r="O92" s="20">
        <f t="shared" si="33"/>
        <v>0</v>
      </c>
      <c r="P92" s="20">
        <f t="shared" si="34"/>
        <v>0</v>
      </c>
      <c r="T92" s="44"/>
      <c r="U92" s="46">
        <v>1</v>
      </c>
      <c r="V92" s="46">
        <v>0</v>
      </c>
      <c r="W92" s="46">
        <v>1</v>
      </c>
      <c r="X92" s="46">
        <v>1</v>
      </c>
      <c r="Y92" s="46">
        <v>0</v>
      </c>
      <c r="Z92" s="46">
        <v>1</v>
      </c>
      <c r="AA92" s="46">
        <v>0</v>
      </c>
      <c r="AB92" s="46">
        <v>0</v>
      </c>
      <c r="AC92" s="49"/>
    </row>
    <row r="93" spans="1:29" ht="45.75" customHeight="1">
      <c r="A93" s="2"/>
      <c r="B93" s="20">
        <f t="shared" si="20"/>
        <v>6</v>
      </c>
      <c r="C93" s="20">
        <f t="shared" si="21"/>
        <v>8</v>
      </c>
      <c r="D93" s="21">
        <f t="shared" si="22"/>
        <v>8</v>
      </c>
      <c r="E93" s="22">
        <f t="shared" si="23"/>
        <v>2</v>
      </c>
      <c r="F93" s="22">
        <f t="shared" si="24"/>
        <v>3</v>
      </c>
      <c r="G93" s="22">
        <f t="shared" si="25"/>
        <v>1</v>
      </c>
      <c r="H93" s="23">
        <f t="shared" si="26"/>
        <v>1</v>
      </c>
      <c r="I93" s="24">
        <f t="shared" si="27"/>
        <v>1</v>
      </c>
      <c r="J93" s="20">
        <f t="shared" si="28"/>
        <v>1</v>
      </c>
      <c r="K93" s="20">
        <f t="shared" si="29"/>
        <v>1</v>
      </c>
      <c r="L93" s="20">
        <f t="shared" si="30"/>
        <v>1</v>
      </c>
      <c r="M93" s="20">
        <f t="shared" si="31"/>
        <v>1</v>
      </c>
      <c r="N93" s="20">
        <f t="shared" si="32"/>
        <v>1</v>
      </c>
      <c r="O93" s="20">
        <f t="shared" si="33"/>
        <v>0</v>
      </c>
      <c r="P93" s="20">
        <f t="shared" si="34"/>
        <v>0</v>
      </c>
      <c r="T93" s="44"/>
      <c r="U93" s="46">
        <v>1</v>
      </c>
      <c r="V93" s="46">
        <v>1</v>
      </c>
      <c r="W93" s="46">
        <v>1</v>
      </c>
      <c r="X93" s="46">
        <v>1</v>
      </c>
      <c r="Y93" s="46">
        <v>1</v>
      </c>
      <c r="Z93" s="46">
        <v>1</v>
      </c>
      <c r="AA93" s="46">
        <v>0</v>
      </c>
      <c r="AB93" s="46">
        <v>0</v>
      </c>
      <c r="AC93" s="49"/>
    </row>
    <row r="94" spans="1:29" ht="45.75" customHeight="1">
      <c r="A94" s="2"/>
      <c r="B94" s="20">
        <f t="shared" si="20"/>
        <v>6</v>
      </c>
      <c r="C94" s="20">
        <f t="shared" si="21"/>
        <v>8</v>
      </c>
      <c r="D94" s="21">
        <f t="shared" si="22"/>
        <v>8</v>
      </c>
      <c r="E94" s="22">
        <f t="shared" si="23"/>
        <v>2</v>
      </c>
      <c r="F94" s="22">
        <f t="shared" si="24"/>
        <v>3</v>
      </c>
      <c r="G94" s="22">
        <f t="shared" si="25"/>
        <v>1</v>
      </c>
      <c r="H94" s="23">
        <f t="shared" si="26"/>
        <v>1</v>
      </c>
      <c r="I94" s="24">
        <f t="shared" si="27"/>
        <v>1</v>
      </c>
      <c r="J94" s="20">
        <f t="shared" si="28"/>
        <v>1</v>
      </c>
      <c r="K94" s="20">
        <f t="shared" si="29"/>
        <v>1</v>
      </c>
      <c r="L94" s="20">
        <f t="shared" si="30"/>
        <v>1</v>
      </c>
      <c r="M94" s="20">
        <f t="shared" si="31"/>
        <v>1</v>
      </c>
      <c r="N94" s="20">
        <f t="shared" si="32"/>
        <v>1</v>
      </c>
      <c r="O94" s="20">
        <f t="shared" si="33"/>
        <v>0</v>
      </c>
      <c r="P94" s="20">
        <f t="shared" si="34"/>
        <v>0</v>
      </c>
      <c r="T94" s="44"/>
      <c r="U94" s="46">
        <v>1</v>
      </c>
      <c r="V94" s="46">
        <v>1</v>
      </c>
      <c r="W94" s="46">
        <v>1</v>
      </c>
      <c r="X94" s="46">
        <v>1</v>
      </c>
      <c r="Y94" s="46">
        <v>1</v>
      </c>
      <c r="Z94" s="46">
        <v>1</v>
      </c>
      <c r="AA94" s="46">
        <v>0</v>
      </c>
      <c r="AB94" s="46">
        <v>0</v>
      </c>
      <c r="AC94" s="49"/>
    </row>
    <row r="95" spans="1:29" ht="45.75" customHeight="1">
      <c r="A95" s="2"/>
      <c r="B95" s="20">
        <f t="shared" si="20"/>
        <v>5</v>
      </c>
      <c r="C95" s="20">
        <f t="shared" si="21"/>
        <v>8</v>
      </c>
      <c r="D95" s="21">
        <f t="shared" si="22"/>
        <v>7</v>
      </c>
      <c r="E95" s="22">
        <f t="shared" si="23"/>
        <v>2</v>
      </c>
      <c r="F95" s="22">
        <f t="shared" si="24"/>
        <v>2</v>
      </c>
      <c r="G95" s="22">
        <f t="shared" si="25"/>
        <v>1</v>
      </c>
      <c r="H95" s="23">
        <f t="shared" si="26"/>
        <v>1</v>
      </c>
      <c r="I95" s="24">
        <f t="shared" si="27"/>
        <v>1</v>
      </c>
      <c r="J95" s="20">
        <f t="shared" si="28"/>
        <v>1</v>
      </c>
      <c r="K95" s="20">
        <f t="shared" si="29"/>
        <v>1</v>
      </c>
      <c r="L95" s="20">
        <f t="shared" si="30"/>
        <v>1</v>
      </c>
      <c r="M95" s="20">
        <f t="shared" si="31"/>
        <v>1</v>
      </c>
      <c r="N95" s="20">
        <f t="shared" si="32"/>
        <v>0</v>
      </c>
      <c r="O95" s="20">
        <f t="shared" si="33"/>
        <v>0</v>
      </c>
      <c r="P95" s="20">
        <f t="shared" si="34"/>
        <v>0</v>
      </c>
      <c r="T95" s="44"/>
      <c r="U95" s="46">
        <v>1</v>
      </c>
      <c r="V95" s="46">
        <v>0</v>
      </c>
      <c r="W95" s="46">
        <v>1</v>
      </c>
      <c r="X95" s="46">
        <v>1</v>
      </c>
      <c r="Y95" s="46">
        <v>0</v>
      </c>
      <c r="Z95" s="46">
        <v>1</v>
      </c>
      <c r="AA95" s="46">
        <v>0</v>
      </c>
      <c r="AB95" s="76">
        <v>1</v>
      </c>
      <c r="AC95" s="77" t="s">
        <v>162</v>
      </c>
    </row>
    <row r="96" spans="1:29" ht="45.75" customHeight="1">
      <c r="A96" s="2"/>
      <c r="B96" s="20">
        <f t="shared" si="20"/>
        <v>6</v>
      </c>
      <c r="C96" s="20">
        <f t="shared" si="21"/>
        <v>8</v>
      </c>
      <c r="D96" s="21">
        <f t="shared" si="22"/>
        <v>8</v>
      </c>
      <c r="E96" s="22">
        <f t="shared" si="23"/>
        <v>2</v>
      </c>
      <c r="F96" s="22">
        <f t="shared" si="24"/>
        <v>3</v>
      </c>
      <c r="G96" s="22">
        <f t="shared" si="25"/>
        <v>1</v>
      </c>
      <c r="H96" s="23">
        <f t="shared" si="26"/>
        <v>1</v>
      </c>
      <c r="I96" s="24">
        <f t="shared" si="27"/>
        <v>1</v>
      </c>
      <c r="J96" s="20">
        <f t="shared" si="28"/>
        <v>1</v>
      </c>
      <c r="K96" s="20">
        <f t="shared" si="29"/>
        <v>1</v>
      </c>
      <c r="L96" s="20">
        <f t="shared" si="30"/>
        <v>1</v>
      </c>
      <c r="M96" s="20">
        <f t="shared" si="31"/>
        <v>1</v>
      </c>
      <c r="N96" s="20">
        <f t="shared" si="32"/>
        <v>1</v>
      </c>
      <c r="O96" s="20">
        <f t="shared" si="33"/>
        <v>0</v>
      </c>
      <c r="P96" s="20">
        <f t="shared" si="34"/>
        <v>0</v>
      </c>
      <c r="T96" s="44"/>
      <c r="U96" s="46">
        <v>1</v>
      </c>
      <c r="V96" s="46">
        <v>1</v>
      </c>
      <c r="W96" s="46">
        <v>1</v>
      </c>
      <c r="X96" s="46">
        <v>1</v>
      </c>
      <c r="Y96" s="46">
        <v>1</v>
      </c>
      <c r="Z96" s="46">
        <v>1</v>
      </c>
      <c r="AA96" s="46">
        <v>0</v>
      </c>
      <c r="AB96" s="46">
        <v>0</v>
      </c>
      <c r="AC96" s="49"/>
    </row>
    <row r="97" spans="1:29" ht="45.75" customHeight="1">
      <c r="A97" s="2"/>
      <c r="B97" s="20">
        <f t="shared" si="20"/>
        <v>2</v>
      </c>
      <c r="C97" s="20">
        <f t="shared" si="21"/>
        <v>8</v>
      </c>
      <c r="D97" s="21">
        <f t="shared" si="22"/>
        <v>5</v>
      </c>
      <c r="E97" s="22">
        <f t="shared" si="23"/>
        <v>2</v>
      </c>
      <c r="F97" s="22">
        <f t="shared" si="24"/>
        <v>0</v>
      </c>
      <c r="G97" s="22">
        <f t="shared" si="25"/>
        <v>0</v>
      </c>
      <c r="H97" s="23">
        <f t="shared" si="26"/>
        <v>1</v>
      </c>
      <c r="I97" s="24">
        <f t="shared" si="27"/>
        <v>1</v>
      </c>
      <c r="J97" s="20">
        <f t="shared" si="28"/>
        <v>1</v>
      </c>
      <c r="K97" s="20">
        <f t="shared" si="29"/>
        <v>1</v>
      </c>
      <c r="L97" s="20">
        <f t="shared" si="30"/>
        <v>0</v>
      </c>
      <c r="M97" s="20">
        <f t="shared" si="31"/>
        <v>0</v>
      </c>
      <c r="N97" s="20">
        <f t="shared" si="32"/>
        <v>0</v>
      </c>
      <c r="O97" s="20">
        <f t="shared" si="33"/>
        <v>0</v>
      </c>
      <c r="P97" s="20">
        <f t="shared" si="34"/>
        <v>0</v>
      </c>
      <c r="T97" s="44"/>
      <c r="U97" s="46">
        <v>1</v>
      </c>
      <c r="V97" s="46">
        <v>0</v>
      </c>
      <c r="W97" s="46">
        <v>0</v>
      </c>
      <c r="X97" s="46">
        <v>0</v>
      </c>
      <c r="Y97" s="46">
        <v>0</v>
      </c>
      <c r="Z97" s="46">
        <v>1</v>
      </c>
      <c r="AA97" s="46">
        <v>0</v>
      </c>
      <c r="AB97" s="46">
        <v>0</v>
      </c>
      <c r="AC97" s="49"/>
    </row>
    <row r="98" spans="1:29" ht="45.75" customHeight="1">
      <c r="A98" s="2"/>
      <c r="B98" s="20">
        <f t="shared" si="20"/>
        <v>5</v>
      </c>
      <c r="C98" s="20">
        <f t="shared" si="21"/>
        <v>8</v>
      </c>
      <c r="D98" s="21">
        <f t="shared" si="22"/>
        <v>7</v>
      </c>
      <c r="E98" s="22">
        <f t="shared" si="23"/>
        <v>2</v>
      </c>
      <c r="F98" s="22">
        <f t="shared" si="24"/>
        <v>2</v>
      </c>
      <c r="G98" s="22">
        <f t="shared" si="25"/>
        <v>1</v>
      </c>
      <c r="H98" s="23">
        <f t="shared" si="26"/>
        <v>1</v>
      </c>
      <c r="I98" s="24">
        <f t="shared" si="27"/>
        <v>1</v>
      </c>
      <c r="J98" s="20">
        <f t="shared" si="28"/>
        <v>1</v>
      </c>
      <c r="K98" s="20">
        <f t="shared" si="29"/>
        <v>1</v>
      </c>
      <c r="L98" s="20">
        <f t="shared" si="30"/>
        <v>1</v>
      </c>
      <c r="M98" s="20">
        <f t="shared" si="31"/>
        <v>1</v>
      </c>
      <c r="N98" s="20">
        <f t="shared" si="32"/>
        <v>0</v>
      </c>
      <c r="O98" s="20">
        <f t="shared" si="33"/>
        <v>0</v>
      </c>
      <c r="P98" s="20">
        <f t="shared" si="34"/>
        <v>0</v>
      </c>
      <c r="T98" s="44"/>
      <c r="U98" s="46">
        <v>1</v>
      </c>
      <c r="V98" s="46">
        <v>0</v>
      </c>
      <c r="W98" s="46">
        <v>1</v>
      </c>
      <c r="X98" s="46">
        <v>1</v>
      </c>
      <c r="Y98" s="46">
        <v>1</v>
      </c>
      <c r="Z98" s="46">
        <v>1</v>
      </c>
      <c r="AA98" s="46">
        <v>0</v>
      </c>
      <c r="AB98" s="46">
        <v>0</v>
      </c>
      <c r="AC98" s="49"/>
    </row>
    <row r="99" spans="1:29" ht="45.75" customHeight="1">
      <c r="A99" s="2"/>
      <c r="B99" s="20">
        <f t="shared" si="20"/>
        <v>4</v>
      </c>
      <c r="C99" s="20">
        <f t="shared" si="21"/>
        <v>8</v>
      </c>
      <c r="D99" s="21">
        <f t="shared" si="22"/>
        <v>6</v>
      </c>
      <c r="E99" s="22">
        <f t="shared" si="23"/>
        <v>2</v>
      </c>
      <c r="F99" s="22">
        <f t="shared" si="24"/>
        <v>2</v>
      </c>
      <c r="G99" s="22">
        <f t="shared" si="25"/>
        <v>0</v>
      </c>
      <c r="H99" s="23">
        <f t="shared" si="26"/>
        <v>1</v>
      </c>
      <c r="I99" s="24">
        <f t="shared" si="27"/>
        <v>1</v>
      </c>
      <c r="J99" s="20">
        <f t="shared" si="28"/>
        <v>1</v>
      </c>
      <c r="K99" s="20">
        <f t="shared" si="29"/>
        <v>1</v>
      </c>
      <c r="L99" s="20">
        <f t="shared" si="30"/>
        <v>1</v>
      </c>
      <c r="M99" s="20">
        <f t="shared" si="31"/>
        <v>1</v>
      </c>
      <c r="N99" s="20">
        <f t="shared" si="32"/>
        <v>0</v>
      </c>
      <c r="O99" s="20">
        <f t="shared" si="33"/>
        <v>0</v>
      </c>
      <c r="P99" s="20">
        <f t="shared" si="34"/>
        <v>0</v>
      </c>
      <c r="T99" s="44"/>
      <c r="U99" s="46">
        <v>1</v>
      </c>
      <c r="V99" s="46">
        <v>1</v>
      </c>
      <c r="W99" s="46">
        <v>1</v>
      </c>
      <c r="X99" s="46">
        <v>0</v>
      </c>
      <c r="Y99" s="46">
        <v>0</v>
      </c>
      <c r="Z99" s="46">
        <v>1</v>
      </c>
      <c r="AA99" s="46">
        <v>0</v>
      </c>
      <c r="AB99" s="46">
        <v>0</v>
      </c>
      <c r="AC99" s="49"/>
    </row>
    <row r="100" spans="1:29" ht="45.75" customHeight="1">
      <c r="A100" s="2"/>
      <c r="B100" s="20">
        <f t="shared" si="20"/>
        <v>4</v>
      </c>
      <c r="C100" s="20">
        <f t="shared" si="21"/>
        <v>8</v>
      </c>
      <c r="D100" s="21">
        <f t="shared" si="22"/>
        <v>6</v>
      </c>
      <c r="E100" s="22">
        <f t="shared" si="23"/>
        <v>2</v>
      </c>
      <c r="F100" s="22">
        <f t="shared" si="24"/>
        <v>1</v>
      </c>
      <c r="G100" s="22">
        <f t="shared" si="25"/>
        <v>1</v>
      </c>
      <c r="H100" s="23">
        <f t="shared" si="26"/>
        <v>1</v>
      </c>
      <c r="I100" s="24">
        <f t="shared" si="27"/>
        <v>1</v>
      </c>
      <c r="J100" s="20">
        <f t="shared" si="28"/>
        <v>1</v>
      </c>
      <c r="K100" s="20">
        <f t="shared" si="29"/>
        <v>1</v>
      </c>
      <c r="L100" s="20">
        <f t="shared" si="30"/>
        <v>1</v>
      </c>
      <c r="M100" s="20">
        <f t="shared" si="31"/>
        <v>1</v>
      </c>
      <c r="N100" s="20">
        <f t="shared" si="32"/>
        <v>0</v>
      </c>
      <c r="O100" s="20">
        <f t="shared" si="33"/>
        <v>0</v>
      </c>
      <c r="P100" s="20">
        <f t="shared" si="34"/>
        <v>0</v>
      </c>
      <c r="T100" s="44"/>
      <c r="U100" s="46">
        <v>1</v>
      </c>
      <c r="V100" s="46">
        <v>1</v>
      </c>
      <c r="W100" s="46">
        <v>0</v>
      </c>
      <c r="X100" s="46">
        <v>0</v>
      </c>
      <c r="Y100" s="46">
        <v>1</v>
      </c>
      <c r="Z100" s="46">
        <v>1</v>
      </c>
      <c r="AA100" s="46">
        <v>0</v>
      </c>
      <c r="AB100" s="46">
        <v>0</v>
      </c>
      <c r="AC100" s="49"/>
    </row>
    <row r="101" spans="1:29" ht="45.75" customHeight="1">
      <c r="A101" s="2"/>
      <c r="B101" s="20">
        <f t="shared" si="20"/>
        <v>6</v>
      </c>
      <c r="C101" s="20">
        <f t="shared" si="21"/>
        <v>8</v>
      </c>
      <c r="D101" s="21">
        <f t="shared" si="22"/>
        <v>8</v>
      </c>
      <c r="E101" s="22">
        <f t="shared" si="23"/>
        <v>2</v>
      </c>
      <c r="F101" s="22">
        <f t="shared" si="24"/>
        <v>3</v>
      </c>
      <c r="G101" s="22">
        <f t="shared" si="25"/>
        <v>1</v>
      </c>
      <c r="H101" s="23">
        <f t="shared" si="26"/>
        <v>1</v>
      </c>
      <c r="I101" s="24">
        <f t="shared" si="27"/>
        <v>1</v>
      </c>
      <c r="J101" s="20">
        <f t="shared" si="28"/>
        <v>1</v>
      </c>
      <c r="K101" s="20">
        <f t="shared" si="29"/>
        <v>1</v>
      </c>
      <c r="L101" s="20">
        <f t="shared" si="30"/>
        <v>1</v>
      </c>
      <c r="M101" s="20">
        <f t="shared" si="31"/>
        <v>1</v>
      </c>
      <c r="N101" s="20">
        <f t="shared" si="32"/>
        <v>1</v>
      </c>
      <c r="O101" s="20">
        <f t="shared" si="33"/>
        <v>0</v>
      </c>
      <c r="P101" s="20">
        <f t="shared" si="34"/>
        <v>0</v>
      </c>
      <c r="T101" s="44"/>
      <c r="U101" s="46">
        <v>1</v>
      </c>
      <c r="V101" s="46">
        <v>1</v>
      </c>
      <c r="W101" s="46">
        <v>1</v>
      </c>
      <c r="X101" s="46">
        <v>1</v>
      </c>
      <c r="Y101" s="46">
        <v>1</v>
      </c>
      <c r="Z101" s="46">
        <v>1</v>
      </c>
      <c r="AA101" s="46">
        <v>0</v>
      </c>
      <c r="AB101" s="46">
        <v>0</v>
      </c>
      <c r="AC101" s="49"/>
    </row>
    <row r="102" spans="1:29" ht="45.75" customHeight="1">
      <c r="A102" s="2"/>
      <c r="B102" s="20">
        <f t="shared" si="20"/>
        <v>5</v>
      </c>
      <c r="C102" s="20">
        <f t="shared" si="21"/>
        <v>8</v>
      </c>
      <c r="D102" s="21">
        <f t="shared" si="22"/>
        <v>7</v>
      </c>
      <c r="E102" s="22">
        <f t="shared" si="23"/>
        <v>2</v>
      </c>
      <c r="F102" s="22">
        <f t="shared" si="24"/>
        <v>2</v>
      </c>
      <c r="G102" s="22">
        <f t="shared" si="25"/>
        <v>1</v>
      </c>
      <c r="H102" s="23">
        <f t="shared" si="26"/>
        <v>1</v>
      </c>
      <c r="I102" s="24">
        <f t="shared" si="27"/>
        <v>1</v>
      </c>
      <c r="J102" s="20">
        <f t="shared" si="28"/>
        <v>1</v>
      </c>
      <c r="K102" s="20">
        <f t="shared" si="29"/>
        <v>1</v>
      </c>
      <c r="L102" s="20">
        <f t="shared" si="30"/>
        <v>1</v>
      </c>
      <c r="M102" s="20">
        <f t="shared" si="31"/>
        <v>1</v>
      </c>
      <c r="N102" s="20">
        <f t="shared" si="32"/>
        <v>0</v>
      </c>
      <c r="O102" s="20">
        <f t="shared" si="33"/>
        <v>0</v>
      </c>
      <c r="P102" s="20">
        <f t="shared" si="34"/>
        <v>0</v>
      </c>
      <c r="T102" s="44"/>
      <c r="U102" s="46">
        <v>1</v>
      </c>
      <c r="V102" s="46">
        <v>0</v>
      </c>
      <c r="W102" s="46">
        <v>1</v>
      </c>
      <c r="X102" s="46">
        <v>1</v>
      </c>
      <c r="Y102" s="46">
        <v>1</v>
      </c>
      <c r="Z102" s="46">
        <v>1</v>
      </c>
      <c r="AA102" s="46">
        <v>0</v>
      </c>
      <c r="AB102" s="46">
        <v>0</v>
      </c>
      <c r="AC102" s="49"/>
    </row>
    <row r="103" spans="1:29" ht="45.75" customHeight="1">
      <c r="A103" s="2"/>
      <c r="B103" s="20">
        <f t="shared" si="20"/>
        <v>3</v>
      </c>
      <c r="C103" s="20">
        <f t="shared" si="21"/>
        <v>8</v>
      </c>
      <c r="D103" s="21">
        <f t="shared" si="22"/>
        <v>6</v>
      </c>
      <c r="E103" s="22">
        <f t="shared" si="23"/>
        <v>2</v>
      </c>
      <c r="F103" s="22">
        <f t="shared" si="24"/>
        <v>0</v>
      </c>
      <c r="G103" s="22">
        <f t="shared" si="25"/>
        <v>1</v>
      </c>
      <c r="H103" s="23">
        <f t="shared" si="26"/>
        <v>1</v>
      </c>
      <c r="I103" s="24">
        <f t="shared" si="27"/>
        <v>1</v>
      </c>
      <c r="J103" s="20">
        <f t="shared" si="28"/>
        <v>1</v>
      </c>
      <c r="K103" s="20">
        <f t="shared" si="29"/>
        <v>1</v>
      </c>
      <c r="L103" s="20">
        <f t="shared" si="30"/>
        <v>1</v>
      </c>
      <c r="M103" s="20">
        <f t="shared" si="31"/>
        <v>0</v>
      </c>
      <c r="N103" s="20">
        <f t="shared" si="32"/>
        <v>0</v>
      </c>
      <c r="O103" s="20">
        <f t="shared" si="33"/>
        <v>0</v>
      </c>
      <c r="P103" s="20">
        <f t="shared" si="34"/>
        <v>0</v>
      </c>
      <c r="T103" s="44"/>
      <c r="U103" s="46">
        <v>1</v>
      </c>
      <c r="V103" s="46">
        <v>0</v>
      </c>
      <c r="W103" s="46">
        <v>0</v>
      </c>
      <c r="X103" s="46">
        <v>0</v>
      </c>
      <c r="Y103" s="46">
        <v>1</v>
      </c>
      <c r="Z103" s="46">
        <v>1</v>
      </c>
      <c r="AA103" s="46">
        <v>0</v>
      </c>
      <c r="AB103" s="46">
        <v>0</v>
      </c>
      <c r="AC103" s="49"/>
    </row>
    <row r="104" spans="1:29" ht="45.75" customHeight="1">
      <c r="A104" s="2"/>
      <c r="B104" s="20">
        <f t="shared" si="20"/>
        <v>4</v>
      </c>
      <c r="C104" s="20">
        <f t="shared" si="21"/>
        <v>8</v>
      </c>
      <c r="D104" s="21">
        <f t="shared" si="22"/>
        <v>6</v>
      </c>
      <c r="E104" s="22">
        <f t="shared" si="23"/>
        <v>2</v>
      </c>
      <c r="F104" s="22">
        <f t="shared" si="24"/>
        <v>2</v>
      </c>
      <c r="G104" s="22">
        <f t="shared" si="25"/>
        <v>0</v>
      </c>
      <c r="H104" s="23">
        <f t="shared" si="26"/>
        <v>1</v>
      </c>
      <c r="I104" s="24">
        <f t="shared" si="27"/>
        <v>1</v>
      </c>
      <c r="J104" s="20">
        <f t="shared" si="28"/>
        <v>1</v>
      </c>
      <c r="K104" s="20">
        <f t="shared" si="29"/>
        <v>1</v>
      </c>
      <c r="L104" s="20">
        <f t="shared" si="30"/>
        <v>1</v>
      </c>
      <c r="M104" s="20">
        <f t="shared" si="31"/>
        <v>1</v>
      </c>
      <c r="N104" s="20">
        <f t="shared" si="32"/>
        <v>0</v>
      </c>
      <c r="O104" s="20">
        <f t="shared" si="33"/>
        <v>0</v>
      </c>
      <c r="P104" s="20">
        <f t="shared" si="34"/>
        <v>0</v>
      </c>
      <c r="T104" s="44"/>
      <c r="U104" s="46">
        <v>1</v>
      </c>
      <c r="V104" s="46">
        <v>0</v>
      </c>
      <c r="W104" s="46">
        <v>1</v>
      </c>
      <c r="X104" s="46">
        <v>1</v>
      </c>
      <c r="Y104" s="46">
        <v>0</v>
      </c>
      <c r="Z104" s="46">
        <v>1</v>
      </c>
      <c r="AA104" s="46">
        <v>0</v>
      </c>
      <c r="AB104" s="46">
        <v>0</v>
      </c>
      <c r="AC104" s="49"/>
    </row>
    <row r="105" spans="1:29" ht="45.75" customHeight="1">
      <c r="A105" s="2"/>
      <c r="B105" s="20">
        <f t="shared" si="20"/>
        <v>4</v>
      </c>
      <c r="C105" s="20">
        <f t="shared" si="21"/>
        <v>8</v>
      </c>
      <c r="D105" s="21">
        <f t="shared" si="22"/>
        <v>6</v>
      </c>
      <c r="E105" s="22">
        <f t="shared" si="23"/>
        <v>2</v>
      </c>
      <c r="F105" s="22">
        <f t="shared" si="24"/>
        <v>1</v>
      </c>
      <c r="G105" s="22">
        <f t="shared" si="25"/>
        <v>1</v>
      </c>
      <c r="H105" s="23">
        <f t="shared" si="26"/>
        <v>1</v>
      </c>
      <c r="I105" s="24">
        <f t="shared" si="27"/>
        <v>1</v>
      </c>
      <c r="J105" s="20">
        <f t="shared" si="28"/>
        <v>1</v>
      </c>
      <c r="K105" s="20">
        <f t="shared" si="29"/>
        <v>1</v>
      </c>
      <c r="L105" s="20">
        <f t="shared" si="30"/>
        <v>1</v>
      </c>
      <c r="M105" s="20">
        <f t="shared" si="31"/>
        <v>1</v>
      </c>
      <c r="N105" s="20">
        <f t="shared" si="32"/>
        <v>0</v>
      </c>
      <c r="O105" s="20">
        <f t="shared" si="33"/>
        <v>0</v>
      </c>
      <c r="P105" s="20">
        <f t="shared" si="34"/>
        <v>0</v>
      </c>
      <c r="T105" s="44"/>
      <c r="U105" s="46">
        <v>1</v>
      </c>
      <c r="V105" s="46">
        <v>1</v>
      </c>
      <c r="W105" s="46">
        <v>0</v>
      </c>
      <c r="X105" s="46">
        <v>0</v>
      </c>
      <c r="Y105" s="46">
        <v>1</v>
      </c>
      <c r="Z105" s="46">
        <v>1</v>
      </c>
      <c r="AA105" s="46">
        <v>0</v>
      </c>
      <c r="AB105" s="46">
        <v>0</v>
      </c>
      <c r="AC105" s="49"/>
    </row>
    <row r="106" spans="1:29" ht="45.75" customHeight="1">
      <c r="A106" s="2"/>
      <c r="B106" s="20">
        <f t="shared" si="20"/>
        <v>5</v>
      </c>
      <c r="C106" s="20">
        <f t="shared" si="21"/>
        <v>8</v>
      </c>
      <c r="D106" s="21">
        <f t="shared" si="22"/>
        <v>7</v>
      </c>
      <c r="E106" s="22">
        <f t="shared" si="23"/>
        <v>2</v>
      </c>
      <c r="F106" s="22">
        <f t="shared" si="24"/>
        <v>2</v>
      </c>
      <c r="G106" s="22">
        <f t="shared" si="25"/>
        <v>1</v>
      </c>
      <c r="H106" s="23">
        <f t="shared" si="26"/>
        <v>1</v>
      </c>
      <c r="I106" s="24">
        <f t="shared" si="27"/>
        <v>1</v>
      </c>
      <c r="J106" s="20">
        <f t="shared" si="28"/>
        <v>1</v>
      </c>
      <c r="K106" s="20">
        <f t="shared" si="29"/>
        <v>1</v>
      </c>
      <c r="L106" s="20">
        <f t="shared" si="30"/>
        <v>1</v>
      </c>
      <c r="M106" s="20">
        <f t="shared" si="31"/>
        <v>1</v>
      </c>
      <c r="N106" s="20">
        <f t="shared" si="32"/>
        <v>0</v>
      </c>
      <c r="O106" s="20">
        <f t="shared" si="33"/>
        <v>0</v>
      </c>
      <c r="P106" s="20">
        <f t="shared" si="34"/>
        <v>0</v>
      </c>
      <c r="T106" s="44"/>
      <c r="U106" s="46">
        <v>1</v>
      </c>
      <c r="V106" s="46">
        <v>0</v>
      </c>
      <c r="W106" s="46">
        <v>1</v>
      </c>
      <c r="X106" s="46">
        <v>1</v>
      </c>
      <c r="Y106" s="46">
        <v>1</v>
      </c>
      <c r="Z106" s="46">
        <v>1</v>
      </c>
      <c r="AA106" s="46">
        <v>0</v>
      </c>
      <c r="AB106" s="46">
        <v>0</v>
      </c>
      <c r="AC106" s="49"/>
    </row>
    <row r="107" spans="1:29" ht="45.75" customHeight="1">
      <c r="A107" s="1"/>
      <c r="B107" s="20">
        <f t="shared" si="20"/>
        <v>5</v>
      </c>
      <c r="C107" s="20">
        <f t="shared" si="21"/>
        <v>8</v>
      </c>
      <c r="D107" s="21">
        <f t="shared" si="22"/>
        <v>7</v>
      </c>
      <c r="E107" s="22">
        <f t="shared" si="23"/>
        <v>2</v>
      </c>
      <c r="F107" s="22">
        <f t="shared" si="24"/>
        <v>2</v>
      </c>
      <c r="G107" s="22">
        <f t="shared" si="25"/>
        <v>1</v>
      </c>
      <c r="H107" s="23">
        <f t="shared" si="26"/>
        <v>1</v>
      </c>
      <c r="I107" s="24">
        <f t="shared" si="27"/>
        <v>1</v>
      </c>
      <c r="J107" s="20">
        <f t="shared" si="28"/>
        <v>1</v>
      </c>
      <c r="K107" s="20">
        <f t="shared" si="29"/>
        <v>1</v>
      </c>
      <c r="L107" s="20">
        <f t="shared" si="30"/>
        <v>1</v>
      </c>
      <c r="M107" s="20">
        <f t="shared" si="31"/>
        <v>1</v>
      </c>
      <c r="N107" s="20">
        <f t="shared" si="32"/>
        <v>0</v>
      </c>
      <c r="O107" s="20">
        <f t="shared" si="33"/>
        <v>0</v>
      </c>
      <c r="P107" s="20">
        <f t="shared" si="34"/>
        <v>0</v>
      </c>
      <c r="T107" s="44"/>
      <c r="U107" s="46">
        <v>1</v>
      </c>
      <c r="V107" s="46">
        <v>1</v>
      </c>
      <c r="W107" s="46">
        <v>1</v>
      </c>
      <c r="X107" s="46">
        <v>0</v>
      </c>
      <c r="Y107" s="46">
        <v>1</v>
      </c>
      <c r="Z107" s="46">
        <v>1</v>
      </c>
      <c r="AA107" s="46">
        <v>0</v>
      </c>
      <c r="AB107" s="46">
        <v>0</v>
      </c>
      <c r="AC107" s="49"/>
    </row>
    <row r="108" spans="1:29" ht="45.75" customHeight="1">
      <c r="A108" s="1"/>
      <c r="B108" s="20">
        <f t="shared" si="20"/>
        <v>4</v>
      </c>
      <c r="C108" s="20">
        <f t="shared" si="21"/>
        <v>8</v>
      </c>
      <c r="D108" s="21">
        <f t="shared" si="22"/>
        <v>6</v>
      </c>
      <c r="E108" s="22">
        <f t="shared" si="23"/>
        <v>2</v>
      </c>
      <c r="F108" s="22">
        <f t="shared" si="24"/>
        <v>1</v>
      </c>
      <c r="G108" s="22">
        <f t="shared" si="25"/>
        <v>1</v>
      </c>
      <c r="H108" s="23">
        <f t="shared" si="26"/>
        <v>1</v>
      </c>
      <c r="I108" s="24">
        <f t="shared" si="27"/>
        <v>1</v>
      </c>
      <c r="J108" s="20">
        <f t="shared" si="28"/>
        <v>1</v>
      </c>
      <c r="K108" s="20">
        <f t="shared" si="29"/>
        <v>1</v>
      </c>
      <c r="L108" s="20">
        <f t="shared" si="30"/>
        <v>1</v>
      </c>
      <c r="M108" s="20">
        <f t="shared" si="31"/>
        <v>1</v>
      </c>
      <c r="N108" s="20">
        <f t="shared" si="32"/>
        <v>0</v>
      </c>
      <c r="O108" s="20">
        <f t="shared" si="33"/>
        <v>0</v>
      </c>
      <c r="P108" s="20">
        <f t="shared" si="34"/>
        <v>0</v>
      </c>
      <c r="T108" s="44"/>
      <c r="U108" s="46">
        <v>1</v>
      </c>
      <c r="V108" s="46">
        <v>1</v>
      </c>
      <c r="W108" s="46">
        <v>0</v>
      </c>
      <c r="X108" s="46">
        <v>0</v>
      </c>
      <c r="Y108" s="46">
        <v>1</v>
      </c>
      <c r="Z108" s="46">
        <v>1</v>
      </c>
      <c r="AA108" s="46">
        <v>0</v>
      </c>
      <c r="AB108" s="46">
        <v>0</v>
      </c>
      <c r="AC108" s="49"/>
    </row>
    <row r="109" spans="1:29" ht="45.75" customHeight="1">
      <c r="A109" s="1"/>
      <c r="B109" s="20">
        <f t="shared" si="20"/>
        <v>4</v>
      </c>
      <c r="C109" s="20">
        <f t="shared" si="21"/>
        <v>8</v>
      </c>
      <c r="D109" s="21">
        <f t="shared" si="22"/>
        <v>6</v>
      </c>
      <c r="E109" s="22">
        <f t="shared" si="23"/>
        <v>2</v>
      </c>
      <c r="F109" s="22">
        <f t="shared" si="24"/>
        <v>1</v>
      </c>
      <c r="G109" s="22">
        <f t="shared" si="25"/>
        <v>1</v>
      </c>
      <c r="H109" s="23">
        <f t="shared" si="26"/>
        <v>1</v>
      </c>
      <c r="I109" s="24">
        <f t="shared" si="27"/>
        <v>1</v>
      </c>
      <c r="J109" s="20">
        <f t="shared" si="28"/>
        <v>1</v>
      </c>
      <c r="K109" s="20">
        <f t="shared" si="29"/>
        <v>1</v>
      </c>
      <c r="L109" s="20">
        <f t="shared" si="30"/>
        <v>1</v>
      </c>
      <c r="M109" s="20">
        <f t="shared" si="31"/>
        <v>1</v>
      </c>
      <c r="N109" s="20">
        <f t="shared" si="32"/>
        <v>0</v>
      </c>
      <c r="O109" s="20">
        <f t="shared" si="33"/>
        <v>0</v>
      </c>
      <c r="P109" s="20">
        <f t="shared" si="34"/>
        <v>0</v>
      </c>
      <c r="T109" s="44"/>
      <c r="U109" s="46">
        <v>1</v>
      </c>
      <c r="V109" s="46">
        <v>0</v>
      </c>
      <c r="W109" s="46">
        <v>0</v>
      </c>
      <c r="X109" s="46">
        <v>1</v>
      </c>
      <c r="Y109" s="46">
        <v>1</v>
      </c>
      <c r="Z109" s="46">
        <v>1</v>
      </c>
      <c r="AA109" s="46">
        <v>0</v>
      </c>
      <c r="AB109" s="46">
        <v>0</v>
      </c>
      <c r="AC109" s="49"/>
    </row>
    <row r="110" spans="1:29" ht="45.75" customHeight="1">
      <c r="A110" s="1"/>
      <c r="B110" s="20">
        <f t="shared" si="20"/>
        <v>4</v>
      </c>
      <c r="C110" s="20">
        <f t="shared" si="21"/>
        <v>8</v>
      </c>
      <c r="D110" s="21">
        <f t="shared" si="22"/>
        <v>6</v>
      </c>
      <c r="E110" s="22">
        <f t="shared" si="23"/>
        <v>2</v>
      </c>
      <c r="F110" s="22">
        <f t="shared" si="24"/>
        <v>1</v>
      </c>
      <c r="G110" s="22">
        <f t="shared" si="25"/>
        <v>1</v>
      </c>
      <c r="H110" s="23">
        <f t="shared" si="26"/>
        <v>1</v>
      </c>
      <c r="I110" s="24">
        <f t="shared" si="27"/>
        <v>1</v>
      </c>
      <c r="J110" s="20">
        <f t="shared" si="28"/>
        <v>1</v>
      </c>
      <c r="K110" s="20">
        <f t="shared" si="29"/>
        <v>1</v>
      </c>
      <c r="L110" s="20">
        <f t="shared" si="30"/>
        <v>1</v>
      </c>
      <c r="M110" s="20">
        <f t="shared" si="31"/>
        <v>1</v>
      </c>
      <c r="N110" s="20">
        <f t="shared" si="32"/>
        <v>0</v>
      </c>
      <c r="O110" s="20">
        <f t="shared" si="33"/>
        <v>0</v>
      </c>
      <c r="P110" s="20">
        <f t="shared" si="34"/>
        <v>0</v>
      </c>
      <c r="T110" s="44"/>
      <c r="U110" s="46">
        <v>1</v>
      </c>
      <c r="V110" s="46">
        <v>1</v>
      </c>
      <c r="W110" s="46">
        <v>0</v>
      </c>
      <c r="X110" s="46">
        <v>0</v>
      </c>
      <c r="Y110" s="46">
        <v>1</v>
      </c>
      <c r="Z110" s="46">
        <v>1</v>
      </c>
      <c r="AA110" s="46">
        <v>0</v>
      </c>
      <c r="AB110" s="46">
        <v>0</v>
      </c>
      <c r="AC110" s="49"/>
    </row>
    <row r="111" spans="1:29" ht="45.75" customHeight="1">
      <c r="A111" s="1"/>
      <c r="B111" s="20">
        <f t="shared" si="20"/>
        <v>3</v>
      </c>
      <c r="C111" s="20">
        <f t="shared" si="21"/>
        <v>8</v>
      </c>
      <c r="D111" s="21">
        <f t="shared" si="22"/>
        <v>6</v>
      </c>
      <c r="E111" s="22">
        <f t="shared" si="23"/>
        <v>2</v>
      </c>
      <c r="F111" s="22">
        <f t="shared" si="24"/>
        <v>1</v>
      </c>
      <c r="G111" s="22">
        <f t="shared" si="25"/>
        <v>0</v>
      </c>
      <c r="H111" s="23">
        <f t="shared" si="26"/>
        <v>1</v>
      </c>
      <c r="I111" s="24">
        <f t="shared" si="27"/>
        <v>1</v>
      </c>
      <c r="J111" s="20">
        <f t="shared" si="28"/>
        <v>1</v>
      </c>
      <c r="K111" s="20">
        <f t="shared" si="29"/>
        <v>1</v>
      </c>
      <c r="L111" s="20">
        <f t="shared" si="30"/>
        <v>1</v>
      </c>
      <c r="M111" s="20">
        <f t="shared" si="31"/>
        <v>0</v>
      </c>
      <c r="N111" s="20">
        <f t="shared" si="32"/>
        <v>0</v>
      </c>
      <c r="O111" s="20">
        <f t="shared" si="33"/>
        <v>0</v>
      </c>
      <c r="P111" s="20">
        <f t="shared" si="34"/>
        <v>0</v>
      </c>
      <c r="T111" s="44"/>
      <c r="U111" s="46">
        <v>1</v>
      </c>
      <c r="V111" s="46">
        <v>0</v>
      </c>
      <c r="W111" s="46">
        <v>0</v>
      </c>
      <c r="X111" s="46">
        <v>1</v>
      </c>
      <c r="Y111" s="46">
        <v>0</v>
      </c>
      <c r="Z111" s="46">
        <v>1</v>
      </c>
      <c r="AA111" s="46">
        <v>0</v>
      </c>
      <c r="AB111" s="46">
        <v>0</v>
      </c>
      <c r="AC111" s="49"/>
    </row>
    <row r="112" spans="1:29" ht="45.75" customHeight="1">
      <c r="A112" s="1"/>
      <c r="B112" s="20">
        <f t="shared" si="20"/>
        <v>6</v>
      </c>
      <c r="C112" s="20">
        <f t="shared" si="21"/>
        <v>8</v>
      </c>
      <c r="D112" s="21">
        <f t="shared" si="22"/>
        <v>8</v>
      </c>
      <c r="E112" s="22">
        <f t="shared" si="23"/>
        <v>2</v>
      </c>
      <c r="F112" s="22">
        <f t="shared" si="24"/>
        <v>3</v>
      </c>
      <c r="G112" s="22">
        <f t="shared" si="25"/>
        <v>1</v>
      </c>
      <c r="H112" s="23">
        <f t="shared" si="26"/>
        <v>1</v>
      </c>
      <c r="I112" s="24">
        <f t="shared" si="27"/>
        <v>1</v>
      </c>
      <c r="J112" s="20">
        <f t="shared" si="28"/>
        <v>1</v>
      </c>
      <c r="K112" s="20">
        <f t="shared" si="29"/>
        <v>1</v>
      </c>
      <c r="L112" s="20">
        <f t="shared" si="30"/>
        <v>1</v>
      </c>
      <c r="M112" s="20">
        <f t="shared" si="31"/>
        <v>1</v>
      </c>
      <c r="N112" s="20">
        <f t="shared" si="32"/>
        <v>1</v>
      </c>
      <c r="O112" s="20">
        <f t="shared" si="33"/>
        <v>0</v>
      </c>
      <c r="P112" s="20">
        <f t="shared" si="34"/>
        <v>0</v>
      </c>
      <c r="T112" s="44"/>
      <c r="U112" s="46">
        <v>1</v>
      </c>
      <c r="V112" s="46">
        <v>1</v>
      </c>
      <c r="W112" s="46">
        <v>1</v>
      </c>
      <c r="X112" s="46">
        <v>1</v>
      </c>
      <c r="Y112" s="46">
        <v>1</v>
      </c>
      <c r="Z112" s="46">
        <v>1</v>
      </c>
      <c r="AA112" s="46">
        <v>0</v>
      </c>
      <c r="AB112" s="46">
        <v>0</v>
      </c>
      <c r="AC112" s="49"/>
    </row>
    <row r="113" spans="1:29" ht="45.75" customHeight="1">
      <c r="A113" s="1"/>
      <c r="B113" s="20">
        <f t="shared" si="20"/>
        <v>5</v>
      </c>
      <c r="C113" s="20">
        <f t="shared" si="21"/>
        <v>8</v>
      </c>
      <c r="D113" s="21">
        <f t="shared" si="22"/>
        <v>7</v>
      </c>
      <c r="E113" s="22">
        <f t="shared" si="23"/>
        <v>2</v>
      </c>
      <c r="F113" s="22">
        <f t="shared" si="24"/>
        <v>1</v>
      </c>
      <c r="G113" s="22">
        <f t="shared" si="25"/>
        <v>2</v>
      </c>
      <c r="H113" s="23">
        <f t="shared" si="26"/>
        <v>1</v>
      </c>
      <c r="I113" s="24">
        <f t="shared" si="27"/>
        <v>1</v>
      </c>
      <c r="J113" s="20">
        <f t="shared" si="28"/>
        <v>1</v>
      </c>
      <c r="K113" s="20">
        <f t="shared" si="29"/>
        <v>1</v>
      </c>
      <c r="L113" s="20">
        <f t="shared" si="30"/>
        <v>1</v>
      </c>
      <c r="M113" s="20">
        <f t="shared" si="31"/>
        <v>1</v>
      </c>
      <c r="N113" s="20">
        <f t="shared" si="32"/>
        <v>0</v>
      </c>
      <c r="O113" s="20">
        <f t="shared" si="33"/>
        <v>0</v>
      </c>
      <c r="P113" s="20">
        <f t="shared" si="34"/>
        <v>0</v>
      </c>
      <c r="T113" s="44"/>
      <c r="U113" s="46">
        <v>1</v>
      </c>
      <c r="V113" s="46">
        <v>1</v>
      </c>
      <c r="W113" s="46">
        <v>0</v>
      </c>
      <c r="X113" s="46">
        <v>0</v>
      </c>
      <c r="Y113" s="46">
        <v>1</v>
      </c>
      <c r="Z113" s="46">
        <v>1</v>
      </c>
      <c r="AA113" s="46">
        <v>1</v>
      </c>
      <c r="AB113" s="46">
        <v>0</v>
      </c>
      <c r="AC113" s="49"/>
    </row>
    <row r="114" spans="1:29" ht="45.75" customHeight="1">
      <c r="A114" s="1"/>
      <c r="B114" s="20">
        <f t="shared" si="20"/>
        <v>6</v>
      </c>
      <c r="C114" s="20">
        <f t="shared" si="21"/>
        <v>8</v>
      </c>
      <c r="D114" s="21">
        <f t="shared" si="22"/>
        <v>8</v>
      </c>
      <c r="E114" s="22">
        <f t="shared" si="23"/>
        <v>2</v>
      </c>
      <c r="F114" s="22">
        <f t="shared" si="24"/>
        <v>2</v>
      </c>
      <c r="G114" s="22">
        <f t="shared" si="25"/>
        <v>2</v>
      </c>
      <c r="H114" s="23">
        <f t="shared" si="26"/>
        <v>1</v>
      </c>
      <c r="I114" s="24">
        <f t="shared" si="27"/>
        <v>1</v>
      </c>
      <c r="J114" s="20">
        <f t="shared" si="28"/>
        <v>1</v>
      </c>
      <c r="K114" s="20">
        <f t="shared" si="29"/>
        <v>1</v>
      </c>
      <c r="L114" s="20">
        <f t="shared" si="30"/>
        <v>1</v>
      </c>
      <c r="M114" s="20">
        <f t="shared" si="31"/>
        <v>1</v>
      </c>
      <c r="N114" s="20">
        <f t="shared" si="32"/>
        <v>1</v>
      </c>
      <c r="O114" s="20">
        <f t="shared" si="33"/>
        <v>0</v>
      </c>
      <c r="P114" s="20">
        <f t="shared" si="34"/>
        <v>0</v>
      </c>
      <c r="T114" s="44"/>
      <c r="U114" s="46">
        <v>1</v>
      </c>
      <c r="V114" s="46">
        <v>1</v>
      </c>
      <c r="W114" s="46">
        <v>1</v>
      </c>
      <c r="X114" s="46">
        <v>0</v>
      </c>
      <c r="Y114" s="46">
        <v>1</v>
      </c>
      <c r="Z114" s="46">
        <v>1</v>
      </c>
      <c r="AA114" s="46">
        <v>1</v>
      </c>
      <c r="AB114" s="46">
        <v>0</v>
      </c>
      <c r="AC114" s="49"/>
    </row>
    <row r="115" spans="1:29" ht="45.75" customHeight="1">
      <c r="A115" s="1"/>
      <c r="B115" s="20">
        <f t="shared" si="20"/>
        <v>5</v>
      </c>
      <c r="C115" s="20">
        <f t="shared" si="21"/>
        <v>8</v>
      </c>
      <c r="D115" s="21">
        <f t="shared" si="22"/>
        <v>7</v>
      </c>
      <c r="E115" s="22">
        <f t="shared" si="23"/>
        <v>2</v>
      </c>
      <c r="F115" s="22">
        <f t="shared" si="24"/>
        <v>1</v>
      </c>
      <c r="G115" s="22">
        <f t="shared" si="25"/>
        <v>2</v>
      </c>
      <c r="H115" s="23">
        <f t="shared" si="26"/>
        <v>1</v>
      </c>
      <c r="I115" s="24">
        <f t="shared" si="27"/>
        <v>1</v>
      </c>
      <c r="J115" s="20">
        <f t="shared" si="28"/>
        <v>1</v>
      </c>
      <c r="K115" s="20">
        <f t="shared" si="29"/>
        <v>1</v>
      </c>
      <c r="L115" s="20">
        <f t="shared" si="30"/>
        <v>1</v>
      </c>
      <c r="M115" s="20">
        <f t="shared" si="31"/>
        <v>1</v>
      </c>
      <c r="N115" s="20">
        <f t="shared" si="32"/>
        <v>0</v>
      </c>
      <c r="O115" s="20">
        <f t="shared" si="33"/>
        <v>0</v>
      </c>
      <c r="P115" s="20">
        <f t="shared" si="34"/>
        <v>0</v>
      </c>
      <c r="T115" s="44"/>
      <c r="U115" s="46">
        <v>1</v>
      </c>
      <c r="V115" s="46">
        <v>0</v>
      </c>
      <c r="W115" s="46">
        <v>1</v>
      </c>
      <c r="X115" s="46">
        <v>0</v>
      </c>
      <c r="Y115" s="46">
        <v>1</v>
      </c>
      <c r="Z115" s="46">
        <v>1</v>
      </c>
      <c r="AA115" s="46">
        <v>1</v>
      </c>
      <c r="AB115" s="46">
        <v>0</v>
      </c>
      <c r="AC115" s="49"/>
    </row>
    <row r="116" spans="1:29" ht="45.75" customHeight="1">
      <c r="A116" s="1"/>
      <c r="B116" s="20">
        <f t="shared" si="20"/>
        <v>5</v>
      </c>
      <c r="C116" s="20">
        <f t="shared" si="21"/>
        <v>8</v>
      </c>
      <c r="D116" s="21">
        <f t="shared" si="22"/>
        <v>7</v>
      </c>
      <c r="E116" s="22">
        <f t="shared" si="23"/>
        <v>2</v>
      </c>
      <c r="F116" s="22">
        <f t="shared" si="24"/>
        <v>2</v>
      </c>
      <c r="G116" s="22">
        <f t="shared" si="25"/>
        <v>1</v>
      </c>
      <c r="H116" s="23">
        <f t="shared" si="26"/>
        <v>1</v>
      </c>
      <c r="I116" s="24">
        <f t="shared" si="27"/>
        <v>1</v>
      </c>
      <c r="J116" s="20">
        <f t="shared" si="28"/>
        <v>1</v>
      </c>
      <c r="K116" s="20">
        <f t="shared" si="29"/>
        <v>1</v>
      </c>
      <c r="L116" s="20">
        <f t="shared" si="30"/>
        <v>1</v>
      </c>
      <c r="M116" s="20">
        <f t="shared" si="31"/>
        <v>1</v>
      </c>
      <c r="N116" s="20">
        <f t="shared" si="32"/>
        <v>0</v>
      </c>
      <c r="O116" s="20">
        <f t="shared" si="33"/>
        <v>0</v>
      </c>
      <c r="P116" s="20">
        <f t="shared" si="34"/>
        <v>0</v>
      </c>
      <c r="T116" s="44"/>
      <c r="U116" s="46">
        <v>1</v>
      </c>
      <c r="V116" s="46">
        <v>1</v>
      </c>
      <c r="W116" s="46">
        <v>0</v>
      </c>
      <c r="X116" s="46">
        <v>1</v>
      </c>
      <c r="Y116" s="46">
        <v>0</v>
      </c>
      <c r="Z116" s="46">
        <v>1</v>
      </c>
      <c r="AA116" s="46">
        <v>1</v>
      </c>
      <c r="AB116" s="46">
        <v>0</v>
      </c>
      <c r="AC116" s="49"/>
    </row>
    <row r="117" spans="1:29" ht="45.75" customHeight="1">
      <c r="A117" s="1"/>
      <c r="B117" s="20">
        <f t="shared" si="20"/>
        <v>5</v>
      </c>
      <c r="C117" s="20">
        <f t="shared" si="21"/>
        <v>8</v>
      </c>
      <c r="D117" s="21">
        <f t="shared" si="22"/>
        <v>7</v>
      </c>
      <c r="E117" s="22">
        <f t="shared" si="23"/>
        <v>1</v>
      </c>
      <c r="F117" s="22">
        <f t="shared" si="24"/>
        <v>2</v>
      </c>
      <c r="G117" s="22">
        <f t="shared" si="25"/>
        <v>2</v>
      </c>
      <c r="H117" s="23">
        <f t="shared" si="26"/>
        <v>1</v>
      </c>
      <c r="I117" s="24">
        <f t="shared" si="27"/>
        <v>1</v>
      </c>
      <c r="J117" s="20">
        <f t="shared" si="28"/>
        <v>1</v>
      </c>
      <c r="K117" s="20">
        <f t="shared" si="29"/>
        <v>1</v>
      </c>
      <c r="L117" s="20">
        <f t="shared" si="30"/>
        <v>1</v>
      </c>
      <c r="M117" s="20">
        <f t="shared" si="31"/>
        <v>0</v>
      </c>
      <c r="N117" s="20">
        <f t="shared" si="32"/>
        <v>0</v>
      </c>
      <c r="O117" s="20">
        <f t="shared" si="33"/>
        <v>0</v>
      </c>
      <c r="P117" s="20">
        <f t="shared" si="34"/>
        <v>0</v>
      </c>
      <c r="T117" s="44"/>
      <c r="U117" s="46">
        <v>1</v>
      </c>
      <c r="V117" s="46">
        <v>1</v>
      </c>
      <c r="W117" s="46">
        <v>0</v>
      </c>
      <c r="X117" s="46">
        <v>1</v>
      </c>
      <c r="Y117" s="46">
        <v>1</v>
      </c>
      <c r="Z117" s="46">
        <v>0</v>
      </c>
      <c r="AA117" s="46">
        <v>1</v>
      </c>
      <c r="AB117" s="46">
        <v>0</v>
      </c>
      <c r="AC117" s="49"/>
    </row>
    <row r="118" spans="1:29" ht="45.75" customHeight="1">
      <c r="A118" s="1"/>
      <c r="B118" s="20">
        <f t="shared" si="20"/>
        <v>6</v>
      </c>
      <c r="C118" s="20">
        <f t="shared" si="21"/>
        <v>8</v>
      </c>
      <c r="D118" s="21">
        <f t="shared" si="22"/>
        <v>8</v>
      </c>
      <c r="E118" s="22">
        <f t="shared" si="23"/>
        <v>1</v>
      </c>
      <c r="F118" s="22">
        <f t="shared" si="24"/>
        <v>3</v>
      </c>
      <c r="G118" s="22">
        <f t="shared" si="25"/>
        <v>2</v>
      </c>
      <c r="H118" s="23">
        <f t="shared" si="26"/>
        <v>1</v>
      </c>
      <c r="I118" s="24">
        <f t="shared" si="27"/>
        <v>1</v>
      </c>
      <c r="J118" s="20">
        <f t="shared" si="28"/>
        <v>1</v>
      </c>
      <c r="K118" s="20">
        <f t="shared" si="29"/>
        <v>1</v>
      </c>
      <c r="L118" s="20">
        <f t="shared" si="30"/>
        <v>1</v>
      </c>
      <c r="M118" s="20">
        <f t="shared" si="31"/>
        <v>1</v>
      </c>
      <c r="N118" s="20">
        <f t="shared" si="32"/>
        <v>0</v>
      </c>
      <c r="O118" s="20">
        <f t="shared" si="33"/>
        <v>0</v>
      </c>
      <c r="P118" s="20">
        <f t="shared" si="34"/>
        <v>0</v>
      </c>
      <c r="T118" s="44"/>
      <c r="U118" s="46">
        <v>1</v>
      </c>
      <c r="V118" s="46">
        <v>1</v>
      </c>
      <c r="W118" s="46">
        <v>1</v>
      </c>
      <c r="X118" s="46">
        <v>1</v>
      </c>
      <c r="Y118" s="46">
        <v>1</v>
      </c>
      <c r="Z118" s="46">
        <v>0</v>
      </c>
      <c r="AA118" s="46">
        <v>1</v>
      </c>
      <c r="AB118" s="46">
        <v>0</v>
      </c>
      <c r="AC118" s="49"/>
    </row>
    <row r="119" spans="1:29" ht="45.75" customHeight="1">
      <c r="A119" s="1"/>
      <c r="B119" s="20">
        <f t="shared" si="20"/>
        <v>5</v>
      </c>
      <c r="C119" s="20">
        <f t="shared" si="21"/>
        <v>8</v>
      </c>
      <c r="D119" s="21">
        <f t="shared" si="22"/>
        <v>7</v>
      </c>
      <c r="E119" s="22">
        <f t="shared" si="23"/>
        <v>2</v>
      </c>
      <c r="F119" s="22">
        <f t="shared" si="24"/>
        <v>2</v>
      </c>
      <c r="G119" s="22">
        <f t="shared" si="25"/>
        <v>1</v>
      </c>
      <c r="H119" s="23">
        <f t="shared" si="26"/>
        <v>1</v>
      </c>
      <c r="I119" s="24">
        <f t="shared" si="27"/>
        <v>1</v>
      </c>
      <c r="J119" s="20">
        <f t="shared" si="28"/>
        <v>1</v>
      </c>
      <c r="K119" s="20">
        <f t="shared" si="29"/>
        <v>1</v>
      </c>
      <c r="L119" s="20">
        <f t="shared" si="30"/>
        <v>1</v>
      </c>
      <c r="M119" s="20">
        <f t="shared" si="31"/>
        <v>1</v>
      </c>
      <c r="N119" s="20">
        <f t="shared" si="32"/>
        <v>0</v>
      </c>
      <c r="O119" s="20">
        <f t="shared" si="33"/>
        <v>0</v>
      </c>
      <c r="P119" s="20">
        <f t="shared" si="34"/>
        <v>0</v>
      </c>
      <c r="T119" s="44"/>
      <c r="U119" s="46">
        <v>1</v>
      </c>
      <c r="V119" s="46">
        <v>0</v>
      </c>
      <c r="W119" s="46">
        <v>1</v>
      </c>
      <c r="X119" s="46">
        <v>1</v>
      </c>
      <c r="Y119" s="46">
        <v>0</v>
      </c>
      <c r="Z119" s="46">
        <v>1</v>
      </c>
      <c r="AA119" s="46">
        <v>1</v>
      </c>
      <c r="AB119" s="46">
        <v>0</v>
      </c>
      <c r="AC119" s="49"/>
    </row>
    <row r="120" spans="1:29" ht="45.75" customHeight="1">
      <c r="A120" s="1"/>
      <c r="B120" s="20">
        <f t="shared" si="20"/>
        <v>7</v>
      </c>
      <c r="C120" s="20">
        <f t="shared" si="21"/>
        <v>8</v>
      </c>
      <c r="D120" s="21">
        <f t="shared" si="22"/>
        <v>9</v>
      </c>
      <c r="E120" s="22">
        <f t="shared" si="23"/>
        <v>1</v>
      </c>
      <c r="F120" s="22">
        <f t="shared" si="24"/>
        <v>3</v>
      </c>
      <c r="G120" s="22">
        <f t="shared" si="25"/>
        <v>3</v>
      </c>
      <c r="H120" s="23">
        <f t="shared" si="26"/>
        <v>1</v>
      </c>
      <c r="I120" s="24">
        <f t="shared" si="27"/>
        <v>1</v>
      </c>
      <c r="J120" s="20">
        <f t="shared" si="28"/>
        <v>1</v>
      </c>
      <c r="K120" s="20">
        <f t="shared" si="29"/>
        <v>1</v>
      </c>
      <c r="L120" s="20">
        <f t="shared" si="30"/>
        <v>1</v>
      </c>
      <c r="M120" s="20">
        <f t="shared" si="31"/>
        <v>1</v>
      </c>
      <c r="N120" s="20">
        <f t="shared" si="32"/>
        <v>1</v>
      </c>
      <c r="O120" s="20">
        <f t="shared" si="33"/>
        <v>0</v>
      </c>
      <c r="P120" s="20">
        <f t="shared" si="34"/>
        <v>0</v>
      </c>
      <c r="Q120" s="26"/>
      <c r="T120" s="44"/>
      <c r="U120" s="46">
        <v>1</v>
      </c>
      <c r="V120" s="46">
        <v>1</v>
      </c>
      <c r="W120" s="46">
        <v>1</v>
      </c>
      <c r="X120" s="46">
        <v>1</v>
      </c>
      <c r="Y120" s="46">
        <v>1</v>
      </c>
      <c r="Z120" s="46">
        <v>0</v>
      </c>
      <c r="AA120" s="46">
        <v>1</v>
      </c>
      <c r="AB120" s="46">
        <v>1</v>
      </c>
      <c r="AC120" s="77" t="s">
        <v>163</v>
      </c>
    </row>
    <row r="121" spans="1:29" ht="45.75" customHeight="1">
      <c r="A121" s="1"/>
      <c r="B121" s="20">
        <f t="shared" si="20"/>
        <v>5</v>
      </c>
      <c r="C121" s="20">
        <f t="shared" si="21"/>
        <v>8</v>
      </c>
      <c r="D121" s="21">
        <f t="shared" si="22"/>
        <v>7</v>
      </c>
      <c r="E121" s="22">
        <f t="shared" si="23"/>
        <v>2</v>
      </c>
      <c r="F121" s="22">
        <f t="shared" si="24"/>
        <v>2</v>
      </c>
      <c r="G121" s="22">
        <f t="shared" si="25"/>
        <v>1</v>
      </c>
      <c r="H121" s="23">
        <f t="shared" si="26"/>
        <v>1</v>
      </c>
      <c r="I121" s="24">
        <f t="shared" si="27"/>
        <v>1</v>
      </c>
      <c r="J121" s="20">
        <f t="shared" si="28"/>
        <v>1</v>
      </c>
      <c r="K121" s="20">
        <f t="shared" si="29"/>
        <v>1</v>
      </c>
      <c r="L121" s="20">
        <f t="shared" si="30"/>
        <v>1</v>
      </c>
      <c r="M121" s="20">
        <f t="shared" si="31"/>
        <v>1</v>
      </c>
      <c r="N121" s="20">
        <f t="shared" si="32"/>
        <v>0</v>
      </c>
      <c r="O121" s="20">
        <f t="shared" si="33"/>
        <v>0</v>
      </c>
      <c r="P121" s="20">
        <f t="shared" si="34"/>
        <v>0</v>
      </c>
      <c r="T121" s="44"/>
      <c r="U121" s="46">
        <v>1</v>
      </c>
      <c r="V121" s="46">
        <v>0</v>
      </c>
      <c r="W121" s="46">
        <v>1</v>
      </c>
      <c r="X121" s="46">
        <v>1</v>
      </c>
      <c r="Y121" s="46">
        <v>0</v>
      </c>
      <c r="Z121" s="46">
        <v>1</v>
      </c>
      <c r="AA121" s="46">
        <v>1</v>
      </c>
      <c r="AB121" s="46">
        <v>0</v>
      </c>
      <c r="AC121" s="49"/>
    </row>
    <row r="122" spans="1:29" ht="45.75" customHeight="1">
      <c r="A122" s="1"/>
      <c r="B122" s="20">
        <f t="shared" si="20"/>
        <v>4</v>
      </c>
      <c r="C122" s="20">
        <f t="shared" si="21"/>
        <v>8</v>
      </c>
      <c r="D122" s="21">
        <f t="shared" si="22"/>
        <v>5</v>
      </c>
      <c r="E122" s="22">
        <f t="shared" si="23"/>
        <v>1</v>
      </c>
      <c r="F122" s="22">
        <f t="shared" si="24"/>
        <v>1</v>
      </c>
      <c r="G122" s="22">
        <f t="shared" si="25"/>
        <v>2</v>
      </c>
      <c r="H122" s="23">
        <f t="shared" si="26"/>
        <v>1</v>
      </c>
      <c r="I122" s="24">
        <f t="shared" si="27"/>
        <v>1</v>
      </c>
      <c r="J122" s="20">
        <f t="shared" si="28"/>
        <v>1</v>
      </c>
      <c r="K122" s="20">
        <f t="shared" si="29"/>
        <v>1</v>
      </c>
      <c r="L122" s="20">
        <f t="shared" si="30"/>
        <v>0</v>
      </c>
      <c r="M122" s="20">
        <f t="shared" si="31"/>
        <v>0</v>
      </c>
      <c r="N122" s="20">
        <f t="shared" si="32"/>
        <v>0</v>
      </c>
      <c r="O122" s="20">
        <f t="shared" si="33"/>
        <v>0</v>
      </c>
      <c r="P122" s="20">
        <f t="shared" si="34"/>
        <v>0</v>
      </c>
      <c r="T122" s="44"/>
      <c r="U122" s="46">
        <v>1</v>
      </c>
      <c r="V122" s="46">
        <v>0</v>
      </c>
      <c r="W122" s="46">
        <v>1</v>
      </c>
      <c r="X122" s="46">
        <v>0</v>
      </c>
      <c r="Y122" s="46">
        <v>1</v>
      </c>
      <c r="Z122" s="46">
        <v>0</v>
      </c>
      <c r="AA122" s="46">
        <v>1</v>
      </c>
      <c r="AB122" s="46">
        <v>0</v>
      </c>
      <c r="AC122" s="49"/>
    </row>
    <row r="123" spans="1:29" ht="45.75" customHeight="1">
      <c r="A123" s="1"/>
      <c r="B123" s="20">
        <f t="shared" si="20"/>
        <v>5</v>
      </c>
      <c r="C123" s="20">
        <f t="shared" si="21"/>
        <v>8</v>
      </c>
      <c r="D123" s="21">
        <f t="shared" si="22"/>
        <v>7</v>
      </c>
      <c r="E123" s="22">
        <f t="shared" si="23"/>
        <v>2</v>
      </c>
      <c r="F123" s="22">
        <f t="shared" si="24"/>
        <v>2</v>
      </c>
      <c r="G123" s="22">
        <f t="shared" si="25"/>
        <v>1</v>
      </c>
      <c r="H123" s="23">
        <f t="shared" si="26"/>
        <v>1</v>
      </c>
      <c r="I123" s="24">
        <f t="shared" si="27"/>
        <v>1</v>
      </c>
      <c r="J123" s="20">
        <f t="shared" si="28"/>
        <v>1</v>
      </c>
      <c r="K123" s="20">
        <f t="shared" si="29"/>
        <v>1</v>
      </c>
      <c r="L123" s="20">
        <f t="shared" si="30"/>
        <v>1</v>
      </c>
      <c r="M123" s="20">
        <f t="shared" si="31"/>
        <v>1</v>
      </c>
      <c r="N123" s="20">
        <f t="shared" si="32"/>
        <v>0</v>
      </c>
      <c r="O123" s="20">
        <f t="shared" si="33"/>
        <v>0</v>
      </c>
      <c r="P123" s="20">
        <f t="shared" si="34"/>
        <v>0</v>
      </c>
      <c r="Q123" s="26"/>
      <c r="T123" s="44"/>
      <c r="U123" s="46">
        <v>1</v>
      </c>
      <c r="V123" s="46">
        <v>0</v>
      </c>
      <c r="W123" s="46">
        <v>1</v>
      </c>
      <c r="X123" s="46">
        <v>1</v>
      </c>
      <c r="Y123" s="46">
        <v>0</v>
      </c>
      <c r="Z123" s="46">
        <v>1</v>
      </c>
      <c r="AA123" s="46">
        <v>1</v>
      </c>
      <c r="AB123" s="46">
        <v>0</v>
      </c>
      <c r="AC123" s="49"/>
    </row>
    <row r="124" spans="1:29" ht="45.75" customHeight="1">
      <c r="A124" s="1"/>
      <c r="B124" s="20">
        <f t="shared" si="20"/>
        <v>3</v>
      </c>
      <c r="C124" s="20">
        <f t="shared" si="21"/>
        <v>8</v>
      </c>
      <c r="D124" s="21">
        <f t="shared" si="22"/>
        <v>5</v>
      </c>
      <c r="E124" s="22">
        <f t="shared" si="23"/>
        <v>1</v>
      </c>
      <c r="F124" s="22">
        <f t="shared" si="24"/>
        <v>1</v>
      </c>
      <c r="G124" s="22">
        <f t="shared" si="25"/>
        <v>1</v>
      </c>
      <c r="H124" s="23">
        <f t="shared" si="26"/>
        <v>1</v>
      </c>
      <c r="I124" s="24">
        <f t="shared" si="27"/>
        <v>1</v>
      </c>
      <c r="J124" s="20">
        <f t="shared" si="28"/>
        <v>1</v>
      </c>
      <c r="K124" s="20">
        <f t="shared" si="29"/>
        <v>1</v>
      </c>
      <c r="L124" s="20">
        <f t="shared" si="30"/>
        <v>0</v>
      </c>
      <c r="M124" s="20">
        <f t="shared" si="31"/>
        <v>0</v>
      </c>
      <c r="N124" s="20">
        <f t="shared" si="32"/>
        <v>0</v>
      </c>
      <c r="O124" s="20">
        <f t="shared" si="33"/>
        <v>0</v>
      </c>
      <c r="P124" s="20">
        <f t="shared" si="34"/>
        <v>0</v>
      </c>
      <c r="T124" s="44"/>
      <c r="U124" s="46">
        <v>1</v>
      </c>
      <c r="V124" s="46">
        <v>0</v>
      </c>
      <c r="W124" s="46">
        <v>1</v>
      </c>
      <c r="X124" s="46">
        <v>0</v>
      </c>
      <c r="Y124" s="46">
        <v>0</v>
      </c>
      <c r="Z124" s="46">
        <v>0</v>
      </c>
      <c r="AA124" s="46">
        <v>1</v>
      </c>
      <c r="AB124" s="46">
        <v>0</v>
      </c>
      <c r="AC124" s="49"/>
    </row>
    <row r="125" spans="1:29" ht="45.75" customHeight="1">
      <c r="A125" s="1"/>
      <c r="B125" s="20">
        <f t="shared" si="20"/>
        <v>5</v>
      </c>
      <c r="C125" s="20">
        <f t="shared" si="21"/>
        <v>8</v>
      </c>
      <c r="D125" s="21">
        <f t="shared" si="22"/>
        <v>7</v>
      </c>
      <c r="E125" s="22">
        <f t="shared" si="23"/>
        <v>1</v>
      </c>
      <c r="F125" s="22">
        <f t="shared" si="24"/>
        <v>3</v>
      </c>
      <c r="G125" s="22">
        <f t="shared" si="25"/>
        <v>1</v>
      </c>
      <c r="H125" s="23">
        <f t="shared" si="26"/>
        <v>1</v>
      </c>
      <c r="I125" s="24">
        <f t="shared" si="27"/>
        <v>1</v>
      </c>
      <c r="J125" s="20">
        <f t="shared" si="28"/>
        <v>1</v>
      </c>
      <c r="K125" s="20">
        <f t="shared" si="29"/>
        <v>1</v>
      </c>
      <c r="L125" s="20">
        <f t="shared" si="30"/>
        <v>1</v>
      </c>
      <c r="M125" s="20">
        <f t="shared" si="31"/>
        <v>0</v>
      </c>
      <c r="N125" s="20">
        <f t="shared" si="32"/>
        <v>0</v>
      </c>
      <c r="O125" s="20">
        <f t="shared" si="33"/>
        <v>0</v>
      </c>
      <c r="P125" s="20">
        <f t="shared" si="34"/>
        <v>0</v>
      </c>
      <c r="T125" s="44"/>
      <c r="U125" s="46">
        <v>1</v>
      </c>
      <c r="V125" s="46">
        <v>1</v>
      </c>
      <c r="W125" s="46">
        <v>1</v>
      </c>
      <c r="X125" s="46">
        <v>1</v>
      </c>
      <c r="Y125" s="46">
        <v>0</v>
      </c>
      <c r="Z125" s="46">
        <v>0</v>
      </c>
      <c r="AA125" s="46">
        <v>1</v>
      </c>
      <c r="AB125" s="46">
        <v>0</v>
      </c>
      <c r="AC125" s="49"/>
    </row>
    <row r="126" spans="1:29" ht="45.75" customHeight="1">
      <c r="A126" s="1"/>
      <c r="B126" s="20">
        <f t="shared" si="20"/>
        <v>4</v>
      </c>
      <c r="C126" s="20">
        <f t="shared" si="21"/>
        <v>8</v>
      </c>
      <c r="D126" s="21">
        <f t="shared" si="22"/>
        <v>6</v>
      </c>
      <c r="E126" s="22">
        <f t="shared" si="23"/>
        <v>2</v>
      </c>
      <c r="F126" s="22">
        <f t="shared" si="24"/>
        <v>1</v>
      </c>
      <c r="G126" s="22">
        <f t="shared" si="25"/>
        <v>1</v>
      </c>
      <c r="H126" s="23">
        <f t="shared" si="26"/>
        <v>1</v>
      </c>
      <c r="I126" s="24">
        <f t="shared" si="27"/>
        <v>1</v>
      </c>
      <c r="J126" s="20">
        <f t="shared" si="28"/>
        <v>1</v>
      </c>
      <c r="K126" s="20">
        <f t="shared" si="29"/>
        <v>1</v>
      </c>
      <c r="L126" s="20">
        <f t="shared" si="30"/>
        <v>1</v>
      </c>
      <c r="M126" s="20">
        <f t="shared" si="31"/>
        <v>1</v>
      </c>
      <c r="N126" s="20">
        <f t="shared" si="32"/>
        <v>0</v>
      </c>
      <c r="O126" s="20">
        <f t="shared" si="33"/>
        <v>0</v>
      </c>
      <c r="P126" s="20">
        <f t="shared" si="34"/>
        <v>0</v>
      </c>
      <c r="T126" s="44"/>
      <c r="U126" s="46">
        <v>1</v>
      </c>
      <c r="V126" s="46">
        <v>1</v>
      </c>
      <c r="W126" s="46">
        <v>0</v>
      </c>
      <c r="X126" s="46">
        <v>0</v>
      </c>
      <c r="Y126" s="46">
        <v>1</v>
      </c>
      <c r="Z126" s="46">
        <v>1</v>
      </c>
      <c r="AA126" s="46">
        <v>0</v>
      </c>
      <c r="AB126" s="46">
        <v>0</v>
      </c>
      <c r="AC126" s="49"/>
    </row>
    <row r="127" spans="1:29" ht="45.75" customHeight="1">
      <c r="A127" s="1"/>
      <c r="B127" s="20">
        <f t="shared" si="20"/>
        <v>4</v>
      </c>
      <c r="C127" s="20">
        <f t="shared" si="21"/>
        <v>8</v>
      </c>
      <c r="D127" s="21">
        <f t="shared" si="22"/>
        <v>6</v>
      </c>
      <c r="E127" s="22">
        <f t="shared" si="23"/>
        <v>2</v>
      </c>
      <c r="F127" s="22">
        <f t="shared" si="24"/>
        <v>1</v>
      </c>
      <c r="G127" s="22">
        <f t="shared" si="25"/>
        <v>1</v>
      </c>
      <c r="H127" s="23">
        <f t="shared" si="26"/>
        <v>1</v>
      </c>
      <c r="I127" s="24">
        <f t="shared" si="27"/>
        <v>1</v>
      </c>
      <c r="J127" s="20">
        <f t="shared" si="28"/>
        <v>1</v>
      </c>
      <c r="K127" s="20">
        <f t="shared" si="29"/>
        <v>1</v>
      </c>
      <c r="L127" s="20">
        <f t="shared" si="30"/>
        <v>1</v>
      </c>
      <c r="M127" s="20">
        <f t="shared" si="31"/>
        <v>1</v>
      </c>
      <c r="N127" s="20">
        <f t="shared" si="32"/>
        <v>0</v>
      </c>
      <c r="O127" s="20">
        <f t="shared" si="33"/>
        <v>0</v>
      </c>
      <c r="P127" s="20">
        <f t="shared" si="34"/>
        <v>0</v>
      </c>
      <c r="T127" s="44"/>
      <c r="U127" s="46">
        <v>1</v>
      </c>
      <c r="V127" s="46">
        <v>0</v>
      </c>
      <c r="W127" s="46">
        <v>0</v>
      </c>
      <c r="X127" s="46">
        <v>1</v>
      </c>
      <c r="Y127" s="46">
        <v>0</v>
      </c>
      <c r="Z127" s="46">
        <v>1</v>
      </c>
      <c r="AA127" s="46">
        <v>1</v>
      </c>
      <c r="AB127" s="46">
        <v>0</v>
      </c>
      <c r="AC127" s="49"/>
    </row>
    <row r="128" spans="1:29" ht="45.75" customHeight="1">
      <c r="A128" s="1"/>
      <c r="B128" s="20">
        <f t="shared" si="20"/>
        <v>6</v>
      </c>
      <c r="C128" s="20">
        <f t="shared" si="21"/>
        <v>8</v>
      </c>
      <c r="D128" s="21">
        <f t="shared" si="22"/>
        <v>8</v>
      </c>
      <c r="E128" s="22">
        <f t="shared" si="23"/>
        <v>2</v>
      </c>
      <c r="F128" s="22">
        <f t="shared" si="24"/>
        <v>2</v>
      </c>
      <c r="G128" s="22">
        <f t="shared" si="25"/>
        <v>2</v>
      </c>
      <c r="H128" s="23">
        <f t="shared" si="26"/>
        <v>1</v>
      </c>
      <c r="I128" s="24">
        <f t="shared" si="27"/>
        <v>1</v>
      </c>
      <c r="J128" s="20">
        <f t="shared" si="28"/>
        <v>1</v>
      </c>
      <c r="K128" s="20">
        <f t="shared" si="29"/>
        <v>1</v>
      </c>
      <c r="L128" s="20">
        <f t="shared" si="30"/>
        <v>1</v>
      </c>
      <c r="M128" s="20">
        <f t="shared" si="31"/>
        <v>1</v>
      </c>
      <c r="N128" s="20">
        <f t="shared" si="32"/>
        <v>1</v>
      </c>
      <c r="O128" s="20">
        <f t="shared" si="33"/>
        <v>0</v>
      </c>
      <c r="P128" s="20">
        <f t="shared" si="34"/>
        <v>0</v>
      </c>
      <c r="T128" s="44"/>
      <c r="U128" s="46">
        <v>1</v>
      </c>
      <c r="V128" s="46">
        <v>1</v>
      </c>
      <c r="W128" s="46">
        <v>1</v>
      </c>
      <c r="X128" s="46">
        <v>0</v>
      </c>
      <c r="Y128" s="46">
        <v>1</v>
      </c>
      <c r="Z128" s="46">
        <v>1</v>
      </c>
      <c r="AA128" s="46">
        <v>1</v>
      </c>
      <c r="AB128" s="46">
        <v>0</v>
      </c>
      <c r="AC128" s="49"/>
    </row>
    <row r="129" spans="1:29" ht="45.75" customHeight="1">
      <c r="A129" s="1"/>
      <c r="B129" s="20">
        <f t="shared" si="20"/>
        <v>5</v>
      </c>
      <c r="C129" s="20">
        <f t="shared" si="21"/>
        <v>8</v>
      </c>
      <c r="D129" s="21">
        <f t="shared" si="22"/>
        <v>7</v>
      </c>
      <c r="E129" s="22">
        <f t="shared" si="23"/>
        <v>1</v>
      </c>
      <c r="F129" s="22">
        <f t="shared" si="24"/>
        <v>2</v>
      </c>
      <c r="G129" s="22">
        <f t="shared" si="25"/>
        <v>2</v>
      </c>
      <c r="H129" s="23">
        <f t="shared" si="26"/>
        <v>1</v>
      </c>
      <c r="I129" s="24">
        <f t="shared" si="27"/>
        <v>1</v>
      </c>
      <c r="J129" s="20">
        <f t="shared" si="28"/>
        <v>1</v>
      </c>
      <c r="K129" s="20">
        <f t="shared" si="29"/>
        <v>1</v>
      </c>
      <c r="L129" s="20">
        <f t="shared" si="30"/>
        <v>1</v>
      </c>
      <c r="M129" s="20">
        <f t="shared" si="31"/>
        <v>0</v>
      </c>
      <c r="N129" s="20">
        <f t="shared" si="32"/>
        <v>0</v>
      </c>
      <c r="O129" s="20">
        <f t="shared" si="33"/>
        <v>0</v>
      </c>
      <c r="P129" s="20">
        <f t="shared" si="34"/>
        <v>0</v>
      </c>
      <c r="T129" s="44"/>
      <c r="U129" s="46">
        <v>1</v>
      </c>
      <c r="V129" s="46">
        <v>1</v>
      </c>
      <c r="W129" s="46">
        <v>0</v>
      </c>
      <c r="X129" s="46">
        <v>1</v>
      </c>
      <c r="Y129" s="46">
        <v>1</v>
      </c>
      <c r="Z129" s="46">
        <v>0</v>
      </c>
      <c r="AA129" s="46">
        <v>1</v>
      </c>
      <c r="AB129" s="46">
        <v>0</v>
      </c>
      <c r="AC129" s="49"/>
    </row>
    <row r="130" spans="1:29" ht="45.75" customHeight="1">
      <c r="A130" s="1"/>
      <c r="B130" s="20">
        <f t="shared" si="20"/>
        <v>5</v>
      </c>
      <c r="C130" s="20">
        <f t="shared" si="21"/>
        <v>8</v>
      </c>
      <c r="D130" s="21">
        <f t="shared" si="22"/>
        <v>7</v>
      </c>
      <c r="E130" s="22">
        <f t="shared" si="23"/>
        <v>2</v>
      </c>
      <c r="F130" s="22">
        <f t="shared" si="24"/>
        <v>2</v>
      </c>
      <c r="G130" s="22">
        <f t="shared" si="25"/>
        <v>1</v>
      </c>
      <c r="H130" s="23">
        <f t="shared" si="26"/>
        <v>1</v>
      </c>
      <c r="I130" s="24">
        <f t="shared" si="27"/>
        <v>1</v>
      </c>
      <c r="J130" s="20">
        <f t="shared" si="28"/>
        <v>1</v>
      </c>
      <c r="K130" s="20">
        <f t="shared" si="29"/>
        <v>1</v>
      </c>
      <c r="L130" s="20">
        <f t="shared" si="30"/>
        <v>1</v>
      </c>
      <c r="M130" s="20">
        <f t="shared" si="31"/>
        <v>1</v>
      </c>
      <c r="N130" s="20">
        <f t="shared" si="32"/>
        <v>0</v>
      </c>
      <c r="O130" s="20">
        <f t="shared" si="33"/>
        <v>0</v>
      </c>
      <c r="P130" s="20">
        <f t="shared" si="34"/>
        <v>0</v>
      </c>
      <c r="Q130" s="26"/>
      <c r="T130" s="44"/>
      <c r="U130" s="46">
        <v>1</v>
      </c>
      <c r="V130" s="46">
        <v>0</v>
      </c>
      <c r="W130" s="76">
        <v>1</v>
      </c>
      <c r="X130" s="76">
        <v>1</v>
      </c>
      <c r="Y130" s="46">
        <v>1</v>
      </c>
      <c r="Z130" s="76">
        <v>1</v>
      </c>
      <c r="AA130" s="46">
        <v>0</v>
      </c>
      <c r="AB130" s="46">
        <v>0</v>
      </c>
      <c r="AC130" s="49"/>
    </row>
    <row r="131" spans="1:29" ht="45.75" customHeight="1">
      <c r="A131" s="1"/>
      <c r="B131" s="20">
        <f t="shared" si="20"/>
        <v>3</v>
      </c>
      <c r="C131" s="20">
        <f t="shared" si="21"/>
        <v>8</v>
      </c>
      <c r="D131" s="21">
        <f t="shared" si="22"/>
        <v>5</v>
      </c>
      <c r="E131" s="22">
        <f t="shared" si="23"/>
        <v>1</v>
      </c>
      <c r="F131" s="22">
        <f t="shared" si="24"/>
        <v>2</v>
      </c>
      <c r="G131" s="22">
        <f t="shared" si="25"/>
        <v>0</v>
      </c>
      <c r="H131" s="23">
        <f t="shared" si="26"/>
        <v>1</v>
      </c>
      <c r="I131" s="24">
        <f t="shared" si="27"/>
        <v>1</v>
      </c>
      <c r="J131" s="20">
        <f t="shared" si="28"/>
        <v>1</v>
      </c>
      <c r="K131" s="20">
        <f t="shared" si="29"/>
        <v>1</v>
      </c>
      <c r="L131" s="20">
        <f t="shared" si="30"/>
        <v>0</v>
      </c>
      <c r="M131" s="20">
        <f t="shared" si="31"/>
        <v>0</v>
      </c>
      <c r="N131" s="20">
        <f t="shared" si="32"/>
        <v>0</v>
      </c>
      <c r="O131" s="20">
        <f t="shared" si="33"/>
        <v>0</v>
      </c>
      <c r="P131" s="20">
        <f t="shared" si="34"/>
        <v>0</v>
      </c>
      <c r="T131" s="44"/>
      <c r="U131" s="46">
        <v>1</v>
      </c>
      <c r="V131" s="46">
        <v>1</v>
      </c>
      <c r="W131" s="46">
        <v>0</v>
      </c>
      <c r="X131" s="46">
        <v>1</v>
      </c>
      <c r="Y131" s="46">
        <v>0</v>
      </c>
      <c r="Z131" s="46">
        <v>0</v>
      </c>
      <c r="AA131" s="46">
        <v>0</v>
      </c>
      <c r="AB131" s="46">
        <v>0</v>
      </c>
      <c r="AC131" s="49"/>
    </row>
    <row r="132" spans="1:29" ht="45.75" customHeight="1">
      <c r="A132" s="1"/>
      <c r="B132" s="20">
        <f t="shared" si="20"/>
        <v>5</v>
      </c>
      <c r="C132" s="20">
        <f t="shared" si="21"/>
        <v>8</v>
      </c>
      <c r="D132" s="21">
        <f t="shared" si="22"/>
        <v>7</v>
      </c>
      <c r="E132" s="22">
        <f t="shared" si="23"/>
        <v>2</v>
      </c>
      <c r="F132" s="22">
        <f t="shared" si="24"/>
        <v>2</v>
      </c>
      <c r="G132" s="22">
        <f t="shared" si="25"/>
        <v>1</v>
      </c>
      <c r="H132" s="23">
        <f t="shared" si="26"/>
        <v>1</v>
      </c>
      <c r="I132" s="24">
        <f t="shared" si="27"/>
        <v>1</v>
      </c>
      <c r="J132" s="20">
        <f t="shared" si="28"/>
        <v>1</v>
      </c>
      <c r="K132" s="20">
        <f t="shared" si="29"/>
        <v>1</v>
      </c>
      <c r="L132" s="20">
        <f t="shared" si="30"/>
        <v>1</v>
      </c>
      <c r="M132" s="20">
        <f t="shared" si="31"/>
        <v>1</v>
      </c>
      <c r="N132" s="20">
        <f t="shared" si="32"/>
        <v>0</v>
      </c>
      <c r="O132" s="20">
        <f t="shared" si="33"/>
        <v>0</v>
      </c>
      <c r="P132" s="20">
        <f t="shared" si="34"/>
        <v>0</v>
      </c>
      <c r="Q132" s="79"/>
      <c r="T132" s="44"/>
      <c r="U132" s="46">
        <v>1</v>
      </c>
      <c r="V132" s="46">
        <v>0</v>
      </c>
      <c r="W132" s="46">
        <v>1</v>
      </c>
      <c r="X132" s="46">
        <v>1</v>
      </c>
      <c r="Y132" s="46">
        <v>0</v>
      </c>
      <c r="Z132" s="46">
        <v>1</v>
      </c>
      <c r="AA132" s="46">
        <v>0</v>
      </c>
      <c r="AB132" s="76">
        <v>1</v>
      </c>
      <c r="AC132" s="77" t="s">
        <v>164</v>
      </c>
    </row>
    <row r="133" spans="1:29" ht="45.75" customHeight="1">
      <c r="A133" s="1"/>
      <c r="B133" s="20">
        <f t="shared" si="20"/>
        <v>4</v>
      </c>
      <c r="C133" s="20">
        <f t="shared" si="21"/>
        <v>8</v>
      </c>
      <c r="D133" s="21">
        <f t="shared" si="22"/>
        <v>5</v>
      </c>
      <c r="E133" s="22">
        <f t="shared" si="23"/>
        <v>1</v>
      </c>
      <c r="F133" s="22">
        <f t="shared" si="24"/>
        <v>2</v>
      </c>
      <c r="G133" s="22">
        <f t="shared" si="25"/>
        <v>1</v>
      </c>
      <c r="H133" s="23">
        <f t="shared" si="26"/>
        <v>1</v>
      </c>
      <c r="I133" s="24">
        <f t="shared" si="27"/>
        <v>1</v>
      </c>
      <c r="J133" s="20">
        <f t="shared" si="28"/>
        <v>1</v>
      </c>
      <c r="K133" s="20">
        <f t="shared" si="29"/>
        <v>1</v>
      </c>
      <c r="L133" s="20">
        <f t="shared" si="30"/>
        <v>0</v>
      </c>
      <c r="M133" s="20">
        <f t="shared" si="31"/>
        <v>0</v>
      </c>
      <c r="N133" s="20">
        <f t="shared" si="32"/>
        <v>0</v>
      </c>
      <c r="O133" s="20">
        <f t="shared" si="33"/>
        <v>0</v>
      </c>
      <c r="P133" s="20">
        <f t="shared" si="34"/>
        <v>0</v>
      </c>
      <c r="T133" s="44"/>
      <c r="U133" s="46">
        <v>1</v>
      </c>
      <c r="V133" s="46">
        <v>1</v>
      </c>
      <c r="W133" s="46">
        <v>0</v>
      </c>
      <c r="X133" s="46">
        <v>1</v>
      </c>
      <c r="Y133" s="46">
        <v>0</v>
      </c>
      <c r="Z133" s="46">
        <v>0</v>
      </c>
      <c r="AA133" s="46">
        <v>1</v>
      </c>
      <c r="AB133" s="46">
        <v>0</v>
      </c>
      <c r="AC133" s="49"/>
    </row>
    <row r="134" spans="1:29" ht="45.75" customHeight="1">
      <c r="A134" s="1"/>
      <c r="B134" s="20">
        <f t="shared" si="20"/>
        <v>3</v>
      </c>
      <c r="C134" s="20">
        <f t="shared" si="21"/>
        <v>8</v>
      </c>
      <c r="D134" s="21">
        <f t="shared" si="22"/>
        <v>6</v>
      </c>
      <c r="E134" s="22">
        <f t="shared" si="23"/>
        <v>2</v>
      </c>
      <c r="F134" s="22">
        <f t="shared" si="24"/>
        <v>0</v>
      </c>
      <c r="G134" s="22">
        <f t="shared" si="25"/>
        <v>1</v>
      </c>
      <c r="H134" s="23">
        <f t="shared" si="26"/>
        <v>1</v>
      </c>
      <c r="I134" s="24">
        <f t="shared" si="27"/>
        <v>1</v>
      </c>
      <c r="J134" s="20">
        <f t="shared" si="28"/>
        <v>1</v>
      </c>
      <c r="K134" s="20">
        <f t="shared" si="29"/>
        <v>1</v>
      </c>
      <c r="L134" s="20">
        <f t="shared" si="30"/>
        <v>1</v>
      </c>
      <c r="M134" s="20">
        <f t="shared" si="31"/>
        <v>0</v>
      </c>
      <c r="N134" s="20">
        <f t="shared" si="32"/>
        <v>0</v>
      </c>
      <c r="O134" s="20">
        <f t="shared" si="33"/>
        <v>0</v>
      </c>
      <c r="P134" s="20">
        <f t="shared" si="34"/>
        <v>0</v>
      </c>
      <c r="T134" s="44"/>
      <c r="U134" s="46">
        <v>1</v>
      </c>
      <c r="V134" s="46">
        <v>0</v>
      </c>
      <c r="W134" s="46">
        <v>0</v>
      </c>
      <c r="X134" s="46">
        <v>0</v>
      </c>
      <c r="Y134" s="46">
        <v>1</v>
      </c>
      <c r="Z134" s="46">
        <v>1</v>
      </c>
      <c r="AA134" s="46">
        <v>0</v>
      </c>
      <c r="AB134" s="46">
        <v>0</v>
      </c>
      <c r="AC134" s="49"/>
    </row>
    <row r="135" spans="1:29" ht="45.75" customHeight="1">
      <c r="A135" s="1"/>
      <c r="B135" s="20">
        <f t="shared" si="20"/>
        <v>2</v>
      </c>
      <c r="C135" s="20">
        <f t="shared" si="21"/>
        <v>8</v>
      </c>
      <c r="D135" s="21">
        <f t="shared" si="22"/>
        <v>5</v>
      </c>
      <c r="E135" s="22">
        <f t="shared" si="23"/>
        <v>1</v>
      </c>
      <c r="F135" s="22">
        <f t="shared" si="24"/>
        <v>0</v>
      </c>
      <c r="G135" s="22">
        <f t="shared" si="25"/>
        <v>1</v>
      </c>
      <c r="H135" s="23">
        <f t="shared" si="26"/>
        <v>1</v>
      </c>
      <c r="I135" s="24">
        <f t="shared" si="27"/>
        <v>1</v>
      </c>
      <c r="J135" s="20">
        <f t="shared" si="28"/>
        <v>1</v>
      </c>
      <c r="K135" s="20">
        <f t="shared" si="29"/>
        <v>1</v>
      </c>
      <c r="L135" s="20">
        <f t="shared" si="30"/>
        <v>0</v>
      </c>
      <c r="M135" s="20">
        <f t="shared" si="31"/>
        <v>0</v>
      </c>
      <c r="N135" s="20">
        <f t="shared" si="32"/>
        <v>0</v>
      </c>
      <c r="O135" s="20">
        <f t="shared" si="33"/>
        <v>0</v>
      </c>
      <c r="P135" s="20">
        <f t="shared" si="34"/>
        <v>0</v>
      </c>
      <c r="T135" s="44"/>
      <c r="U135" s="46">
        <v>1</v>
      </c>
      <c r="V135" s="46">
        <v>0</v>
      </c>
      <c r="W135" s="46">
        <v>0</v>
      </c>
      <c r="X135" s="46">
        <v>0</v>
      </c>
      <c r="Y135" s="46">
        <v>1</v>
      </c>
      <c r="Z135" s="46">
        <v>0</v>
      </c>
      <c r="AA135" s="46">
        <v>0</v>
      </c>
      <c r="AB135" s="46">
        <v>0</v>
      </c>
      <c r="AC135" s="49"/>
    </row>
    <row r="136" spans="1:29" ht="45.75" customHeight="1">
      <c r="A136" s="1"/>
      <c r="B136" s="20">
        <f t="shared" ref="B136:B199" si="35">(SUM(U136:AB136))</f>
        <v>4</v>
      </c>
      <c r="C136" s="20">
        <f t="shared" ref="C136:C199" si="36">(COUNT(U136:AB136))</f>
        <v>8</v>
      </c>
      <c r="D136" s="21">
        <f t="shared" ref="D136:D199" si="37">ROUNDUP( MAX( IF(P136,100, IF(O136,80, IF(N136,70, IF(M136,60, IF(L136,55, IF(K136,50, IF(J136,45, IF(I136,35, IF(H136,25, 0))))))))), 100 * B136/C136 ) * 10 / 100,0)</f>
        <v>6</v>
      </c>
      <c r="E136" s="22">
        <f t="shared" ref="E136:E199" si="38">SUM(U136, Z136)</f>
        <v>2</v>
      </c>
      <c r="F136" s="22">
        <f t="shared" ref="F136:F199" si="39">SUM(V136, W136, X136)</f>
        <v>2</v>
      </c>
      <c r="G136" s="22">
        <f t="shared" ref="G136:G199" si="40">SUM(Y136, AA136, AB136)</f>
        <v>0</v>
      </c>
      <c r="H136" s="23">
        <f t="shared" ref="H136:H199" si="41">IF(B136&gt;0,1,0)</f>
        <v>1</v>
      </c>
      <c r="I136" s="24">
        <f t="shared" ref="I136:I199" si="42">IF( B136/C136 &gt; 0.2, 1, IF(E136&gt;0, 1, 0) )</f>
        <v>1</v>
      </c>
      <c r="J136" s="20">
        <f t="shared" ref="J136:J199" si="43">IF( B136/C136 &gt; 0.4, 1, IF( E136=2, 1, IF(AND(E136&gt;0, OR(F136&gt;0, G136&gt;0)), 1, 0 ) ))</f>
        <v>1</v>
      </c>
      <c r="K136" s="20">
        <f t="shared" ref="K136:K199" si="44">IF(B136/C136 &gt; 0.5, 1, IF( E136=2, 1, IF(AND(E136&gt;0, OR(F136&gt;1, G136&gt;0)), 1, 0 ) ))</f>
        <v>1</v>
      </c>
      <c r="L136" s="20">
        <f t="shared" ref="L136:L199" si="45">IF(B136/C136 &gt; 0.6, 1, IF( AND(E136=2, OR(F136&gt;0, G136&gt;0)), 1, 0 ) )</f>
        <v>1</v>
      </c>
      <c r="M136" s="20">
        <f t="shared" ref="M136:M199" si="46">IF(B136/C136 &gt; 0.7, 1, IF( AND(E136=2, SUM(F136, G136)&gt;1), 1, 0 ) )</f>
        <v>1</v>
      </c>
      <c r="N136" s="20">
        <f t="shared" ref="N136:N199" si="47">IF(B136/C136 &gt; 0.8, 1, IF( AND(E136=2, SUM(F136, G136)&gt;3), 1, 0 ) )</f>
        <v>0</v>
      </c>
      <c r="O136" s="20">
        <f t="shared" ref="O136:O199" si="48">IF(B136/C136 &gt; 0.9, 1, 0)</f>
        <v>0</v>
      </c>
      <c r="P136" s="20">
        <f t="shared" ref="P136:P199" si="49">ROUNDDOWN(B136/C136,0)</f>
        <v>0</v>
      </c>
      <c r="T136" s="44"/>
      <c r="U136" s="46">
        <v>1</v>
      </c>
      <c r="V136" s="46">
        <v>1</v>
      </c>
      <c r="W136" s="46">
        <v>0</v>
      </c>
      <c r="X136" s="46">
        <v>1</v>
      </c>
      <c r="Y136" s="46">
        <v>0</v>
      </c>
      <c r="Z136" s="46">
        <v>1</v>
      </c>
      <c r="AA136" s="46">
        <v>0</v>
      </c>
      <c r="AB136" s="46">
        <v>0</v>
      </c>
      <c r="AC136" s="49"/>
    </row>
    <row r="137" spans="1:29" ht="45.75" customHeight="1">
      <c r="A137" s="4"/>
      <c r="B137" s="20">
        <f t="shared" si="35"/>
        <v>4</v>
      </c>
      <c r="C137" s="20">
        <f t="shared" si="36"/>
        <v>8</v>
      </c>
      <c r="D137" s="21">
        <f t="shared" si="37"/>
        <v>6</v>
      </c>
      <c r="E137" s="22">
        <f t="shared" si="38"/>
        <v>2</v>
      </c>
      <c r="F137" s="22">
        <f t="shared" si="39"/>
        <v>1</v>
      </c>
      <c r="G137" s="22">
        <f t="shared" si="40"/>
        <v>1</v>
      </c>
      <c r="H137" s="23">
        <f t="shared" si="41"/>
        <v>1</v>
      </c>
      <c r="I137" s="24">
        <f t="shared" si="42"/>
        <v>1</v>
      </c>
      <c r="J137" s="20">
        <f t="shared" si="43"/>
        <v>1</v>
      </c>
      <c r="K137" s="20">
        <f t="shared" si="44"/>
        <v>1</v>
      </c>
      <c r="L137" s="20">
        <f t="shared" si="45"/>
        <v>1</v>
      </c>
      <c r="M137" s="20">
        <f t="shared" si="46"/>
        <v>1</v>
      </c>
      <c r="N137" s="20">
        <f t="shared" si="47"/>
        <v>0</v>
      </c>
      <c r="O137" s="20">
        <f t="shared" si="48"/>
        <v>0</v>
      </c>
      <c r="P137" s="20">
        <f t="shared" si="49"/>
        <v>0</v>
      </c>
      <c r="T137" s="44"/>
      <c r="U137">
        <v>1</v>
      </c>
      <c r="V137">
        <v>1</v>
      </c>
      <c r="W137">
        <v>0</v>
      </c>
      <c r="X137">
        <v>0</v>
      </c>
      <c r="Y137">
        <v>1</v>
      </c>
      <c r="Z137">
        <v>1</v>
      </c>
      <c r="AA137">
        <v>0</v>
      </c>
      <c r="AB137">
        <v>0</v>
      </c>
    </row>
    <row r="138" spans="1:29" ht="45.75" customHeight="1">
      <c r="A138" s="4"/>
      <c r="B138" s="20">
        <f t="shared" si="35"/>
        <v>4</v>
      </c>
      <c r="C138" s="20">
        <f t="shared" si="36"/>
        <v>8</v>
      </c>
      <c r="D138" s="21">
        <f t="shared" si="37"/>
        <v>6</v>
      </c>
      <c r="E138" s="22">
        <f t="shared" si="38"/>
        <v>2</v>
      </c>
      <c r="F138" s="22">
        <f t="shared" si="39"/>
        <v>2</v>
      </c>
      <c r="G138" s="22">
        <f t="shared" si="40"/>
        <v>0</v>
      </c>
      <c r="H138" s="23">
        <f t="shared" si="41"/>
        <v>1</v>
      </c>
      <c r="I138" s="24">
        <f t="shared" si="42"/>
        <v>1</v>
      </c>
      <c r="J138" s="20">
        <f t="shared" si="43"/>
        <v>1</v>
      </c>
      <c r="K138" s="20">
        <f t="shared" si="44"/>
        <v>1</v>
      </c>
      <c r="L138" s="20">
        <f t="shared" si="45"/>
        <v>1</v>
      </c>
      <c r="M138" s="20">
        <f t="shared" si="46"/>
        <v>1</v>
      </c>
      <c r="N138" s="20">
        <f t="shared" si="47"/>
        <v>0</v>
      </c>
      <c r="O138" s="20">
        <f t="shared" si="48"/>
        <v>0</v>
      </c>
      <c r="P138" s="20">
        <f t="shared" si="49"/>
        <v>0</v>
      </c>
      <c r="T138" s="44"/>
      <c r="U138">
        <v>1</v>
      </c>
      <c r="V138">
        <v>1</v>
      </c>
      <c r="W138">
        <v>1</v>
      </c>
      <c r="X138">
        <v>0</v>
      </c>
      <c r="Y138">
        <v>0</v>
      </c>
      <c r="Z138">
        <v>1</v>
      </c>
      <c r="AA138">
        <v>0</v>
      </c>
      <c r="AB138">
        <v>0</v>
      </c>
    </row>
    <row r="139" spans="1:29" ht="45.75" customHeight="1">
      <c r="A139" s="4"/>
      <c r="B139" s="20">
        <f t="shared" si="35"/>
        <v>4</v>
      </c>
      <c r="C139" s="20">
        <f t="shared" si="36"/>
        <v>8</v>
      </c>
      <c r="D139" s="21">
        <f t="shared" si="37"/>
        <v>6</v>
      </c>
      <c r="E139" s="22">
        <f t="shared" si="38"/>
        <v>2</v>
      </c>
      <c r="F139" s="22">
        <f t="shared" si="39"/>
        <v>2</v>
      </c>
      <c r="G139" s="22">
        <f t="shared" si="40"/>
        <v>0</v>
      </c>
      <c r="H139" s="23">
        <f t="shared" si="41"/>
        <v>1</v>
      </c>
      <c r="I139" s="24">
        <f t="shared" si="42"/>
        <v>1</v>
      </c>
      <c r="J139" s="20">
        <f t="shared" si="43"/>
        <v>1</v>
      </c>
      <c r="K139" s="20">
        <f t="shared" si="44"/>
        <v>1</v>
      </c>
      <c r="L139" s="20">
        <f t="shared" si="45"/>
        <v>1</v>
      </c>
      <c r="M139" s="20">
        <f t="shared" si="46"/>
        <v>1</v>
      </c>
      <c r="N139" s="20">
        <f t="shared" si="47"/>
        <v>0</v>
      </c>
      <c r="O139" s="20">
        <f t="shared" si="48"/>
        <v>0</v>
      </c>
      <c r="P139" s="20">
        <f t="shared" si="49"/>
        <v>0</v>
      </c>
      <c r="T139" s="44"/>
      <c r="U139">
        <v>1</v>
      </c>
      <c r="V139">
        <v>1</v>
      </c>
      <c r="W139">
        <v>1</v>
      </c>
      <c r="X139">
        <v>0</v>
      </c>
      <c r="Y139">
        <v>0</v>
      </c>
      <c r="Z139">
        <v>1</v>
      </c>
      <c r="AA139">
        <v>0</v>
      </c>
      <c r="AB139">
        <v>0</v>
      </c>
    </row>
    <row r="140" spans="1:29" ht="45.75" customHeight="1">
      <c r="A140" s="4"/>
      <c r="B140" s="20">
        <f t="shared" si="35"/>
        <v>6</v>
      </c>
      <c r="C140" s="20">
        <f t="shared" si="36"/>
        <v>8</v>
      </c>
      <c r="D140" s="21">
        <f t="shared" si="37"/>
        <v>8</v>
      </c>
      <c r="E140" s="22">
        <f t="shared" si="38"/>
        <v>2</v>
      </c>
      <c r="F140" s="22">
        <f t="shared" si="39"/>
        <v>3</v>
      </c>
      <c r="G140" s="22">
        <f t="shared" si="40"/>
        <v>1</v>
      </c>
      <c r="H140" s="23">
        <f t="shared" si="41"/>
        <v>1</v>
      </c>
      <c r="I140" s="24">
        <f t="shared" si="42"/>
        <v>1</v>
      </c>
      <c r="J140" s="20">
        <f t="shared" si="43"/>
        <v>1</v>
      </c>
      <c r="K140" s="20">
        <f t="shared" si="44"/>
        <v>1</v>
      </c>
      <c r="L140" s="20">
        <f t="shared" si="45"/>
        <v>1</v>
      </c>
      <c r="M140" s="20">
        <f t="shared" si="46"/>
        <v>1</v>
      </c>
      <c r="N140" s="20">
        <f t="shared" si="47"/>
        <v>1</v>
      </c>
      <c r="O140" s="20">
        <f t="shared" si="48"/>
        <v>0</v>
      </c>
      <c r="P140" s="20">
        <f t="shared" si="49"/>
        <v>0</v>
      </c>
      <c r="T140" s="44"/>
      <c r="U140">
        <v>1</v>
      </c>
      <c r="V140">
        <v>1</v>
      </c>
      <c r="W140">
        <v>1</v>
      </c>
      <c r="X140">
        <v>1</v>
      </c>
      <c r="Y140">
        <v>0</v>
      </c>
      <c r="Z140">
        <v>1</v>
      </c>
      <c r="AA140">
        <v>0</v>
      </c>
      <c r="AB140">
        <v>1</v>
      </c>
      <c r="AC140" s="26" t="s">
        <v>165</v>
      </c>
    </row>
    <row r="141" spans="1:29" ht="45.75" customHeight="1">
      <c r="A141" s="4"/>
      <c r="B141" s="20">
        <f t="shared" si="35"/>
        <v>2</v>
      </c>
      <c r="C141" s="20">
        <f t="shared" si="36"/>
        <v>8</v>
      </c>
      <c r="D141" s="21">
        <f t="shared" si="37"/>
        <v>5</v>
      </c>
      <c r="E141" s="22">
        <f t="shared" si="38"/>
        <v>2</v>
      </c>
      <c r="F141" s="22">
        <f t="shared" si="39"/>
        <v>0</v>
      </c>
      <c r="G141" s="22">
        <f t="shared" si="40"/>
        <v>0</v>
      </c>
      <c r="H141" s="23">
        <f t="shared" si="41"/>
        <v>1</v>
      </c>
      <c r="I141" s="24">
        <f t="shared" si="42"/>
        <v>1</v>
      </c>
      <c r="J141" s="20">
        <f t="shared" si="43"/>
        <v>1</v>
      </c>
      <c r="K141" s="20">
        <f t="shared" si="44"/>
        <v>1</v>
      </c>
      <c r="L141" s="20">
        <f t="shared" si="45"/>
        <v>0</v>
      </c>
      <c r="M141" s="20">
        <f t="shared" si="46"/>
        <v>0</v>
      </c>
      <c r="N141" s="20">
        <f t="shared" si="47"/>
        <v>0</v>
      </c>
      <c r="O141" s="20">
        <f t="shared" si="48"/>
        <v>0</v>
      </c>
      <c r="P141" s="20">
        <f t="shared" si="49"/>
        <v>0</v>
      </c>
      <c r="T141" s="44"/>
      <c r="U141">
        <v>1</v>
      </c>
      <c r="V141">
        <v>0</v>
      </c>
      <c r="W141">
        <v>0</v>
      </c>
      <c r="X141">
        <v>0</v>
      </c>
      <c r="Y141">
        <v>0</v>
      </c>
      <c r="Z141">
        <v>1</v>
      </c>
      <c r="AA141">
        <v>0</v>
      </c>
      <c r="AB141">
        <v>0</v>
      </c>
    </row>
    <row r="142" spans="1:29" ht="45.75" customHeight="1">
      <c r="A142" s="4"/>
      <c r="B142" s="20">
        <f t="shared" si="35"/>
        <v>5</v>
      </c>
      <c r="C142" s="20">
        <f t="shared" si="36"/>
        <v>8</v>
      </c>
      <c r="D142" s="21">
        <f t="shared" si="37"/>
        <v>7</v>
      </c>
      <c r="E142" s="22">
        <f t="shared" si="38"/>
        <v>2</v>
      </c>
      <c r="F142" s="22">
        <f t="shared" si="39"/>
        <v>3</v>
      </c>
      <c r="G142" s="22">
        <f t="shared" si="40"/>
        <v>0</v>
      </c>
      <c r="H142" s="23">
        <f t="shared" si="41"/>
        <v>1</v>
      </c>
      <c r="I142" s="24">
        <f t="shared" si="42"/>
        <v>1</v>
      </c>
      <c r="J142" s="20">
        <f t="shared" si="43"/>
        <v>1</v>
      </c>
      <c r="K142" s="20">
        <f t="shared" si="44"/>
        <v>1</v>
      </c>
      <c r="L142" s="20">
        <f t="shared" si="45"/>
        <v>1</v>
      </c>
      <c r="M142" s="20">
        <f t="shared" si="46"/>
        <v>1</v>
      </c>
      <c r="N142" s="20">
        <f t="shared" si="47"/>
        <v>0</v>
      </c>
      <c r="O142" s="20">
        <f t="shared" si="48"/>
        <v>0</v>
      </c>
      <c r="P142" s="20">
        <f t="shared" si="49"/>
        <v>0</v>
      </c>
      <c r="T142" s="44"/>
      <c r="U142">
        <v>1</v>
      </c>
      <c r="V142">
        <v>1</v>
      </c>
      <c r="W142">
        <v>1</v>
      </c>
      <c r="X142">
        <v>1</v>
      </c>
      <c r="Y142">
        <v>0</v>
      </c>
      <c r="Z142">
        <v>1</v>
      </c>
      <c r="AA142">
        <v>0</v>
      </c>
      <c r="AB142">
        <v>0</v>
      </c>
    </row>
    <row r="143" spans="1:29" ht="45.75" customHeight="1">
      <c r="A143" s="4"/>
      <c r="B143" s="20">
        <f t="shared" si="35"/>
        <v>2</v>
      </c>
      <c r="C143" s="20">
        <f t="shared" si="36"/>
        <v>8</v>
      </c>
      <c r="D143" s="21">
        <f t="shared" si="37"/>
        <v>5</v>
      </c>
      <c r="E143" s="22">
        <f t="shared" si="38"/>
        <v>2</v>
      </c>
      <c r="F143" s="22">
        <f t="shared" si="39"/>
        <v>0</v>
      </c>
      <c r="G143" s="22">
        <f t="shared" si="40"/>
        <v>0</v>
      </c>
      <c r="H143" s="23">
        <f t="shared" si="41"/>
        <v>1</v>
      </c>
      <c r="I143" s="24">
        <f t="shared" si="42"/>
        <v>1</v>
      </c>
      <c r="J143" s="20">
        <f t="shared" si="43"/>
        <v>1</v>
      </c>
      <c r="K143" s="20">
        <f t="shared" si="44"/>
        <v>1</v>
      </c>
      <c r="L143" s="20">
        <f t="shared" si="45"/>
        <v>0</v>
      </c>
      <c r="M143" s="20">
        <f t="shared" si="46"/>
        <v>0</v>
      </c>
      <c r="N143" s="20">
        <f t="shared" si="47"/>
        <v>0</v>
      </c>
      <c r="O143" s="20">
        <f t="shared" si="48"/>
        <v>0</v>
      </c>
      <c r="P143" s="20">
        <f t="shared" si="49"/>
        <v>0</v>
      </c>
      <c r="T143" s="44"/>
      <c r="U143">
        <v>1</v>
      </c>
      <c r="V143">
        <v>0</v>
      </c>
      <c r="W143">
        <v>0</v>
      </c>
      <c r="X143">
        <v>0</v>
      </c>
      <c r="Y143">
        <v>0</v>
      </c>
      <c r="Z143">
        <v>1</v>
      </c>
      <c r="AA143">
        <v>0</v>
      </c>
      <c r="AB143">
        <v>0</v>
      </c>
    </row>
    <row r="144" spans="1:29" ht="45.75" customHeight="1">
      <c r="A144" s="4"/>
      <c r="B144" s="20">
        <f t="shared" si="35"/>
        <v>5</v>
      </c>
      <c r="C144" s="20">
        <f t="shared" si="36"/>
        <v>8</v>
      </c>
      <c r="D144" s="21">
        <f t="shared" si="37"/>
        <v>7</v>
      </c>
      <c r="E144" s="22">
        <f t="shared" si="38"/>
        <v>2</v>
      </c>
      <c r="F144" s="22">
        <f t="shared" si="39"/>
        <v>2</v>
      </c>
      <c r="G144" s="22">
        <f t="shared" si="40"/>
        <v>1</v>
      </c>
      <c r="H144" s="23">
        <f t="shared" si="41"/>
        <v>1</v>
      </c>
      <c r="I144" s="24">
        <f t="shared" si="42"/>
        <v>1</v>
      </c>
      <c r="J144" s="20">
        <f t="shared" si="43"/>
        <v>1</v>
      </c>
      <c r="K144" s="20">
        <f t="shared" si="44"/>
        <v>1</v>
      </c>
      <c r="L144" s="20">
        <f t="shared" si="45"/>
        <v>1</v>
      </c>
      <c r="M144" s="20">
        <f t="shared" si="46"/>
        <v>1</v>
      </c>
      <c r="N144" s="20">
        <f t="shared" si="47"/>
        <v>0</v>
      </c>
      <c r="O144" s="20">
        <f t="shared" si="48"/>
        <v>0</v>
      </c>
      <c r="P144" s="20">
        <f t="shared" si="49"/>
        <v>0</v>
      </c>
      <c r="T144" s="44"/>
      <c r="U144">
        <v>1</v>
      </c>
      <c r="V144">
        <v>1</v>
      </c>
      <c r="W144">
        <v>1</v>
      </c>
      <c r="X144">
        <v>0</v>
      </c>
      <c r="Y144">
        <v>1</v>
      </c>
      <c r="Z144">
        <v>1</v>
      </c>
      <c r="AA144">
        <v>0</v>
      </c>
      <c r="AB144">
        <v>0</v>
      </c>
    </row>
    <row r="145" spans="1:29" ht="45.75" customHeight="1">
      <c r="A145" s="4"/>
      <c r="B145" s="20">
        <f t="shared" si="35"/>
        <v>8</v>
      </c>
      <c r="C145" s="20">
        <f t="shared" si="36"/>
        <v>8</v>
      </c>
      <c r="D145" s="21">
        <f t="shared" si="37"/>
        <v>10</v>
      </c>
      <c r="E145" s="22">
        <f t="shared" si="38"/>
        <v>2</v>
      </c>
      <c r="F145" s="22">
        <f t="shared" si="39"/>
        <v>3</v>
      </c>
      <c r="G145" s="22">
        <f t="shared" si="40"/>
        <v>3</v>
      </c>
      <c r="H145" s="23">
        <f t="shared" si="41"/>
        <v>1</v>
      </c>
      <c r="I145" s="24">
        <f t="shared" si="42"/>
        <v>1</v>
      </c>
      <c r="J145" s="20">
        <f t="shared" si="43"/>
        <v>1</v>
      </c>
      <c r="K145" s="20">
        <f t="shared" si="44"/>
        <v>1</v>
      </c>
      <c r="L145" s="20">
        <f t="shared" si="45"/>
        <v>1</v>
      </c>
      <c r="M145" s="20">
        <f t="shared" si="46"/>
        <v>1</v>
      </c>
      <c r="N145" s="20">
        <f t="shared" si="47"/>
        <v>1</v>
      </c>
      <c r="O145" s="20">
        <f t="shared" si="48"/>
        <v>1</v>
      </c>
      <c r="P145" s="20">
        <f t="shared" si="49"/>
        <v>1</v>
      </c>
      <c r="T145" s="44"/>
      <c r="U145">
        <v>1</v>
      </c>
      <c r="V145">
        <v>1</v>
      </c>
      <c r="W145">
        <v>1</v>
      </c>
      <c r="X145">
        <v>1</v>
      </c>
      <c r="Y145">
        <v>1</v>
      </c>
      <c r="Z145">
        <v>1</v>
      </c>
      <c r="AA145">
        <v>1</v>
      </c>
      <c r="AB145">
        <v>1</v>
      </c>
      <c r="AC145" s="26" t="s">
        <v>166</v>
      </c>
    </row>
    <row r="146" spans="1:29" ht="45.75" customHeight="1">
      <c r="A146" s="4"/>
      <c r="B146" s="20">
        <f t="shared" si="35"/>
        <v>5</v>
      </c>
      <c r="C146" s="20">
        <f t="shared" si="36"/>
        <v>8</v>
      </c>
      <c r="D146" s="21">
        <f t="shared" si="37"/>
        <v>7</v>
      </c>
      <c r="E146" s="22">
        <f t="shared" si="38"/>
        <v>2</v>
      </c>
      <c r="F146" s="22">
        <f t="shared" si="39"/>
        <v>3</v>
      </c>
      <c r="G146" s="22">
        <f t="shared" si="40"/>
        <v>0</v>
      </c>
      <c r="H146" s="23">
        <f t="shared" si="41"/>
        <v>1</v>
      </c>
      <c r="I146" s="24">
        <f t="shared" si="42"/>
        <v>1</v>
      </c>
      <c r="J146" s="20">
        <f t="shared" si="43"/>
        <v>1</v>
      </c>
      <c r="K146" s="20">
        <f t="shared" si="44"/>
        <v>1</v>
      </c>
      <c r="L146" s="20">
        <f t="shared" si="45"/>
        <v>1</v>
      </c>
      <c r="M146" s="20">
        <f t="shared" si="46"/>
        <v>1</v>
      </c>
      <c r="N146" s="20">
        <f t="shared" si="47"/>
        <v>0</v>
      </c>
      <c r="O146" s="20">
        <f t="shared" si="48"/>
        <v>0</v>
      </c>
      <c r="P146" s="20">
        <f t="shared" si="49"/>
        <v>0</v>
      </c>
      <c r="T146" s="44"/>
      <c r="U146">
        <v>1</v>
      </c>
      <c r="V146">
        <v>1</v>
      </c>
      <c r="W146">
        <v>1</v>
      </c>
      <c r="X146">
        <v>1</v>
      </c>
      <c r="Y146">
        <v>0</v>
      </c>
      <c r="Z146">
        <v>1</v>
      </c>
      <c r="AA146">
        <v>0</v>
      </c>
      <c r="AB146">
        <v>0</v>
      </c>
    </row>
    <row r="147" spans="1:29" ht="45.75" customHeight="1">
      <c r="A147" s="4"/>
      <c r="B147" s="20">
        <f t="shared" si="35"/>
        <v>2</v>
      </c>
      <c r="C147" s="20">
        <f t="shared" si="36"/>
        <v>8</v>
      </c>
      <c r="D147" s="21">
        <f t="shared" si="37"/>
        <v>5</v>
      </c>
      <c r="E147" s="22">
        <f t="shared" si="38"/>
        <v>2</v>
      </c>
      <c r="F147" s="22">
        <f t="shared" si="39"/>
        <v>0</v>
      </c>
      <c r="G147" s="22">
        <f t="shared" si="40"/>
        <v>0</v>
      </c>
      <c r="H147" s="23">
        <f t="shared" si="41"/>
        <v>1</v>
      </c>
      <c r="I147" s="24">
        <f t="shared" si="42"/>
        <v>1</v>
      </c>
      <c r="J147" s="20">
        <f t="shared" si="43"/>
        <v>1</v>
      </c>
      <c r="K147" s="20">
        <f t="shared" si="44"/>
        <v>1</v>
      </c>
      <c r="L147" s="20">
        <f t="shared" si="45"/>
        <v>0</v>
      </c>
      <c r="M147" s="20">
        <f t="shared" si="46"/>
        <v>0</v>
      </c>
      <c r="N147" s="20">
        <f t="shared" si="47"/>
        <v>0</v>
      </c>
      <c r="O147" s="20">
        <f t="shared" si="48"/>
        <v>0</v>
      </c>
      <c r="P147" s="20">
        <f t="shared" si="49"/>
        <v>0</v>
      </c>
      <c r="T147" s="44"/>
      <c r="U147">
        <v>1</v>
      </c>
      <c r="V147">
        <v>0</v>
      </c>
      <c r="W147">
        <v>0</v>
      </c>
      <c r="X147">
        <v>0</v>
      </c>
      <c r="Y147">
        <v>0</v>
      </c>
      <c r="Z147">
        <v>1</v>
      </c>
      <c r="AA147">
        <v>0</v>
      </c>
      <c r="AB147">
        <v>0</v>
      </c>
    </row>
    <row r="148" spans="1:29" ht="45.75" customHeight="1">
      <c r="A148" s="4"/>
      <c r="B148" s="20">
        <f t="shared" si="35"/>
        <v>4</v>
      </c>
      <c r="C148" s="20">
        <f t="shared" si="36"/>
        <v>8</v>
      </c>
      <c r="D148" s="21">
        <f t="shared" si="37"/>
        <v>6</v>
      </c>
      <c r="E148" s="22">
        <f t="shared" si="38"/>
        <v>2</v>
      </c>
      <c r="F148" s="22">
        <f t="shared" si="39"/>
        <v>1</v>
      </c>
      <c r="G148" s="22">
        <f t="shared" si="40"/>
        <v>1</v>
      </c>
      <c r="H148" s="23">
        <f t="shared" si="41"/>
        <v>1</v>
      </c>
      <c r="I148" s="24">
        <f t="shared" si="42"/>
        <v>1</v>
      </c>
      <c r="J148" s="20">
        <f t="shared" si="43"/>
        <v>1</v>
      </c>
      <c r="K148" s="20">
        <f t="shared" si="44"/>
        <v>1</v>
      </c>
      <c r="L148" s="20">
        <f t="shared" si="45"/>
        <v>1</v>
      </c>
      <c r="M148" s="20">
        <f t="shared" si="46"/>
        <v>1</v>
      </c>
      <c r="N148" s="20">
        <f t="shared" si="47"/>
        <v>0</v>
      </c>
      <c r="O148" s="20">
        <f t="shared" si="48"/>
        <v>0</v>
      </c>
      <c r="P148" s="20">
        <f t="shared" si="49"/>
        <v>0</v>
      </c>
      <c r="T148" s="44"/>
      <c r="U148">
        <v>1</v>
      </c>
      <c r="V148">
        <v>1</v>
      </c>
      <c r="W148">
        <v>0</v>
      </c>
      <c r="X148">
        <v>0</v>
      </c>
      <c r="Y148">
        <v>1</v>
      </c>
      <c r="Z148">
        <v>1</v>
      </c>
      <c r="AA148">
        <v>0</v>
      </c>
      <c r="AB148">
        <v>0</v>
      </c>
    </row>
    <row r="149" spans="1:29" ht="45.75" customHeight="1">
      <c r="A149" s="4"/>
      <c r="B149" s="20">
        <f t="shared" si="35"/>
        <v>5</v>
      </c>
      <c r="C149" s="20">
        <f t="shared" si="36"/>
        <v>8</v>
      </c>
      <c r="D149" s="21">
        <f t="shared" si="37"/>
        <v>7</v>
      </c>
      <c r="E149" s="22">
        <f t="shared" si="38"/>
        <v>2</v>
      </c>
      <c r="F149" s="22">
        <f t="shared" si="39"/>
        <v>1</v>
      </c>
      <c r="G149" s="22">
        <f t="shared" si="40"/>
        <v>2</v>
      </c>
      <c r="H149" s="23">
        <f t="shared" si="41"/>
        <v>1</v>
      </c>
      <c r="I149" s="24">
        <f t="shared" si="42"/>
        <v>1</v>
      </c>
      <c r="J149" s="20">
        <f t="shared" si="43"/>
        <v>1</v>
      </c>
      <c r="K149" s="20">
        <f t="shared" si="44"/>
        <v>1</v>
      </c>
      <c r="L149" s="20">
        <f t="shared" si="45"/>
        <v>1</v>
      </c>
      <c r="M149" s="20">
        <f t="shared" si="46"/>
        <v>1</v>
      </c>
      <c r="N149" s="20">
        <f t="shared" si="47"/>
        <v>0</v>
      </c>
      <c r="O149" s="20">
        <f t="shared" si="48"/>
        <v>0</v>
      </c>
      <c r="P149" s="20">
        <f t="shared" si="49"/>
        <v>0</v>
      </c>
      <c r="T149" s="44"/>
      <c r="U149">
        <v>1</v>
      </c>
      <c r="V149">
        <v>1</v>
      </c>
      <c r="W149">
        <v>0</v>
      </c>
      <c r="X149">
        <v>0</v>
      </c>
      <c r="Y149">
        <v>1</v>
      </c>
      <c r="Z149">
        <v>1</v>
      </c>
      <c r="AA149">
        <v>0</v>
      </c>
      <c r="AB149">
        <v>1</v>
      </c>
      <c r="AC149" s="26" t="s">
        <v>167</v>
      </c>
    </row>
    <row r="150" spans="1:29" ht="45.75" customHeight="1">
      <c r="A150" s="4"/>
      <c r="B150" s="20">
        <f t="shared" si="35"/>
        <v>3</v>
      </c>
      <c r="C150" s="20">
        <f t="shared" si="36"/>
        <v>8</v>
      </c>
      <c r="D150" s="21">
        <f t="shared" si="37"/>
        <v>6</v>
      </c>
      <c r="E150" s="22">
        <f t="shared" si="38"/>
        <v>2</v>
      </c>
      <c r="F150" s="22">
        <f t="shared" si="39"/>
        <v>1</v>
      </c>
      <c r="G150" s="22">
        <f t="shared" si="40"/>
        <v>0</v>
      </c>
      <c r="H150" s="23">
        <f t="shared" si="41"/>
        <v>1</v>
      </c>
      <c r="I150" s="24">
        <f t="shared" si="42"/>
        <v>1</v>
      </c>
      <c r="J150" s="20">
        <f t="shared" si="43"/>
        <v>1</v>
      </c>
      <c r="K150" s="20">
        <f t="shared" si="44"/>
        <v>1</v>
      </c>
      <c r="L150" s="20">
        <f t="shared" si="45"/>
        <v>1</v>
      </c>
      <c r="M150" s="20">
        <f t="shared" si="46"/>
        <v>0</v>
      </c>
      <c r="N150" s="20">
        <f t="shared" si="47"/>
        <v>0</v>
      </c>
      <c r="O150" s="20">
        <f t="shared" si="48"/>
        <v>0</v>
      </c>
      <c r="P150" s="20">
        <f t="shared" si="49"/>
        <v>0</v>
      </c>
      <c r="T150" s="44"/>
      <c r="U150">
        <v>1</v>
      </c>
      <c r="V150">
        <v>1</v>
      </c>
      <c r="W150">
        <v>0</v>
      </c>
      <c r="X150">
        <v>0</v>
      </c>
      <c r="Y150">
        <v>0</v>
      </c>
      <c r="Z150">
        <v>1</v>
      </c>
      <c r="AA150">
        <v>0</v>
      </c>
      <c r="AB150">
        <v>0</v>
      </c>
    </row>
    <row r="151" spans="1:29" ht="45.75" customHeight="1">
      <c r="A151" s="4"/>
      <c r="B151" s="20">
        <f t="shared" si="35"/>
        <v>3</v>
      </c>
      <c r="C151" s="20">
        <f t="shared" si="36"/>
        <v>8</v>
      </c>
      <c r="D151" s="21">
        <f t="shared" si="37"/>
        <v>6</v>
      </c>
      <c r="E151" s="22">
        <f t="shared" si="38"/>
        <v>2</v>
      </c>
      <c r="F151" s="22">
        <f t="shared" si="39"/>
        <v>1</v>
      </c>
      <c r="G151" s="22">
        <f t="shared" si="40"/>
        <v>0</v>
      </c>
      <c r="H151" s="23">
        <f t="shared" si="41"/>
        <v>1</v>
      </c>
      <c r="I151" s="24">
        <f t="shared" si="42"/>
        <v>1</v>
      </c>
      <c r="J151" s="20">
        <f t="shared" si="43"/>
        <v>1</v>
      </c>
      <c r="K151" s="20">
        <f t="shared" si="44"/>
        <v>1</v>
      </c>
      <c r="L151" s="20">
        <f t="shared" si="45"/>
        <v>1</v>
      </c>
      <c r="M151" s="20">
        <f t="shared" si="46"/>
        <v>0</v>
      </c>
      <c r="N151" s="20">
        <f t="shared" si="47"/>
        <v>0</v>
      </c>
      <c r="O151" s="20">
        <f t="shared" si="48"/>
        <v>0</v>
      </c>
      <c r="P151" s="20">
        <f t="shared" si="49"/>
        <v>0</v>
      </c>
      <c r="T151" s="44"/>
      <c r="U151">
        <v>1</v>
      </c>
      <c r="V151">
        <v>1</v>
      </c>
      <c r="W151">
        <v>0</v>
      </c>
      <c r="X151">
        <v>0</v>
      </c>
      <c r="Y151">
        <v>0</v>
      </c>
      <c r="Z151">
        <v>1</v>
      </c>
      <c r="AA151">
        <v>0</v>
      </c>
      <c r="AB151">
        <v>0</v>
      </c>
    </row>
    <row r="152" spans="1:29" ht="45.75" customHeight="1">
      <c r="A152" s="4"/>
      <c r="B152" s="20">
        <f t="shared" si="35"/>
        <v>5</v>
      </c>
      <c r="C152" s="20">
        <f t="shared" si="36"/>
        <v>8</v>
      </c>
      <c r="D152" s="21">
        <f t="shared" si="37"/>
        <v>7</v>
      </c>
      <c r="E152" s="22">
        <f t="shared" si="38"/>
        <v>2</v>
      </c>
      <c r="F152" s="22">
        <f t="shared" si="39"/>
        <v>3</v>
      </c>
      <c r="G152" s="22">
        <f t="shared" si="40"/>
        <v>0</v>
      </c>
      <c r="H152" s="23">
        <f t="shared" si="41"/>
        <v>1</v>
      </c>
      <c r="I152" s="24">
        <f t="shared" si="42"/>
        <v>1</v>
      </c>
      <c r="J152" s="20">
        <f t="shared" si="43"/>
        <v>1</v>
      </c>
      <c r="K152" s="20">
        <f t="shared" si="44"/>
        <v>1</v>
      </c>
      <c r="L152" s="20">
        <f t="shared" si="45"/>
        <v>1</v>
      </c>
      <c r="M152" s="20">
        <f t="shared" si="46"/>
        <v>1</v>
      </c>
      <c r="N152" s="20">
        <f t="shared" si="47"/>
        <v>0</v>
      </c>
      <c r="O152" s="20">
        <f t="shared" si="48"/>
        <v>0</v>
      </c>
      <c r="P152" s="20">
        <f t="shared" si="49"/>
        <v>0</v>
      </c>
      <c r="T152" s="44"/>
      <c r="U152">
        <v>1</v>
      </c>
      <c r="V152">
        <v>1</v>
      </c>
      <c r="W152">
        <v>1</v>
      </c>
      <c r="X152">
        <v>1</v>
      </c>
      <c r="Y152">
        <v>0</v>
      </c>
      <c r="Z152">
        <v>1</v>
      </c>
      <c r="AA152">
        <v>0</v>
      </c>
      <c r="AB152">
        <v>0</v>
      </c>
    </row>
    <row r="153" spans="1:29" ht="45.75" customHeight="1">
      <c r="A153" s="4"/>
      <c r="B153" s="20">
        <f t="shared" si="35"/>
        <v>4</v>
      </c>
      <c r="C153" s="20">
        <f t="shared" si="36"/>
        <v>8</v>
      </c>
      <c r="D153" s="21">
        <f t="shared" si="37"/>
        <v>6</v>
      </c>
      <c r="E153" s="22">
        <f t="shared" si="38"/>
        <v>2</v>
      </c>
      <c r="F153" s="22">
        <f t="shared" si="39"/>
        <v>0</v>
      </c>
      <c r="G153" s="22">
        <f t="shared" si="40"/>
        <v>2</v>
      </c>
      <c r="H153" s="23">
        <f t="shared" si="41"/>
        <v>1</v>
      </c>
      <c r="I153" s="24">
        <f t="shared" si="42"/>
        <v>1</v>
      </c>
      <c r="J153" s="20">
        <f t="shared" si="43"/>
        <v>1</v>
      </c>
      <c r="K153" s="20">
        <f t="shared" si="44"/>
        <v>1</v>
      </c>
      <c r="L153" s="20">
        <f t="shared" si="45"/>
        <v>1</v>
      </c>
      <c r="M153" s="20">
        <f t="shared" si="46"/>
        <v>1</v>
      </c>
      <c r="N153" s="20">
        <f t="shared" si="47"/>
        <v>0</v>
      </c>
      <c r="O153" s="20">
        <f t="shared" si="48"/>
        <v>0</v>
      </c>
      <c r="P153" s="20">
        <f t="shared" si="49"/>
        <v>0</v>
      </c>
      <c r="T153" s="44"/>
      <c r="U153">
        <v>1</v>
      </c>
      <c r="V153">
        <v>0</v>
      </c>
      <c r="W153">
        <v>0</v>
      </c>
      <c r="X153">
        <v>0</v>
      </c>
      <c r="Y153">
        <v>1</v>
      </c>
      <c r="Z153">
        <v>1</v>
      </c>
      <c r="AA153">
        <v>0</v>
      </c>
      <c r="AB153">
        <v>1</v>
      </c>
      <c r="AC153" s="26" t="s">
        <v>168</v>
      </c>
    </row>
    <row r="154" spans="1:29" ht="45.75" customHeight="1">
      <c r="A154" s="4"/>
      <c r="B154" s="20">
        <f t="shared" si="35"/>
        <v>4</v>
      </c>
      <c r="C154" s="20">
        <f t="shared" si="36"/>
        <v>8</v>
      </c>
      <c r="D154" s="21">
        <f t="shared" si="37"/>
        <v>6</v>
      </c>
      <c r="E154" s="22">
        <f t="shared" si="38"/>
        <v>2</v>
      </c>
      <c r="F154" s="22">
        <f t="shared" si="39"/>
        <v>1</v>
      </c>
      <c r="G154" s="22">
        <f t="shared" si="40"/>
        <v>1</v>
      </c>
      <c r="H154" s="23">
        <f t="shared" si="41"/>
        <v>1</v>
      </c>
      <c r="I154" s="24">
        <f t="shared" si="42"/>
        <v>1</v>
      </c>
      <c r="J154" s="20">
        <f t="shared" si="43"/>
        <v>1</v>
      </c>
      <c r="K154" s="20">
        <f t="shared" si="44"/>
        <v>1</v>
      </c>
      <c r="L154" s="20">
        <f t="shared" si="45"/>
        <v>1</v>
      </c>
      <c r="M154" s="20">
        <f t="shared" si="46"/>
        <v>1</v>
      </c>
      <c r="N154" s="20">
        <f t="shared" si="47"/>
        <v>0</v>
      </c>
      <c r="O154" s="20">
        <f t="shared" si="48"/>
        <v>0</v>
      </c>
      <c r="P154" s="20">
        <f t="shared" si="49"/>
        <v>0</v>
      </c>
      <c r="T154" s="44"/>
      <c r="U154">
        <v>1</v>
      </c>
      <c r="V154">
        <v>1</v>
      </c>
      <c r="W154">
        <v>0</v>
      </c>
      <c r="X154">
        <v>0</v>
      </c>
      <c r="Y154">
        <v>1</v>
      </c>
      <c r="Z154">
        <v>1</v>
      </c>
      <c r="AA154">
        <v>0</v>
      </c>
      <c r="AB154">
        <v>0</v>
      </c>
    </row>
    <row r="155" spans="1:29" ht="45.75" customHeight="1">
      <c r="A155" s="4"/>
      <c r="B155" s="20">
        <f t="shared" si="35"/>
        <v>4</v>
      </c>
      <c r="C155" s="20">
        <f t="shared" si="36"/>
        <v>8</v>
      </c>
      <c r="D155" s="21">
        <f t="shared" si="37"/>
        <v>6</v>
      </c>
      <c r="E155" s="22">
        <f t="shared" si="38"/>
        <v>2</v>
      </c>
      <c r="F155" s="22">
        <f t="shared" si="39"/>
        <v>2</v>
      </c>
      <c r="G155" s="22">
        <f t="shared" si="40"/>
        <v>0</v>
      </c>
      <c r="H155" s="23">
        <f t="shared" si="41"/>
        <v>1</v>
      </c>
      <c r="I155" s="24">
        <f t="shared" si="42"/>
        <v>1</v>
      </c>
      <c r="J155" s="20">
        <f t="shared" si="43"/>
        <v>1</v>
      </c>
      <c r="K155" s="20">
        <f t="shared" si="44"/>
        <v>1</v>
      </c>
      <c r="L155" s="20">
        <f t="shared" si="45"/>
        <v>1</v>
      </c>
      <c r="M155" s="20">
        <f t="shared" si="46"/>
        <v>1</v>
      </c>
      <c r="N155" s="20">
        <f t="shared" si="47"/>
        <v>0</v>
      </c>
      <c r="O155" s="20">
        <f t="shared" si="48"/>
        <v>0</v>
      </c>
      <c r="P155" s="20">
        <f t="shared" si="49"/>
        <v>0</v>
      </c>
      <c r="T155" s="44"/>
      <c r="U155">
        <v>1</v>
      </c>
      <c r="V155">
        <v>1</v>
      </c>
      <c r="W155">
        <v>1</v>
      </c>
      <c r="X155">
        <v>0</v>
      </c>
      <c r="Y155">
        <v>0</v>
      </c>
      <c r="Z155">
        <v>1</v>
      </c>
      <c r="AA155">
        <v>0</v>
      </c>
      <c r="AB155">
        <v>0</v>
      </c>
    </row>
    <row r="156" spans="1:29" ht="45.75" customHeight="1">
      <c r="A156" s="4"/>
      <c r="B156" s="20">
        <f t="shared" si="35"/>
        <v>4</v>
      </c>
      <c r="C156" s="20">
        <f t="shared" si="36"/>
        <v>8</v>
      </c>
      <c r="D156" s="21">
        <f t="shared" si="37"/>
        <v>6</v>
      </c>
      <c r="E156" s="22">
        <f t="shared" si="38"/>
        <v>2</v>
      </c>
      <c r="F156" s="22">
        <f t="shared" si="39"/>
        <v>2</v>
      </c>
      <c r="G156" s="22">
        <f t="shared" si="40"/>
        <v>0</v>
      </c>
      <c r="H156" s="23">
        <f t="shared" si="41"/>
        <v>1</v>
      </c>
      <c r="I156" s="24">
        <f t="shared" si="42"/>
        <v>1</v>
      </c>
      <c r="J156" s="20">
        <f t="shared" si="43"/>
        <v>1</v>
      </c>
      <c r="K156" s="20">
        <f t="shared" si="44"/>
        <v>1</v>
      </c>
      <c r="L156" s="20">
        <f t="shared" si="45"/>
        <v>1</v>
      </c>
      <c r="M156" s="20">
        <f t="shared" si="46"/>
        <v>1</v>
      </c>
      <c r="N156" s="20">
        <f t="shared" si="47"/>
        <v>0</v>
      </c>
      <c r="O156" s="20">
        <f t="shared" si="48"/>
        <v>0</v>
      </c>
      <c r="P156" s="20">
        <f t="shared" si="49"/>
        <v>0</v>
      </c>
      <c r="T156" s="44"/>
      <c r="U156">
        <v>1</v>
      </c>
      <c r="V156">
        <v>1</v>
      </c>
      <c r="W156">
        <v>1</v>
      </c>
      <c r="X156">
        <v>0</v>
      </c>
      <c r="Y156">
        <v>0</v>
      </c>
      <c r="Z156">
        <v>1</v>
      </c>
      <c r="AA156">
        <v>0</v>
      </c>
      <c r="AB156">
        <v>0</v>
      </c>
    </row>
    <row r="157" spans="1:29" ht="45.75" customHeight="1">
      <c r="A157" s="4"/>
      <c r="B157" s="20">
        <f t="shared" si="35"/>
        <v>4</v>
      </c>
      <c r="C157" s="20">
        <f t="shared" si="36"/>
        <v>8</v>
      </c>
      <c r="D157" s="21">
        <f t="shared" si="37"/>
        <v>6</v>
      </c>
      <c r="E157" s="22">
        <f t="shared" si="38"/>
        <v>2</v>
      </c>
      <c r="F157" s="22">
        <f t="shared" si="39"/>
        <v>2</v>
      </c>
      <c r="G157" s="22">
        <f t="shared" si="40"/>
        <v>0</v>
      </c>
      <c r="H157" s="23">
        <f t="shared" si="41"/>
        <v>1</v>
      </c>
      <c r="I157" s="24">
        <f t="shared" si="42"/>
        <v>1</v>
      </c>
      <c r="J157" s="20">
        <f t="shared" si="43"/>
        <v>1</v>
      </c>
      <c r="K157" s="20">
        <f t="shared" si="44"/>
        <v>1</v>
      </c>
      <c r="L157" s="20">
        <f t="shared" si="45"/>
        <v>1</v>
      </c>
      <c r="M157" s="20">
        <f t="shared" si="46"/>
        <v>1</v>
      </c>
      <c r="N157" s="20">
        <f t="shared" si="47"/>
        <v>0</v>
      </c>
      <c r="O157" s="20">
        <f t="shared" si="48"/>
        <v>0</v>
      </c>
      <c r="P157" s="20">
        <f t="shared" si="49"/>
        <v>0</v>
      </c>
      <c r="T157" s="44"/>
      <c r="U157" s="46">
        <v>1</v>
      </c>
      <c r="V157" s="46">
        <v>1</v>
      </c>
      <c r="W157" s="46">
        <v>1</v>
      </c>
      <c r="X157" s="46">
        <v>0</v>
      </c>
      <c r="Y157" s="46">
        <v>0</v>
      </c>
      <c r="Z157" s="46">
        <v>1</v>
      </c>
      <c r="AA157" s="46">
        <v>0</v>
      </c>
      <c r="AB157" s="46">
        <v>0</v>
      </c>
      <c r="AC157" s="49"/>
    </row>
    <row r="158" spans="1:29" ht="45.75" customHeight="1">
      <c r="A158" s="4"/>
      <c r="B158" s="20">
        <f t="shared" si="35"/>
        <v>3</v>
      </c>
      <c r="C158" s="20">
        <f t="shared" si="36"/>
        <v>8</v>
      </c>
      <c r="D158" s="21">
        <f t="shared" si="37"/>
        <v>6</v>
      </c>
      <c r="E158" s="22">
        <f t="shared" si="38"/>
        <v>2</v>
      </c>
      <c r="F158" s="22">
        <f t="shared" si="39"/>
        <v>0</v>
      </c>
      <c r="G158" s="22">
        <f t="shared" si="40"/>
        <v>1</v>
      </c>
      <c r="H158" s="23">
        <f t="shared" si="41"/>
        <v>1</v>
      </c>
      <c r="I158" s="24">
        <f t="shared" si="42"/>
        <v>1</v>
      </c>
      <c r="J158" s="20">
        <f t="shared" si="43"/>
        <v>1</v>
      </c>
      <c r="K158" s="20">
        <f t="shared" si="44"/>
        <v>1</v>
      </c>
      <c r="L158" s="20">
        <f t="shared" si="45"/>
        <v>1</v>
      </c>
      <c r="M158" s="20">
        <f t="shared" si="46"/>
        <v>0</v>
      </c>
      <c r="N158" s="20">
        <f t="shared" si="47"/>
        <v>0</v>
      </c>
      <c r="O158" s="20">
        <f t="shared" si="48"/>
        <v>0</v>
      </c>
      <c r="P158" s="20">
        <f t="shared" si="49"/>
        <v>0</v>
      </c>
      <c r="T158" s="44"/>
      <c r="U158" s="46">
        <v>1</v>
      </c>
      <c r="V158" s="46">
        <v>0</v>
      </c>
      <c r="W158" s="46">
        <v>0</v>
      </c>
      <c r="X158" s="46">
        <v>0</v>
      </c>
      <c r="Y158" s="46">
        <v>1</v>
      </c>
      <c r="Z158" s="46">
        <v>1</v>
      </c>
      <c r="AA158" s="46">
        <v>0</v>
      </c>
      <c r="AB158" s="46">
        <v>0</v>
      </c>
      <c r="AC158" s="49"/>
    </row>
    <row r="159" spans="1:29" ht="45.75" customHeight="1">
      <c r="A159" s="4"/>
      <c r="B159" s="20">
        <f t="shared" si="35"/>
        <v>3</v>
      </c>
      <c r="C159" s="20">
        <f t="shared" si="36"/>
        <v>8</v>
      </c>
      <c r="D159" s="21">
        <f t="shared" si="37"/>
        <v>6</v>
      </c>
      <c r="E159" s="22">
        <f t="shared" si="38"/>
        <v>2</v>
      </c>
      <c r="F159" s="22">
        <f t="shared" si="39"/>
        <v>1</v>
      </c>
      <c r="G159" s="22">
        <f t="shared" si="40"/>
        <v>0</v>
      </c>
      <c r="H159" s="23">
        <f t="shared" si="41"/>
        <v>1</v>
      </c>
      <c r="I159" s="24">
        <f t="shared" si="42"/>
        <v>1</v>
      </c>
      <c r="J159" s="20">
        <f t="shared" si="43"/>
        <v>1</v>
      </c>
      <c r="K159" s="20">
        <f t="shared" si="44"/>
        <v>1</v>
      </c>
      <c r="L159" s="20">
        <f t="shared" si="45"/>
        <v>1</v>
      </c>
      <c r="M159" s="20">
        <f t="shared" si="46"/>
        <v>0</v>
      </c>
      <c r="N159" s="20">
        <f t="shared" si="47"/>
        <v>0</v>
      </c>
      <c r="O159" s="20">
        <f t="shared" si="48"/>
        <v>0</v>
      </c>
      <c r="P159" s="20">
        <f t="shared" si="49"/>
        <v>0</v>
      </c>
      <c r="T159" s="44"/>
      <c r="U159" s="46">
        <v>1</v>
      </c>
      <c r="V159" s="46">
        <v>0</v>
      </c>
      <c r="W159" s="46">
        <v>1</v>
      </c>
      <c r="X159" s="46">
        <v>0</v>
      </c>
      <c r="Y159" s="46">
        <v>0</v>
      </c>
      <c r="Z159" s="46">
        <v>1</v>
      </c>
      <c r="AA159" s="46">
        <v>0</v>
      </c>
      <c r="AB159" s="46">
        <v>0</v>
      </c>
      <c r="AC159" s="49"/>
    </row>
    <row r="160" spans="1:29" ht="45.75" customHeight="1">
      <c r="A160" s="4"/>
      <c r="B160" s="20">
        <f t="shared" si="35"/>
        <v>4</v>
      </c>
      <c r="C160" s="20">
        <f t="shared" si="36"/>
        <v>8</v>
      </c>
      <c r="D160" s="21">
        <f t="shared" si="37"/>
        <v>6</v>
      </c>
      <c r="E160" s="22">
        <f t="shared" si="38"/>
        <v>2</v>
      </c>
      <c r="F160" s="22">
        <f t="shared" si="39"/>
        <v>1</v>
      </c>
      <c r="G160" s="22">
        <f t="shared" si="40"/>
        <v>1</v>
      </c>
      <c r="H160" s="23">
        <f t="shared" si="41"/>
        <v>1</v>
      </c>
      <c r="I160" s="24">
        <f t="shared" si="42"/>
        <v>1</v>
      </c>
      <c r="J160" s="20">
        <f t="shared" si="43"/>
        <v>1</v>
      </c>
      <c r="K160" s="20">
        <f t="shared" si="44"/>
        <v>1</v>
      </c>
      <c r="L160" s="20">
        <f t="shared" si="45"/>
        <v>1</v>
      </c>
      <c r="M160" s="20">
        <f t="shared" si="46"/>
        <v>1</v>
      </c>
      <c r="N160" s="20">
        <f t="shared" si="47"/>
        <v>0</v>
      </c>
      <c r="O160" s="20">
        <f t="shared" si="48"/>
        <v>0</v>
      </c>
      <c r="P160" s="20">
        <f t="shared" si="49"/>
        <v>0</v>
      </c>
      <c r="T160" s="44"/>
      <c r="U160" s="46">
        <v>1</v>
      </c>
      <c r="V160" s="46">
        <v>1</v>
      </c>
      <c r="W160" s="46">
        <v>0</v>
      </c>
      <c r="X160" s="46">
        <v>0</v>
      </c>
      <c r="Y160" s="46">
        <v>1</v>
      </c>
      <c r="Z160" s="46">
        <v>1</v>
      </c>
      <c r="AA160" s="46">
        <v>0</v>
      </c>
      <c r="AB160" s="46">
        <v>0</v>
      </c>
      <c r="AC160" s="49"/>
    </row>
    <row r="161" spans="1:29" ht="45.75" customHeight="1">
      <c r="A161" s="4"/>
      <c r="B161" s="20">
        <f t="shared" si="35"/>
        <v>2</v>
      </c>
      <c r="C161" s="20">
        <f t="shared" si="36"/>
        <v>8</v>
      </c>
      <c r="D161" s="21">
        <f t="shared" si="37"/>
        <v>5</v>
      </c>
      <c r="E161" s="22">
        <f t="shared" si="38"/>
        <v>1</v>
      </c>
      <c r="F161" s="22">
        <f t="shared" si="39"/>
        <v>1</v>
      </c>
      <c r="G161" s="22">
        <f t="shared" si="40"/>
        <v>0</v>
      </c>
      <c r="H161" s="23">
        <f t="shared" si="41"/>
        <v>1</v>
      </c>
      <c r="I161" s="24">
        <f t="shared" si="42"/>
        <v>1</v>
      </c>
      <c r="J161" s="20">
        <f t="shared" si="43"/>
        <v>1</v>
      </c>
      <c r="K161" s="20">
        <f t="shared" si="44"/>
        <v>0</v>
      </c>
      <c r="L161" s="20">
        <f t="shared" si="45"/>
        <v>0</v>
      </c>
      <c r="M161" s="20">
        <f t="shared" si="46"/>
        <v>0</v>
      </c>
      <c r="N161" s="20">
        <f t="shared" si="47"/>
        <v>0</v>
      </c>
      <c r="O161" s="20">
        <f t="shared" si="48"/>
        <v>0</v>
      </c>
      <c r="P161" s="20">
        <f t="shared" si="49"/>
        <v>0</v>
      </c>
      <c r="T161" s="44"/>
      <c r="U161" s="46">
        <v>0</v>
      </c>
      <c r="V161" s="46">
        <v>0</v>
      </c>
      <c r="W161" s="46">
        <v>1</v>
      </c>
      <c r="X161" s="46">
        <v>0</v>
      </c>
      <c r="Y161" s="46">
        <v>0</v>
      </c>
      <c r="Z161" s="46">
        <v>1</v>
      </c>
      <c r="AA161" s="46">
        <v>0</v>
      </c>
      <c r="AB161" s="46">
        <v>0</v>
      </c>
      <c r="AC161" s="49"/>
    </row>
    <row r="162" spans="1:29" ht="45.75" customHeight="1">
      <c r="A162" s="4"/>
      <c r="B162" s="20">
        <f t="shared" si="35"/>
        <v>2</v>
      </c>
      <c r="C162" s="20">
        <f t="shared" si="36"/>
        <v>8</v>
      </c>
      <c r="D162" s="21">
        <f t="shared" si="37"/>
        <v>5</v>
      </c>
      <c r="E162" s="22">
        <f t="shared" si="38"/>
        <v>2</v>
      </c>
      <c r="F162" s="22">
        <f t="shared" si="39"/>
        <v>0</v>
      </c>
      <c r="G162" s="22">
        <f t="shared" si="40"/>
        <v>0</v>
      </c>
      <c r="H162" s="23">
        <f t="shared" si="41"/>
        <v>1</v>
      </c>
      <c r="I162" s="24">
        <f t="shared" si="42"/>
        <v>1</v>
      </c>
      <c r="J162" s="20">
        <f t="shared" si="43"/>
        <v>1</v>
      </c>
      <c r="K162" s="20">
        <f t="shared" si="44"/>
        <v>1</v>
      </c>
      <c r="L162" s="20">
        <f t="shared" si="45"/>
        <v>0</v>
      </c>
      <c r="M162" s="20">
        <f t="shared" si="46"/>
        <v>0</v>
      </c>
      <c r="N162" s="20">
        <f t="shared" si="47"/>
        <v>0</v>
      </c>
      <c r="O162" s="20">
        <f t="shared" si="48"/>
        <v>0</v>
      </c>
      <c r="P162" s="20">
        <f t="shared" si="49"/>
        <v>0</v>
      </c>
      <c r="T162" s="44"/>
      <c r="U162" s="46">
        <v>1</v>
      </c>
      <c r="V162" s="46">
        <v>0</v>
      </c>
      <c r="W162" s="46">
        <v>0</v>
      </c>
      <c r="X162" s="46">
        <v>0</v>
      </c>
      <c r="Y162" s="46">
        <v>0</v>
      </c>
      <c r="Z162" s="46">
        <v>1</v>
      </c>
      <c r="AA162" s="46">
        <v>0</v>
      </c>
      <c r="AB162" s="46">
        <v>0</v>
      </c>
      <c r="AC162" s="49"/>
    </row>
    <row r="163" spans="1:29" ht="45.75" customHeight="1">
      <c r="A163" s="4"/>
      <c r="B163" s="20">
        <f t="shared" si="35"/>
        <v>5</v>
      </c>
      <c r="C163" s="20">
        <f t="shared" si="36"/>
        <v>8</v>
      </c>
      <c r="D163" s="21">
        <f t="shared" si="37"/>
        <v>7</v>
      </c>
      <c r="E163" s="22">
        <f t="shared" si="38"/>
        <v>2</v>
      </c>
      <c r="F163" s="22">
        <f t="shared" si="39"/>
        <v>3</v>
      </c>
      <c r="G163" s="22">
        <f t="shared" si="40"/>
        <v>0</v>
      </c>
      <c r="H163" s="23">
        <f t="shared" si="41"/>
        <v>1</v>
      </c>
      <c r="I163" s="24">
        <f t="shared" si="42"/>
        <v>1</v>
      </c>
      <c r="J163" s="20">
        <f t="shared" si="43"/>
        <v>1</v>
      </c>
      <c r="K163" s="20">
        <f t="shared" si="44"/>
        <v>1</v>
      </c>
      <c r="L163" s="20">
        <f t="shared" si="45"/>
        <v>1</v>
      </c>
      <c r="M163" s="20">
        <f t="shared" si="46"/>
        <v>1</v>
      </c>
      <c r="N163" s="20">
        <f t="shared" si="47"/>
        <v>0</v>
      </c>
      <c r="O163" s="20">
        <f t="shared" si="48"/>
        <v>0</v>
      </c>
      <c r="P163" s="20">
        <f t="shared" si="49"/>
        <v>0</v>
      </c>
      <c r="T163" s="44"/>
      <c r="U163" s="46">
        <v>1</v>
      </c>
      <c r="V163" s="46">
        <v>1</v>
      </c>
      <c r="W163" s="46">
        <v>1</v>
      </c>
      <c r="X163" s="46">
        <v>1</v>
      </c>
      <c r="Y163" s="46">
        <v>0</v>
      </c>
      <c r="Z163" s="46">
        <v>1</v>
      </c>
      <c r="AA163" s="46">
        <v>0</v>
      </c>
      <c r="AB163" s="46">
        <v>0</v>
      </c>
      <c r="AC163" s="49"/>
    </row>
    <row r="164" spans="1:29" ht="45.75" customHeight="1">
      <c r="A164" s="4"/>
      <c r="B164" s="20">
        <f t="shared" si="35"/>
        <v>5</v>
      </c>
      <c r="C164" s="20">
        <f t="shared" si="36"/>
        <v>8</v>
      </c>
      <c r="D164" s="21">
        <f t="shared" si="37"/>
        <v>7</v>
      </c>
      <c r="E164" s="22">
        <f t="shared" si="38"/>
        <v>2</v>
      </c>
      <c r="F164" s="22">
        <f t="shared" si="39"/>
        <v>3</v>
      </c>
      <c r="G164" s="22">
        <f t="shared" si="40"/>
        <v>0</v>
      </c>
      <c r="H164" s="23">
        <f t="shared" si="41"/>
        <v>1</v>
      </c>
      <c r="I164" s="24">
        <f t="shared" si="42"/>
        <v>1</v>
      </c>
      <c r="J164" s="20">
        <f t="shared" si="43"/>
        <v>1</v>
      </c>
      <c r="K164" s="20">
        <f t="shared" si="44"/>
        <v>1</v>
      </c>
      <c r="L164" s="20">
        <f t="shared" si="45"/>
        <v>1</v>
      </c>
      <c r="M164" s="20">
        <f t="shared" si="46"/>
        <v>1</v>
      </c>
      <c r="N164" s="20">
        <f t="shared" si="47"/>
        <v>0</v>
      </c>
      <c r="O164" s="20">
        <f t="shared" si="48"/>
        <v>0</v>
      </c>
      <c r="P164" s="20">
        <f t="shared" si="49"/>
        <v>0</v>
      </c>
      <c r="T164" s="44"/>
      <c r="U164" s="46">
        <v>1</v>
      </c>
      <c r="V164" s="46">
        <v>1</v>
      </c>
      <c r="W164" s="46">
        <v>1</v>
      </c>
      <c r="X164" s="46">
        <v>1</v>
      </c>
      <c r="Y164" s="46">
        <v>0</v>
      </c>
      <c r="Z164" s="46">
        <v>1</v>
      </c>
      <c r="AA164" s="46">
        <v>0</v>
      </c>
      <c r="AB164" s="46">
        <v>0</v>
      </c>
      <c r="AC164" s="49"/>
    </row>
    <row r="165" spans="1:29" ht="45.75" customHeight="1">
      <c r="A165" s="4"/>
      <c r="B165" s="20">
        <f t="shared" si="35"/>
        <v>4</v>
      </c>
      <c r="C165" s="20">
        <f t="shared" si="36"/>
        <v>8</v>
      </c>
      <c r="D165" s="21">
        <f t="shared" si="37"/>
        <v>6</v>
      </c>
      <c r="E165" s="22">
        <f t="shared" si="38"/>
        <v>2</v>
      </c>
      <c r="F165" s="22">
        <f t="shared" si="39"/>
        <v>2</v>
      </c>
      <c r="G165" s="22">
        <f t="shared" si="40"/>
        <v>0</v>
      </c>
      <c r="H165" s="23">
        <f t="shared" si="41"/>
        <v>1</v>
      </c>
      <c r="I165" s="24">
        <f t="shared" si="42"/>
        <v>1</v>
      </c>
      <c r="J165" s="20">
        <f t="shared" si="43"/>
        <v>1</v>
      </c>
      <c r="K165" s="20">
        <f t="shared" si="44"/>
        <v>1</v>
      </c>
      <c r="L165" s="20">
        <f t="shared" si="45"/>
        <v>1</v>
      </c>
      <c r="M165" s="20">
        <f t="shared" si="46"/>
        <v>1</v>
      </c>
      <c r="N165" s="20">
        <f t="shared" si="47"/>
        <v>0</v>
      </c>
      <c r="O165" s="20">
        <f t="shared" si="48"/>
        <v>0</v>
      </c>
      <c r="P165" s="20">
        <f t="shared" si="49"/>
        <v>0</v>
      </c>
      <c r="T165" s="44"/>
      <c r="U165" s="46">
        <v>1</v>
      </c>
      <c r="V165" s="46">
        <v>0</v>
      </c>
      <c r="W165" s="46">
        <v>1</v>
      </c>
      <c r="X165" s="46">
        <v>1</v>
      </c>
      <c r="Y165" s="46">
        <v>0</v>
      </c>
      <c r="Z165" s="46">
        <v>1</v>
      </c>
      <c r="AA165" s="46">
        <v>0</v>
      </c>
      <c r="AB165" s="46">
        <v>0</v>
      </c>
      <c r="AC165" s="49"/>
    </row>
    <row r="166" spans="1:29" ht="45.75" customHeight="1">
      <c r="A166" s="4"/>
      <c r="B166" s="20">
        <f t="shared" si="35"/>
        <v>7</v>
      </c>
      <c r="C166" s="20">
        <f t="shared" si="36"/>
        <v>8</v>
      </c>
      <c r="D166" s="21">
        <f t="shared" si="37"/>
        <v>9</v>
      </c>
      <c r="E166" s="22">
        <f t="shared" si="38"/>
        <v>2</v>
      </c>
      <c r="F166" s="22">
        <f t="shared" si="39"/>
        <v>3</v>
      </c>
      <c r="G166" s="22">
        <f t="shared" si="40"/>
        <v>2</v>
      </c>
      <c r="H166" s="23">
        <f t="shared" si="41"/>
        <v>1</v>
      </c>
      <c r="I166" s="24">
        <f t="shared" si="42"/>
        <v>1</v>
      </c>
      <c r="J166" s="20">
        <f t="shared" si="43"/>
        <v>1</v>
      </c>
      <c r="K166" s="20">
        <f t="shared" si="44"/>
        <v>1</v>
      </c>
      <c r="L166" s="20">
        <f t="shared" si="45"/>
        <v>1</v>
      </c>
      <c r="M166" s="20">
        <f t="shared" si="46"/>
        <v>1</v>
      </c>
      <c r="N166" s="20">
        <f t="shared" si="47"/>
        <v>1</v>
      </c>
      <c r="O166" s="20">
        <f t="shared" si="48"/>
        <v>0</v>
      </c>
      <c r="P166" s="20">
        <f t="shared" si="49"/>
        <v>0</v>
      </c>
      <c r="T166" s="44"/>
      <c r="U166" s="46">
        <v>1</v>
      </c>
      <c r="V166" s="46">
        <v>1</v>
      </c>
      <c r="W166" s="46">
        <v>1</v>
      </c>
      <c r="X166" s="46">
        <v>1</v>
      </c>
      <c r="Y166" s="46">
        <v>1</v>
      </c>
      <c r="Z166" s="46">
        <v>1</v>
      </c>
      <c r="AA166" s="46">
        <v>0</v>
      </c>
      <c r="AB166" s="46">
        <v>1</v>
      </c>
      <c r="AC166" s="49" t="s">
        <v>169</v>
      </c>
    </row>
    <row r="167" spans="1:29" ht="45.75" customHeight="1">
      <c r="A167" s="43"/>
      <c r="B167" s="20">
        <f t="shared" si="35"/>
        <v>3</v>
      </c>
      <c r="C167" s="20">
        <f t="shared" si="36"/>
        <v>8</v>
      </c>
      <c r="D167" s="21">
        <f t="shared" si="37"/>
        <v>6</v>
      </c>
      <c r="E167" s="22">
        <f t="shared" si="38"/>
        <v>2</v>
      </c>
      <c r="F167" s="22">
        <f t="shared" si="39"/>
        <v>0</v>
      </c>
      <c r="G167" s="22">
        <f t="shared" si="40"/>
        <v>1</v>
      </c>
      <c r="H167" s="23">
        <f t="shared" si="41"/>
        <v>1</v>
      </c>
      <c r="I167" s="24">
        <f t="shared" si="42"/>
        <v>1</v>
      </c>
      <c r="J167" s="20">
        <f t="shared" si="43"/>
        <v>1</v>
      </c>
      <c r="K167" s="20">
        <f t="shared" si="44"/>
        <v>1</v>
      </c>
      <c r="L167" s="20">
        <f t="shared" si="45"/>
        <v>1</v>
      </c>
      <c r="M167" s="20">
        <f t="shared" si="46"/>
        <v>0</v>
      </c>
      <c r="N167" s="20">
        <f t="shared" si="47"/>
        <v>0</v>
      </c>
      <c r="O167" s="20">
        <f t="shared" si="48"/>
        <v>0</v>
      </c>
      <c r="P167" s="20">
        <f t="shared" si="49"/>
        <v>0</v>
      </c>
      <c r="T167" s="44"/>
      <c r="U167" s="46">
        <v>1</v>
      </c>
      <c r="V167" s="46">
        <v>0</v>
      </c>
      <c r="W167" s="46">
        <v>0</v>
      </c>
      <c r="X167" s="46">
        <v>0</v>
      </c>
      <c r="Y167" s="46">
        <v>1</v>
      </c>
      <c r="Z167" s="46">
        <v>1</v>
      </c>
      <c r="AA167" s="46">
        <v>0</v>
      </c>
      <c r="AB167" s="46">
        <v>0</v>
      </c>
      <c r="AC167" s="49"/>
    </row>
    <row r="168" spans="1:29" ht="45.75" customHeight="1">
      <c r="A168" s="43"/>
      <c r="B168" s="20">
        <f t="shared" si="35"/>
        <v>5</v>
      </c>
      <c r="C168" s="20">
        <f t="shared" si="36"/>
        <v>8</v>
      </c>
      <c r="D168" s="21">
        <f t="shared" si="37"/>
        <v>7</v>
      </c>
      <c r="E168" s="22">
        <f t="shared" si="38"/>
        <v>2</v>
      </c>
      <c r="F168" s="22">
        <f t="shared" si="39"/>
        <v>2</v>
      </c>
      <c r="G168" s="22">
        <f t="shared" si="40"/>
        <v>1</v>
      </c>
      <c r="H168" s="23">
        <f t="shared" si="41"/>
        <v>1</v>
      </c>
      <c r="I168" s="24">
        <f t="shared" si="42"/>
        <v>1</v>
      </c>
      <c r="J168" s="20">
        <f t="shared" si="43"/>
        <v>1</v>
      </c>
      <c r="K168" s="20">
        <f t="shared" si="44"/>
        <v>1</v>
      </c>
      <c r="L168" s="20">
        <f t="shared" si="45"/>
        <v>1</v>
      </c>
      <c r="M168" s="20">
        <f t="shared" si="46"/>
        <v>1</v>
      </c>
      <c r="N168" s="20">
        <f t="shared" si="47"/>
        <v>0</v>
      </c>
      <c r="O168" s="20">
        <f t="shared" si="48"/>
        <v>0</v>
      </c>
      <c r="P168" s="20">
        <f t="shared" si="49"/>
        <v>0</v>
      </c>
      <c r="T168" s="44"/>
      <c r="U168" s="46">
        <v>1</v>
      </c>
      <c r="V168" s="46">
        <v>0</v>
      </c>
      <c r="W168" s="46">
        <v>1</v>
      </c>
      <c r="X168" s="46">
        <v>1</v>
      </c>
      <c r="Y168" s="46">
        <v>1</v>
      </c>
      <c r="Z168" s="46">
        <v>1</v>
      </c>
      <c r="AA168" s="46">
        <v>0</v>
      </c>
      <c r="AB168" s="46">
        <v>0</v>
      </c>
      <c r="AC168" s="49"/>
    </row>
    <row r="169" spans="1:29" ht="45.75" customHeight="1">
      <c r="A169" s="43"/>
      <c r="B169" s="20">
        <f t="shared" si="35"/>
        <v>4</v>
      </c>
      <c r="C169" s="20">
        <f t="shared" si="36"/>
        <v>8</v>
      </c>
      <c r="D169" s="21">
        <f t="shared" si="37"/>
        <v>6</v>
      </c>
      <c r="E169" s="22">
        <f t="shared" si="38"/>
        <v>2</v>
      </c>
      <c r="F169" s="22">
        <f t="shared" si="39"/>
        <v>2</v>
      </c>
      <c r="G169" s="22">
        <f t="shared" si="40"/>
        <v>0</v>
      </c>
      <c r="H169" s="23">
        <f t="shared" si="41"/>
        <v>1</v>
      </c>
      <c r="I169" s="24">
        <f t="shared" si="42"/>
        <v>1</v>
      </c>
      <c r="J169" s="20">
        <f t="shared" si="43"/>
        <v>1</v>
      </c>
      <c r="K169" s="20">
        <f t="shared" si="44"/>
        <v>1</v>
      </c>
      <c r="L169" s="20">
        <f t="shared" si="45"/>
        <v>1</v>
      </c>
      <c r="M169" s="20">
        <f t="shared" si="46"/>
        <v>1</v>
      </c>
      <c r="N169" s="20">
        <f t="shared" si="47"/>
        <v>0</v>
      </c>
      <c r="O169" s="20">
        <f t="shared" si="48"/>
        <v>0</v>
      </c>
      <c r="P169" s="20">
        <f t="shared" si="49"/>
        <v>0</v>
      </c>
      <c r="T169" s="44"/>
      <c r="U169" s="46">
        <v>1</v>
      </c>
      <c r="V169" s="46">
        <v>1</v>
      </c>
      <c r="W169" s="46">
        <v>1</v>
      </c>
      <c r="X169" s="46">
        <v>0</v>
      </c>
      <c r="Y169" s="46">
        <v>0</v>
      </c>
      <c r="Z169" s="46">
        <v>1</v>
      </c>
      <c r="AA169" s="46">
        <v>0</v>
      </c>
      <c r="AB169" s="46">
        <v>0</v>
      </c>
      <c r="AC169" s="49"/>
    </row>
    <row r="170" spans="1:29" ht="45.75" customHeight="1">
      <c r="A170" s="43"/>
      <c r="B170" s="20">
        <f t="shared" si="35"/>
        <v>2</v>
      </c>
      <c r="C170" s="20">
        <f t="shared" si="36"/>
        <v>8</v>
      </c>
      <c r="D170" s="21">
        <f t="shared" si="37"/>
        <v>5</v>
      </c>
      <c r="E170" s="22">
        <f t="shared" si="38"/>
        <v>2</v>
      </c>
      <c r="F170" s="22">
        <f t="shared" si="39"/>
        <v>0</v>
      </c>
      <c r="G170" s="22">
        <f t="shared" si="40"/>
        <v>0</v>
      </c>
      <c r="H170" s="23">
        <f t="shared" si="41"/>
        <v>1</v>
      </c>
      <c r="I170" s="24">
        <f t="shared" si="42"/>
        <v>1</v>
      </c>
      <c r="J170" s="20">
        <f t="shared" si="43"/>
        <v>1</v>
      </c>
      <c r="K170" s="20">
        <f t="shared" si="44"/>
        <v>1</v>
      </c>
      <c r="L170" s="20">
        <f t="shared" si="45"/>
        <v>0</v>
      </c>
      <c r="M170" s="20">
        <f t="shared" si="46"/>
        <v>0</v>
      </c>
      <c r="N170" s="20">
        <f t="shared" si="47"/>
        <v>0</v>
      </c>
      <c r="O170" s="20">
        <f t="shared" si="48"/>
        <v>0</v>
      </c>
      <c r="P170" s="20">
        <f t="shared" si="49"/>
        <v>0</v>
      </c>
      <c r="T170" s="44"/>
      <c r="U170" s="46">
        <v>1</v>
      </c>
      <c r="V170" s="46">
        <v>0</v>
      </c>
      <c r="W170" s="46">
        <v>0</v>
      </c>
      <c r="X170" s="46">
        <v>0</v>
      </c>
      <c r="Y170" s="46">
        <v>0</v>
      </c>
      <c r="Z170" s="46">
        <v>1</v>
      </c>
      <c r="AA170" s="46">
        <v>0</v>
      </c>
      <c r="AB170" s="46">
        <v>0</v>
      </c>
      <c r="AC170" s="49"/>
    </row>
    <row r="171" spans="1:29" ht="45.75" customHeight="1">
      <c r="A171" s="43"/>
      <c r="B171" s="20">
        <f t="shared" si="35"/>
        <v>2</v>
      </c>
      <c r="C171" s="20">
        <f t="shared" si="36"/>
        <v>8</v>
      </c>
      <c r="D171" s="21">
        <f t="shared" si="37"/>
        <v>5</v>
      </c>
      <c r="E171" s="22">
        <f t="shared" si="38"/>
        <v>2</v>
      </c>
      <c r="F171" s="22">
        <f t="shared" si="39"/>
        <v>0</v>
      </c>
      <c r="G171" s="22">
        <f t="shared" si="40"/>
        <v>0</v>
      </c>
      <c r="H171" s="23">
        <f t="shared" si="41"/>
        <v>1</v>
      </c>
      <c r="I171" s="24">
        <f t="shared" si="42"/>
        <v>1</v>
      </c>
      <c r="J171" s="20">
        <f t="shared" si="43"/>
        <v>1</v>
      </c>
      <c r="K171" s="20">
        <f t="shared" si="44"/>
        <v>1</v>
      </c>
      <c r="L171" s="20">
        <f t="shared" si="45"/>
        <v>0</v>
      </c>
      <c r="M171" s="20">
        <f t="shared" si="46"/>
        <v>0</v>
      </c>
      <c r="N171" s="20">
        <f t="shared" si="47"/>
        <v>0</v>
      </c>
      <c r="O171" s="20">
        <f t="shared" si="48"/>
        <v>0</v>
      </c>
      <c r="P171" s="20">
        <f t="shared" si="49"/>
        <v>0</v>
      </c>
      <c r="T171" s="44"/>
      <c r="U171" s="46">
        <v>1</v>
      </c>
      <c r="V171" s="46">
        <v>0</v>
      </c>
      <c r="W171" s="46">
        <v>0</v>
      </c>
      <c r="X171" s="46">
        <v>0</v>
      </c>
      <c r="Y171" s="46">
        <v>0</v>
      </c>
      <c r="Z171" s="46">
        <v>1</v>
      </c>
      <c r="AA171" s="46">
        <v>0</v>
      </c>
      <c r="AB171" s="46">
        <v>0</v>
      </c>
      <c r="AC171" s="49"/>
    </row>
    <row r="172" spans="1:29" ht="45.75" customHeight="1">
      <c r="A172" s="43"/>
      <c r="B172" s="20">
        <f t="shared" si="35"/>
        <v>4</v>
      </c>
      <c r="C172" s="20">
        <f t="shared" si="36"/>
        <v>8</v>
      </c>
      <c r="D172" s="21">
        <f t="shared" si="37"/>
        <v>5</v>
      </c>
      <c r="E172" s="22">
        <f t="shared" si="38"/>
        <v>1</v>
      </c>
      <c r="F172" s="22">
        <f t="shared" si="39"/>
        <v>3</v>
      </c>
      <c r="G172" s="22">
        <f t="shared" si="40"/>
        <v>0</v>
      </c>
      <c r="H172" s="23">
        <f t="shared" si="41"/>
        <v>1</v>
      </c>
      <c r="I172" s="24">
        <f t="shared" si="42"/>
        <v>1</v>
      </c>
      <c r="J172" s="20">
        <f t="shared" si="43"/>
        <v>1</v>
      </c>
      <c r="K172" s="20">
        <f t="shared" si="44"/>
        <v>1</v>
      </c>
      <c r="L172" s="20">
        <f t="shared" si="45"/>
        <v>0</v>
      </c>
      <c r="M172" s="20">
        <f t="shared" si="46"/>
        <v>0</v>
      </c>
      <c r="N172" s="20">
        <f t="shared" si="47"/>
        <v>0</v>
      </c>
      <c r="O172" s="20">
        <f t="shared" si="48"/>
        <v>0</v>
      </c>
      <c r="P172" s="20">
        <f t="shared" si="49"/>
        <v>0</v>
      </c>
      <c r="T172" s="44"/>
      <c r="U172" s="46">
        <v>1</v>
      </c>
      <c r="V172" s="46">
        <v>1</v>
      </c>
      <c r="W172" s="46">
        <v>1</v>
      </c>
      <c r="X172" s="46">
        <v>1</v>
      </c>
      <c r="Y172" s="46">
        <v>0</v>
      </c>
      <c r="Z172" s="46">
        <v>0</v>
      </c>
      <c r="AA172" s="46">
        <v>0</v>
      </c>
      <c r="AB172" s="46">
        <v>0</v>
      </c>
      <c r="AC172" s="49"/>
    </row>
    <row r="173" spans="1:29" ht="45.75" customHeight="1">
      <c r="A173" s="43"/>
      <c r="B173" s="20">
        <f t="shared" si="35"/>
        <v>4</v>
      </c>
      <c r="C173" s="20">
        <f t="shared" si="36"/>
        <v>8</v>
      </c>
      <c r="D173" s="21">
        <f t="shared" si="37"/>
        <v>6</v>
      </c>
      <c r="E173" s="22">
        <f t="shared" si="38"/>
        <v>2</v>
      </c>
      <c r="F173" s="22">
        <f t="shared" si="39"/>
        <v>1</v>
      </c>
      <c r="G173" s="22">
        <f t="shared" si="40"/>
        <v>1</v>
      </c>
      <c r="H173" s="23">
        <f t="shared" si="41"/>
        <v>1</v>
      </c>
      <c r="I173" s="24">
        <f t="shared" si="42"/>
        <v>1</v>
      </c>
      <c r="J173" s="20">
        <f t="shared" si="43"/>
        <v>1</v>
      </c>
      <c r="K173" s="20">
        <f t="shared" si="44"/>
        <v>1</v>
      </c>
      <c r="L173" s="20">
        <f t="shared" si="45"/>
        <v>1</v>
      </c>
      <c r="M173" s="20">
        <f t="shared" si="46"/>
        <v>1</v>
      </c>
      <c r="N173" s="20">
        <f t="shared" si="47"/>
        <v>0</v>
      </c>
      <c r="O173" s="20">
        <f t="shared" si="48"/>
        <v>0</v>
      </c>
      <c r="P173" s="20">
        <f t="shared" si="49"/>
        <v>0</v>
      </c>
      <c r="T173" s="44"/>
      <c r="U173" s="46">
        <v>1</v>
      </c>
      <c r="V173" s="46">
        <v>0</v>
      </c>
      <c r="W173" s="46">
        <v>1</v>
      </c>
      <c r="X173" s="46">
        <v>0</v>
      </c>
      <c r="Y173" s="46">
        <v>1</v>
      </c>
      <c r="Z173" s="46">
        <v>1</v>
      </c>
      <c r="AA173" s="46">
        <v>0</v>
      </c>
      <c r="AB173" s="46">
        <v>0</v>
      </c>
      <c r="AC173" s="49"/>
    </row>
    <row r="174" spans="1:29" ht="45.75" customHeight="1">
      <c r="A174" s="43"/>
      <c r="B174" s="20">
        <f t="shared" si="35"/>
        <v>2</v>
      </c>
      <c r="C174" s="20">
        <f t="shared" si="36"/>
        <v>8</v>
      </c>
      <c r="D174" s="21">
        <f t="shared" si="37"/>
        <v>5</v>
      </c>
      <c r="E174" s="22">
        <f t="shared" si="38"/>
        <v>2</v>
      </c>
      <c r="F174" s="22">
        <f t="shared" si="39"/>
        <v>0</v>
      </c>
      <c r="G174" s="22">
        <f t="shared" si="40"/>
        <v>0</v>
      </c>
      <c r="H174" s="23">
        <f t="shared" si="41"/>
        <v>1</v>
      </c>
      <c r="I174" s="24">
        <f t="shared" si="42"/>
        <v>1</v>
      </c>
      <c r="J174" s="20">
        <f t="shared" si="43"/>
        <v>1</v>
      </c>
      <c r="K174" s="20">
        <f t="shared" si="44"/>
        <v>1</v>
      </c>
      <c r="L174" s="20">
        <f t="shared" si="45"/>
        <v>0</v>
      </c>
      <c r="M174" s="20">
        <f t="shared" si="46"/>
        <v>0</v>
      </c>
      <c r="N174" s="20">
        <f t="shared" si="47"/>
        <v>0</v>
      </c>
      <c r="O174" s="20">
        <f t="shared" si="48"/>
        <v>0</v>
      </c>
      <c r="P174" s="20">
        <f t="shared" si="49"/>
        <v>0</v>
      </c>
      <c r="T174" s="44"/>
      <c r="U174" s="46">
        <v>1</v>
      </c>
      <c r="V174" s="46">
        <v>0</v>
      </c>
      <c r="W174" s="46">
        <v>0</v>
      </c>
      <c r="X174" s="46">
        <v>0</v>
      </c>
      <c r="Y174" s="46">
        <v>0</v>
      </c>
      <c r="Z174" s="46">
        <v>1</v>
      </c>
      <c r="AA174" s="46">
        <v>0</v>
      </c>
      <c r="AB174" s="46">
        <v>0</v>
      </c>
      <c r="AC174" s="49"/>
    </row>
    <row r="175" spans="1:29" ht="45.75" customHeight="1">
      <c r="A175" s="43"/>
      <c r="B175" s="20">
        <f t="shared" si="35"/>
        <v>2</v>
      </c>
      <c r="C175" s="20">
        <f t="shared" si="36"/>
        <v>8</v>
      </c>
      <c r="D175" s="21">
        <f t="shared" si="37"/>
        <v>5</v>
      </c>
      <c r="E175" s="22">
        <f t="shared" si="38"/>
        <v>2</v>
      </c>
      <c r="F175" s="22">
        <f t="shared" si="39"/>
        <v>0</v>
      </c>
      <c r="G175" s="22">
        <f t="shared" si="40"/>
        <v>0</v>
      </c>
      <c r="H175" s="23">
        <f t="shared" si="41"/>
        <v>1</v>
      </c>
      <c r="I175" s="24">
        <f t="shared" si="42"/>
        <v>1</v>
      </c>
      <c r="J175" s="20">
        <f t="shared" si="43"/>
        <v>1</v>
      </c>
      <c r="K175" s="20">
        <f t="shared" si="44"/>
        <v>1</v>
      </c>
      <c r="L175" s="20">
        <f t="shared" si="45"/>
        <v>0</v>
      </c>
      <c r="M175" s="20">
        <f t="shared" si="46"/>
        <v>0</v>
      </c>
      <c r="N175" s="20">
        <f t="shared" si="47"/>
        <v>0</v>
      </c>
      <c r="O175" s="20">
        <f t="shared" si="48"/>
        <v>0</v>
      </c>
      <c r="P175" s="20">
        <f t="shared" si="49"/>
        <v>0</v>
      </c>
      <c r="T175" s="44"/>
      <c r="U175" s="46">
        <v>1</v>
      </c>
      <c r="V175" s="46">
        <v>0</v>
      </c>
      <c r="W175" s="46">
        <v>0</v>
      </c>
      <c r="X175" s="46">
        <v>0</v>
      </c>
      <c r="Y175" s="46">
        <v>0</v>
      </c>
      <c r="Z175" s="46">
        <v>1</v>
      </c>
      <c r="AA175" s="46">
        <v>0</v>
      </c>
      <c r="AB175" s="46">
        <v>0</v>
      </c>
      <c r="AC175" s="49"/>
    </row>
    <row r="176" spans="1:29" ht="45.75" customHeight="1">
      <c r="A176" s="43"/>
      <c r="B176" s="20">
        <f t="shared" si="35"/>
        <v>3</v>
      </c>
      <c r="C176" s="20">
        <f t="shared" si="36"/>
        <v>8</v>
      </c>
      <c r="D176" s="21">
        <f t="shared" si="37"/>
        <v>6</v>
      </c>
      <c r="E176" s="22">
        <f t="shared" si="38"/>
        <v>2</v>
      </c>
      <c r="F176" s="22">
        <f t="shared" si="39"/>
        <v>1</v>
      </c>
      <c r="G176" s="22">
        <f t="shared" si="40"/>
        <v>0</v>
      </c>
      <c r="H176" s="23">
        <f t="shared" si="41"/>
        <v>1</v>
      </c>
      <c r="I176" s="24">
        <f t="shared" si="42"/>
        <v>1</v>
      </c>
      <c r="J176" s="20">
        <f t="shared" si="43"/>
        <v>1</v>
      </c>
      <c r="K176" s="20">
        <f t="shared" si="44"/>
        <v>1</v>
      </c>
      <c r="L176" s="20">
        <f t="shared" si="45"/>
        <v>1</v>
      </c>
      <c r="M176" s="20">
        <f t="shared" si="46"/>
        <v>0</v>
      </c>
      <c r="N176" s="20">
        <f t="shared" si="47"/>
        <v>0</v>
      </c>
      <c r="O176" s="20">
        <f t="shared" si="48"/>
        <v>0</v>
      </c>
      <c r="P176" s="20">
        <f t="shared" si="49"/>
        <v>0</v>
      </c>
      <c r="T176" s="44"/>
      <c r="U176" s="46">
        <v>1</v>
      </c>
      <c r="V176" s="46">
        <v>0</v>
      </c>
      <c r="W176" s="46">
        <v>1</v>
      </c>
      <c r="X176" s="46">
        <v>0</v>
      </c>
      <c r="Y176" s="46">
        <v>0</v>
      </c>
      <c r="Z176" s="46">
        <v>1</v>
      </c>
      <c r="AA176" s="46">
        <v>0</v>
      </c>
      <c r="AB176" s="46">
        <v>0</v>
      </c>
      <c r="AC176" s="49"/>
    </row>
    <row r="177" spans="1:29" ht="45.75" customHeight="1">
      <c r="A177" s="43"/>
      <c r="B177" s="20">
        <f t="shared" si="35"/>
        <v>2</v>
      </c>
      <c r="C177" s="20">
        <f t="shared" si="36"/>
        <v>8</v>
      </c>
      <c r="D177" s="21">
        <f t="shared" si="37"/>
        <v>5</v>
      </c>
      <c r="E177" s="22">
        <f t="shared" si="38"/>
        <v>2</v>
      </c>
      <c r="F177" s="22">
        <f t="shared" si="39"/>
        <v>0</v>
      </c>
      <c r="G177" s="22">
        <f t="shared" si="40"/>
        <v>0</v>
      </c>
      <c r="H177" s="23">
        <f t="shared" si="41"/>
        <v>1</v>
      </c>
      <c r="I177" s="24">
        <f t="shared" si="42"/>
        <v>1</v>
      </c>
      <c r="J177" s="20">
        <f t="shared" si="43"/>
        <v>1</v>
      </c>
      <c r="K177" s="20">
        <f t="shared" si="44"/>
        <v>1</v>
      </c>
      <c r="L177" s="20">
        <f t="shared" si="45"/>
        <v>0</v>
      </c>
      <c r="M177" s="20">
        <f t="shared" si="46"/>
        <v>0</v>
      </c>
      <c r="N177" s="20">
        <f t="shared" si="47"/>
        <v>0</v>
      </c>
      <c r="O177" s="20">
        <f t="shared" si="48"/>
        <v>0</v>
      </c>
      <c r="P177" s="20">
        <f t="shared" si="49"/>
        <v>0</v>
      </c>
      <c r="T177" s="44"/>
      <c r="U177" s="46">
        <v>1</v>
      </c>
      <c r="V177" s="46">
        <v>0</v>
      </c>
      <c r="W177" s="46">
        <v>0</v>
      </c>
      <c r="X177" s="46">
        <v>0</v>
      </c>
      <c r="Y177" s="46">
        <v>0</v>
      </c>
      <c r="Z177" s="46">
        <v>1</v>
      </c>
      <c r="AA177" s="46">
        <v>0</v>
      </c>
      <c r="AB177" s="46">
        <v>0</v>
      </c>
      <c r="AC177" s="49"/>
    </row>
    <row r="178" spans="1:29" ht="45.75" customHeight="1">
      <c r="A178" s="43"/>
      <c r="B178" s="20">
        <f t="shared" si="35"/>
        <v>5</v>
      </c>
      <c r="C178" s="20">
        <f t="shared" si="36"/>
        <v>8</v>
      </c>
      <c r="D178" s="21">
        <f t="shared" si="37"/>
        <v>7</v>
      </c>
      <c r="E178" s="22">
        <f t="shared" si="38"/>
        <v>2</v>
      </c>
      <c r="F178" s="22">
        <f t="shared" si="39"/>
        <v>3</v>
      </c>
      <c r="G178" s="22">
        <f t="shared" si="40"/>
        <v>0</v>
      </c>
      <c r="H178" s="23">
        <f t="shared" si="41"/>
        <v>1</v>
      </c>
      <c r="I178" s="24">
        <f t="shared" si="42"/>
        <v>1</v>
      </c>
      <c r="J178" s="20">
        <f t="shared" si="43"/>
        <v>1</v>
      </c>
      <c r="K178" s="20">
        <f t="shared" si="44"/>
        <v>1</v>
      </c>
      <c r="L178" s="20">
        <f t="shared" si="45"/>
        <v>1</v>
      </c>
      <c r="M178" s="20">
        <f t="shared" si="46"/>
        <v>1</v>
      </c>
      <c r="N178" s="20">
        <f t="shared" si="47"/>
        <v>0</v>
      </c>
      <c r="O178" s="20">
        <f t="shared" si="48"/>
        <v>0</v>
      </c>
      <c r="P178" s="20">
        <f t="shared" si="49"/>
        <v>0</v>
      </c>
      <c r="T178" s="44"/>
      <c r="U178" s="46">
        <v>1</v>
      </c>
      <c r="V178" s="46">
        <v>1</v>
      </c>
      <c r="W178" s="46">
        <v>1</v>
      </c>
      <c r="X178" s="46">
        <v>1</v>
      </c>
      <c r="Y178" s="46">
        <v>0</v>
      </c>
      <c r="Z178" s="46">
        <v>1</v>
      </c>
      <c r="AA178" s="46">
        <v>0</v>
      </c>
      <c r="AB178" s="46">
        <v>0</v>
      </c>
      <c r="AC178" s="49"/>
    </row>
    <row r="179" spans="1:29" ht="45.75" customHeight="1">
      <c r="A179" s="43"/>
      <c r="B179" s="20">
        <f t="shared" si="35"/>
        <v>5</v>
      </c>
      <c r="C179" s="20">
        <f t="shared" si="36"/>
        <v>8</v>
      </c>
      <c r="D179" s="21">
        <f t="shared" si="37"/>
        <v>7</v>
      </c>
      <c r="E179" s="22">
        <f t="shared" si="38"/>
        <v>2</v>
      </c>
      <c r="F179" s="22">
        <f t="shared" si="39"/>
        <v>3</v>
      </c>
      <c r="G179" s="22">
        <f t="shared" si="40"/>
        <v>0</v>
      </c>
      <c r="H179" s="23">
        <f t="shared" si="41"/>
        <v>1</v>
      </c>
      <c r="I179" s="24">
        <f t="shared" si="42"/>
        <v>1</v>
      </c>
      <c r="J179" s="20">
        <f t="shared" si="43"/>
        <v>1</v>
      </c>
      <c r="K179" s="20">
        <f t="shared" si="44"/>
        <v>1</v>
      </c>
      <c r="L179" s="20">
        <f t="shared" si="45"/>
        <v>1</v>
      </c>
      <c r="M179" s="20">
        <f t="shared" si="46"/>
        <v>1</v>
      </c>
      <c r="N179" s="20">
        <f t="shared" si="47"/>
        <v>0</v>
      </c>
      <c r="O179" s="20">
        <f t="shared" si="48"/>
        <v>0</v>
      </c>
      <c r="P179" s="20">
        <f t="shared" si="49"/>
        <v>0</v>
      </c>
      <c r="T179" s="44"/>
      <c r="U179" s="46">
        <v>1</v>
      </c>
      <c r="V179" s="46">
        <v>1</v>
      </c>
      <c r="W179" s="46">
        <v>1</v>
      </c>
      <c r="X179" s="46">
        <v>1</v>
      </c>
      <c r="Y179" s="46">
        <v>0</v>
      </c>
      <c r="Z179" s="46">
        <v>1</v>
      </c>
      <c r="AA179" s="46">
        <v>0</v>
      </c>
      <c r="AB179" s="46">
        <v>0</v>
      </c>
      <c r="AC179" s="49"/>
    </row>
    <row r="180" spans="1:29" ht="45.75" customHeight="1">
      <c r="A180" s="43"/>
      <c r="B180" s="20">
        <f t="shared" si="35"/>
        <v>3</v>
      </c>
      <c r="C180" s="20">
        <f t="shared" si="36"/>
        <v>8</v>
      </c>
      <c r="D180" s="21">
        <f t="shared" si="37"/>
        <v>6</v>
      </c>
      <c r="E180" s="22">
        <f t="shared" si="38"/>
        <v>2</v>
      </c>
      <c r="F180" s="22">
        <f t="shared" si="39"/>
        <v>1</v>
      </c>
      <c r="G180" s="22">
        <f t="shared" si="40"/>
        <v>0</v>
      </c>
      <c r="H180" s="23">
        <f t="shared" si="41"/>
        <v>1</v>
      </c>
      <c r="I180" s="24">
        <f t="shared" si="42"/>
        <v>1</v>
      </c>
      <c r="J180" s="20">
        <f t="shared" si="43"/>
        <v>1</v>
      </c>
      <c r="K180" s="20">
        <f t="shared" si="44"/>
        <v>1</v>
      </c>
      <c r="L180" s="20">
        <f t="shared" si="45"/>
        <v>1</v>
      </c>
      <c r="M180" s="20">
        <f t="shared" si="46"/>
        <v>0</v>
      </c>
      <c r="N180" s="20">
        <f t="shared" si="47"/>
        <v>0</v>
      </c>
      <c r="O180" s="20">
        <f t="shared" si="48"/>
        <v>0</v>
      </c>
      <c r="P180" s="20">
        <f t="shared" si="49"/>
        <v>0</v>
      </c>
      <c r="T180" s="44"/>
      <c r="U180" s="46">
        <v>1</v>
      </c>
      <c r="V180" s="46">
        <v>0</v>
      </c>
      <c r="W180" s="46">
        <v>1</v>
      </c>
      <c r="X180" s="46">
        <v>0</v>
      </c>
      <c r="Y180" s="46">
        <v>0</v>
      </c>
      <c r="Z180" s="46">
        <v>1</v>
      </c>
      <c r="AA180" s="46">
        <v>0</v>
      </c>
      <c r="AB180" s="46">
        <v>0</v>
      </c>
      <c r="AC180" s="49"/>
    </row>
    <row r="181" spans="1:29" ht="45.75" customHeight="1">
      <c r="A181" s="43"/>
      <c r="B181" s="20">
        <f t="shared" si="35"/>
        <v>2</v>
      </c>
      <c r="C181" s="20">
        <f t="shared" si="36"/>
        <v>8</v>
      </c>
      <c r="D181" s="21">
        <f t="shared" si="37"/>
        <v>5</v>
      </c>
      <c r="E181" s="22">
        <f t="shared" si="38"/>
        <v>2</v>
      </c>
      <c r="F181" s="22">
        <f t="shared" si="39"/>
        <v>0</v>
      </c>
      <c r="G181" s="22">
        <f t="shared" si="40"/>
        <v>0</v>
      </c>
      <c r="H181" s="23">
        <f t="shared" si="41"/>
        <v>1</v>
      </c>
      <c r="I181" s="24">
        <f t="shared" si="42"/>
        <v>1</v>
      </c>
      <c r="J181" s="20">
        <f t="shared" si="43"/>
        <v>1</v>
      </c>
      <c r="K181" s="20">
        <f t="shared" si="44"/>
        <v>1</v>
      </c>
      <c r="L181" s="20">
        <f t="shared" si="45"/>
        <v>0</v>
      </c>
      <c r="M181" s="20">
        <f t="shared" si="46"/>
        <v>0</v>
      </c>
      <c r="N181" s="20">
        <f t="shared" si="47"/>
        <v>0</v>
      </c>
      <c r="O181" s="20">
        <f t="shared" si="48"/>
        <v>0</v>
      </c>
      <c r="P181" s="20">
        <f t="shared" si="49"/>
        <v>0</v>
      </c>
      <c r="T181" s="44"/>
      <c r="U181" s="46">
        <v>1</v>
      </c>
      <c r="V181" s="46">
        <v>0</v>
      </c>
      <c r="W181" s="46">
        <v>0</v>
      </c>
      <c r="X181" s="46">
        <v>0</v>
      </c>
      <c r="Y181" s="46">
        <v>0</v>
      </c>
      <c r="Z181" s="46">
        <v>1</v>
      </c>
      <c r="AA181" s="46">
        <v>0</v>
      </c>
      <c r="AB181" s="46">
        <v>0</v>
      </c>
      <c r="AC181" s="49"/>
    </row>
    <row r="182" spans="1:29" ht="45.75" customHeight="1">
      <c r="A182" s="43"/>
      <c r="B182" s="20">
        <f t="shared" si="35"/>
        <v>2</v>
      </c>
      <c r="C182" s="20">
        <f t="shared" si="36"/>
        <v>8</v>
      </c>
      <c r="D182" s="21">
        <f t="shared" si="37"/>
        <v>5</v>
      </c>
      <c r="E182" s="22">
        <f t="shared" si="38"/>
        <v>2</v>
      </c>
      <c r="F182" s="22">
        <f t="shared" si="39"/>
        <v>0</v>
      </c>
      <c r="G182" s="22">
        <f t="shared" si="40"/>
        <v>0</v>
      </c>
      <c r="H182" s="23">
        <f t="shared" si="41"/>
        <v>1</v>
      </c>
      <c r="I182" s="24">
        <f t="shared" si="42"/>
        <v>1</v>
      </c>
      <c r="J182" s="20">
        <f t="shared" si="43"/>
        <v>1</v>
      </c>
      <c r="K182" s="20">
        <f t="shared" si="44"/>
        <v>1</v>
      </c>
      <c r="L182" s="20">
        <f t="shared" si="45"/>
        <v>0</v>
      </c>
      <c r="M182" s="20">
        <f t="shared" si="46"/>
        <v>0</v>
      </c>
      <c r="N182" s="20">
        <f t="shared" si="47"/>
        <v>0</v>
      </c>
      <c r="O182" s="20">
        <f t="shared" si="48"/>
        <v>0</v>
      </c>
      <c r="P182" s="20">
        <f t="shared" si="49"/>
        <v>0</v>
      </c>
      <c r="T182" s="44"/>
      <c r="U182" s="46">
        <v>1</v>
      </c>
      <c r="V182" s="46">
        <v>0</v>
      </c>
      <c r="W182" s="46">
        <v>0</v>
      </c>
      <c r="X182" s="46">
        <v>0</v>
      </c>
      <c r="Y182" s="46">
        <v>0</v>
      </c>
      <c r="Z182" s="46">
        <v>1</v>
      </c>
      <c r="AA182" s="46">
        <v>0</v>
      </c>
      <c r="AB182" s="46">
        <v>0</v>
      </c>
      <c r="AC182" s="49"/>
    </row>
    <row r="183" spans="1:29" ht="45.75" customHeight="1">
      <c r="A183" s="43"/>
      <c r="B183" s="20">
        <f t="shared" si="35"/>
        <v>3</v>
      </c>
      <c r="C183" s="20">
        <f t="shared" si="36"/>
        <v>8</v>
      </c>
      <c r="D183" s="21">
        <f t="shared" si="37"/>
        <v>6</v>
      </c>
      <c r="E183" s="22">
        <f t="shared" si="38"/>
        <v>2</v>
      </c>
      <c r="F183" s="22">
        <f t="shared" si="39"/>
        <v>1</v>
      </c>
      <c r="G183" s="22">
        <f t="shared" si="40"/>
        <v>0</v>
      </c>
      <c r="H183" s="23">
        <f t="shared" si="41"/>
        <v>1</v>
      </c>
      <c r="I183" s="24">
        <f t="shared" si="42"/>
        <v>1</v>
      </c>
      <c r="J183" s="20">
        <f t="shared" si="43"/>
        <v>1</v>
      </c>
      <c r="K183" s="20">
        <f t="shared" si="44"/>
        <v>1</v>
      </c>
      <c r="L183" s="20">
        <f t="shared" si="45"/>
        <v>1</v>
      </c>
      <c r="M183" s="20">
        <f t="shared" si="46"/>
        <v>0</v>
      </c>
      <c r="N183" s="20">
        <f t="shared" si="47"/>
        <v>0</v>
      </c>
      <c r="O183" s="20">
        <f t="shared" si="48"/>
        <v>0</v>
      </c>
      <c r="P183" s="20">
        <f t="shared" si="49"/>
        <v>0</v>
      </c>
      <c r="T183" s="44"/>
      <c r="U183" s="46">
        <v>1</v>
      </c>
      <c r="V183" s="46">
        <v>1</v>
      </c>
      <c r="W183" s="46">
        <v>0</v>
      </c>
      <c r="X183" s="46">
        <v>0</v>
      </c>
      <c r="Y183" s="46">
        <v>0</v>
      </c>
      <c r="Z183" s="46">
        <v>1</v>
      </c>
      <c r="AA183" s="46">
        <v>0</v>
      </c>
      <c r="AB183" s="46">
        <v>0</v>
      </c>
      <c r="AC183" s="49"/>
    </row>
    <row r="184" spans="1:29" ht="45.75" customHeight="1">
      <c r="A184" s="43"/>
      <c r="B184" s="20">
        <f t="shared" si="35"/>
        <v>2</v>
      </c>
      <c r="C184" s="20">
        <f t="shared" si="36"/>
        <v>8</v>
      </c>
      <c r="D184" s="21">
        <f t="shared" si="37"/>
        <v>5</v>
      </c>
      <c r="E184" s="22">
        <f t="shared" si="38"/>
        <v>2</v>
      </c>
      <c r="F184" s="22">
        <f t="shared" si="39"/>
        <v>0</v>
      </c>
      <c r="G184" s="22">
        <f t="shared" si="40"/>
        <v>0</v>
      </c>
      <c r="H184" s="23">
        <f t="shared" si="41"/>
        <v>1</v>
      </c>
      <c r="I184" s="24">
        <f t="shared" si="42"/>
        <v>1</v>
      </c>
      <c r="J184" s="20">
        <f t="shared" si="43"/>
        <v>1</v>
      </c>
      <c r="K184" s="20">
        <f t="shared" si="44"/>
        <v>1</v>
      </c>
      <c r="L184" s="20">
        <f t="shared" si="45"/>
        <v>0</v>
      </c>
      <c r="M184" s="20">
        <f t="shared" si="46"/>
        <v>0</v>
      </c>
      <c r="N184" s="20">
        <f t="shared" si="47"/>
        <v>0</v>
      </c>
      <c r="O184" s="20">
        <f t="shared" si="48"/>
        <v>0</v>
      </c>
      <c r="P184" s="20">
        <f t="shared" si="49"/>
        <v>0</v>
      </c>
      <c r="T184" s="44"/>
      <c r="U184" s="46">
        <v>1</v>
      </c>
      <c r="V184" s="46">
        <v>0</v>
      </c>
      <c r="W184" s="46">
        <v>0</v>
      </c>
      <c r="X184" s="46">
        <v>0</v>
      </c>
      <c r="Y184" s="46">
        <v>0</v>
      </c>
      <c r="Z184" s="46">
        <v>1</v>
      </c>
      <c r="AA184" s="46">
        <v>0</v>
      </c>
      <c r="AB184" s="46">
        <v>0</v>
      </c>
      <c r="AC184" s="49"/>
    </row>
    <row r="185" spans="1:29" ht="45.75" customHeight="1">
      <c r="A185" s="43"/>
      <c r="B185" s="20">
        <f t="shared" si="35"/>
        <v>2</v>
      </c>
      <c r="C185" s="20">
        <f t="shared" si="36"/>
        <v>8</v>
      </c>
      <c r="D185" s="21">
        <f t="shared" si="37"/>
        <v>5</v>
      </c>
      <c r="E185" s="22">
        <f t="shared" si="38"/>
        <v>2</v>
      </c>
      <c r="F185" s="22">
        <f t="shared" si="39"/>
        <v>0</v>
      </c>
      <c r="G185" s="22">
        <f t="shared" si="40"/>
        <v>0</v>
      </c>
      <c r="H185" s="23">
        <f t="shared" si="41"/>
        <v>1</v>
      </c>
      <c r="I185" s="24">
        <f t="shared" si="42"/>
        <v>1</v>
      </c>
      <c r="J185" s="20">
        <f t="shared" si="43"/>
        <v>1</v>
      </c>
      <c r="K185" s="20">
        <f t="shared" si="44"/>
        <v>1</v>
      </c>
      <c r="L185" s="20">
        <f t="shared" si="45"/>
        <v>0</v>
      </c>
      <c r="M185" s="20">
        <f t="shared" si="46"/>
        <v>0</v>
      </c>
      <c r="N185" s="20">
        <f t="shared" si="47"/>
        <v>0</v>
      </c>
      <c r="O185" s="20">
        <f t="shared" si="48"/>
        <v>0</v>
      </c>
      <c r="P185" s="20">
        <f t="shared" si="49"/>
        <v>0</v>
      </c>
      <c r="T185" s="44"/>
      <c r="U185" s="46">
        <v>1</v>
      </c>
      <c r="V185" s="46">
        <v>0</v>
      </c>
      <c r="W185" s="46">
        <v>0</v>
      </c>
      <c r="X185" s="46">
        <v>0</v>
      </c>
      <c r="Y185" s="46">
        <v>0</v>
      </c>
      <c r="Z185" s="46">
        <v>1</v>
      </c>
      <c r="AA185" s="46">
        <v>0</v>
      </c>
      <c r="AB185" s="46">
        <v>0</v>
      </c>
      <c r="AC185" s="49"/>
    </row>
    <row r="186" spans="1:29" ht="45.75" customHeight="1">
      <c r="A186" s="43"/>
      <c r="B186" s="20">
        <f t="shared" si="35"/>
        <v>2</v>
      </c>
      <c r="C186" s="20">
        <f t="shared" si="36"/>
        <v>8</v>
      </c>
      <c r="D186" s="21">
        <f t="shared" si="37"/>
        <v>5</v>
      </c>
      <c r="E186" s="22">
        <f t="shared" si="38"/>
        <v>2</v>
      </c>
      <c r="F186" s="22">
        <f t="shared" si="39"/>
        <v>0</v>
      </c>
      <c r="G186" s="22">
        <f t="shared" si="40"/>
        <v>0</v>
      </c>
      <c r="H186" s="23">
        <f t="shared" si="41"/>
        <v>1</v>
      </c>
      <c r="I186" s="24">
        <f t="shared" si="42"/>
        <v>1</v>
      </c>
      <c r="J186" s="20">
        <f t="shared" si="43"/>
        <v>1</v>
      </c>
      <c r="K186" s="20">
        <f t="shared" si="44"/>
        <v>1</v>
      </c>
      <c r="L186" s="20">
        <f t="shared" si="45"/>
        <v>0</v>
      </c>
      <c r="M186" s="20">
        <f t="shared" si="46"/>
        <v>0</v>
      </c>
      <c r="N186" s="20">
        <f t="shared" si="47"/>
        <v>0</v>
      </c>
      <c r="O186" s="20">
        <f t="shared" si="48"/>
        <v>0</v>
      </c>
      <c r="P186" s="20">
        <f t="shared" si="49"/>
        <v>0</v>
      </c>
      <c r="T186" s="44"/>
      <c r="U186" s="46">
        <v>1</v>
      </c>
      <c r="V186" s="46">
        <v>0</v>
      </c>
      <c r="W186" s="46">
        <v>0</v>
      </c>
      <c r="X186" s="46">
        <v>0</v>
      </c>
      <c r="Y186" s="46">
        <v>0</v>
      </c>
      <c r="Z186" s="46">
        <v>1</v>
      </c>
      <c r="AA186" s="46">
        <v>0</v>
      </c>
      <c r="AB186" s="46">
        <v>0</v>
      </c>
      <c r="AC186" s="49"/>
    </row>
    <row r="187" spans="1:29" ht="45.75" customHeight="1">
      <c r="A187" s="43"/>
      <c r="B187" s="20">
        <f t="shared" si="35"/>
        <v>5</v>
      </c>
      <c r="C187" s="20">
        <f t="shared" si="36"/>
        <v>8</v>
      </c>
      <c r="D187" s="21">
        <f t="shared" si="37"/>
        <v>7</v>
      </c>
      <c r="E187" s="22">
        <f t="shared" si="38"/>
        <v>2</v>
      </c>
      <c r="F187" s="22">
        <f t="shared" si="39"/>
        <v>3</v>
      </c>
      <c r="G187" s="22">
        <f t="shared" si="40"/>
        <v>0</v>
      </c>
      <c r="H187" s="23">
        <f t="shared" si="41"/>
        <v>1</v>
      </c>
      <c r="I187" s="24">
        <f t="shared" si="42"/>
        <v>1</v>
      </c>
      <c r="J187" s="20">
        <f t="shared" si="43"/>
        <v>1</v>
      </c>
      <c r="K187" s="20">
        <f t="shared" si="44"/>
        <v>1</v>
      </c>
      <c r="L187" s="20">
        <f t="shared" si="45"/>
        <v>1</v>
      </c>
      <c r="M187" s="20">
        <f t="shared" si="46"/>
        <v>1</v>
      </c>
      <c r="N187" s="20">
        <f t="shared" si="47"/>
        <v>0</v>
      </c>
      <c r="O187" s="20">
        <f t="shared" si="48"/>
        <v>0</v>
      </c>
      <c r="P187" s="20">
        <f t="shared" si="49"/>
        <v>0</v>
      </c>
      <c r="T187" s="44"/>
      <c r="U187" s="46">
        <v>1</v>
      </c>
      <c r="V187" s="46">
        <v>1</v>
      </c>
      <c r="W187" s="46">
        <v>1</v>
      </c>
      <c r="X187" s="46">
        <v>1</v>
      </c>
      <c r="Y187" s="46">
        <v>0</v>
      </c>
      <c r="Z187" s="46">
        <v>1</v>
      </c>
      <c r="AA187" s="46">
        <v>0</v>
      </c>
      <c r="AB187" s="46">
        <v>0</v>
      </c>
      <c r="AC187" s="49"/>
    </row>
    <row r="188" spans="1:29" ht="45.75" customHeight="1">
      <c r="A188" s="43"/>
      <c r="B188" s="20">
        <f t="shared" si="35"/>
        <v>2</v>
      </c>
      <c r="C188" s="20">
        <f t="shared" si="36"/>
        <v>8</v>
      </c>
      <c r="D188" s="21">
        <f t="shared" si="37"/>
        <v>5</v>
      </c>
      <c r="E188" s="22">
        <f t="shared" si="38"/>
        <v>2</v>
      </c>
      <c r="F188" s="22">
        <f t="shared" si="39"/>
        <v>0</v>
      </c>
      <c r="G188" s="22">
        <f t="shared" si="40"/>
        <v>0</v>
      </c>
      <c r="H188" s="23">
        <f t="shared" si="41"/>
        <v>1</v>
      </c>
      <c r="I188" s="24">
        <f t="shared" si="42"/>
        <v>1</v>
      </c>
      <c r="J188" s="20">
        <f t="shared" si="43"/>
        <v>1</v>
      </c>
      <c r="K188" s="20">
        <f t="shared" si="44"/>
        <v>1</v>
      </c>
      <c r="L188" s="20">
        <f t="shared" si="45"/>
        <v>0</v>
      </c>
      <c r="M188" s="20">
        <f t="shared" si="46"/>
        <v>0</v>
      </c>
      <c r="N188" s="20">
        <f t="shared" si="47"/>
        <v>0</v>
      </c>
      <c r="O188" s="20">
        <f t="shared" si="48"/>
        <v>0</v>
      </c>
      <c r="P188" s="20">
        <f t="shared" si="49"/>
        <v>0</v>
      </c>
      <c r="T188" s="44"/>
      <c r="U188" s="46">
        <v>1</v>
      </c>
      <c r="V188" s="46">
        <v>0</v>
      </c>
      <c r="W188" s="46">
        <v>0</v>
      </c>
      <c r="X188" s="46">
        <v>0</v>
      </c>
      <c r="Y188" s="46">
        <v>0</v>
      </c>
      <c r="Z188" s="46">
        <v>1</v>
      </c>
      <c r="AA188" s="46">
        <v>0</v>
      </c>
      <c r="AB188" s="46">
        <v>0</v>
      </c>
      <c r="AC188" s="49"/>
    </row>
    <row r="189" spans="1:29" ht="45.75" customHeight="1">
      <c r="A189" s="43"/>
      <c r="B189" s="20">
        <f t="shared" si="35"/>
        <v>2</v>
      </c>
      <c r="C189" s="20">
        <f t="shared" si="36"/>
        <v>8</v>
      </c>
      <c r="D189" s="21">
        <f t="shared" si="37"/>
        <v>5</v>
      </c>
      <c r="E189" s="22">
        <f t="shared" si="38"/>
        <v>2</v>
      </c>
      <c r="F189" s="22">
        <f t="shared" si="39"/>
        <v>0</v>
      </c>
      <c r="G189" s="22">
        <f t="shared" si="40"/>
        <v>0</v>
      </c>
      <c r="H189" s="23">
        <f t="shared" si="41"/>
        <v>1</v>
      </c>
      <c r="I189" s="24">
        <f t="shared" si="42"/>
        <v>1</v>
      </c>
      <c r="J189" s="20">
        <f t="shared" si="43"/>
        <v>1</v>
      </c>
      <c r="K189" s="20">
        <f t="shared" si="44"/>
        <v>1</v>
      </c>
      <c r="L189" s="20">
        <f t="shared" si="45"/>
        <v>0</v>
      </c>
      <c r="M189" s="20">
        <f t="shared" si="46"/>
        <v>0</v>
      </c>
      <c r="N189" s="20">
        <f t="shared" si="47"/>
        <v>0</v>
      </c>
      <c r="O189" s="20">
        <f t="shared" si="48"/>
        <v>0</v>
      </c>
      <c r="P189" s="20">
        <f t="shared" si="49"/>
        <v>0</v>
      </c>
      <c r="T189" s="44"/>
      <c r="U189" s="46">
        <v>1</v>
      </c>
      <c r="V189" s="46">
        <v>0</v>
      </c>
      <c r="W189" s="46">
        <v>0</v>
      </c>
      <c r="X189" s="46">
        <v>0</v>
      </c>
      <c r="Y189" s="46">
        <v>0</v>
      </c>
      <c r="Z189" s="46">
        <v>1</v>
      </c>
      <c r="AA189" s="46">
        <v>0</v>
      </c>
      <c r="AB189" s="46">
        <v>0</v>
      </c>
      <c r="AC189" s="49"/>
    </row>
    <row r="190" spans="1:29" ht="45.75" customHeight="1">
      <c r="A190" s="43"/>
      <c r="B190" s="20">
        <f t="shared" si="35"/>
        <v>5</v>
      </c>
      <c r="C190" s="20">
        <f t="shared" si="36"/>
        <v>8</v>
      </c>
      <c r="D190" s="21">
        <f t="shared" si="37"/>
        <v>7</v>
      </c>
      <c r="E190" s="22">
        <f t="shared" si="38"/>
        <v>2</v>
      </c>
      <c r="F190" s="22">
        <f t="shared" si="39"/>
        <v>3</v>
      </c>
      <c r="G190" s="22">
        <f t="shared" si="40"/>
        <v>0</v>
      </c>
      <c r="H190" s="23">
        <f t="shared" si="41"/>
        <v>1</v>
      </c>
      <c r="I190" s="24">
        <f t="shared" si="42"/>
        <v>1</v>
      </c>
      <c r="J190" s="20">
        <f t="shared" si="43"/>
        <v>1</v>
      </c>
      <c r="K190" s="20">
        <f t="shared" si="44"/>
        <v>1</v>
      </c>
      <c r="L190" s="20">
        <f t="shared" si="45"/>
        <v>1</v>
      </c>
      <c r="M190" s="20">
        <f t="shared" si="46"/>
        <v>1</v>
      </c>
      <c r="N190" s="20">
        <f t="shared" si="47"/>
        <v>0</v>
      </c>
      <c r="O190" s="20">
        <f t="shared" si="48"/>
        <v>0</v>
      </c>
      <c r="P190" s="20">
        <f t="shared" si="49"/>
        <v>0</v>
      </c>
      <c r="T190" s="44"/>
      <c r="U190" s="46">
        <v>1</v>
      </c>
      <c r="V190" s="46">
        <v>1</v>
      </c>
      <c r="W190" s="46">
        <v>1</v>
      </c>
      <c r="X190" s="46">
        <v>1</v>
      </c>
      <c r="Y190" s="46">
        <v>0</v>
      </c>
      <c r="Z190" s="46">
        <v>1</v>
      </c>
      <c r="AA190" s="46">
        <v>0</v>
      </c>
      <c r="AB190" s="46">
        <v>0</v>
      </c>
      <c r="AC190" s="49"/>
    </row>
    <row r="191" spans="1:29" ht="45.75" customHeight="1">
      <c r="A191" s="43"/>
      <c r="B191" s="20">
        <f t="shared" si="35"/>
        <v>2</v>
      </c>
      <c r="C191" s="20">
        <f t="shared" si="36"/>
        <v>8</v>
      </c>
      <c r="D191" s="21">
        <f t="shared" si="37"/>
        <v>5</v>
      </c>
      <c r="E191" s="22">
        <f t="shared" si="38"/>
        <v>2</v>
      </c>
      <c r="F191" s="22">
        <f t="shared" si="39"/>
        <v>0</v>
      </c>
      <c r="G191" s="22">
        <f t="shared" si="40"/>
        <v>0</v>
      </c>
      <c r="H191" s="23">
        <f t="shared" si="41"/>
        <v>1</v>
      </c>
      <c r="I191" s="24">
        <f t="shared" si="42"/>
        <v>1</v>
      </c>
      <c r="J191" s="20">
        <f t="shared" si="43"/>
        <v>1</v>
      </c>
      <c r="K191" s="20">
        <f t="shared" si="44"/>
        <v>1</v>
      </c>
      <c r="L191" s="20">
        <f t="shared" si="45"/>
        <v>0</v>
      </c>
      <c r="M191" s="20">
        <f t="shared" si="46"/>
        <v>0</v>
      </c>
      <c r="N191" s="20">
        <f t="shared" si="47"/>
        <v>0</v>
      </c>
      <c r="O191" s="20">
        <f t="shared" si="48"/>
        <v>0</v>
      </c>
      <c r="P191" s="20">
        <f t="shared" si="49"/>
        <v>0</v>
      </c>
      <c r="T191" s="44"/>
      <c r="U191" s="46">
        <v>1</v>
      </c>
      <c r="V191" s="46">
        <v>0</v>
      </c>
      <c r="W191" s="46">
        <v>0</v>
      </c>
      <c r="X191" s="46">
        <v>0</v>
      </c>
      <c r="Y191" s="46">
        <v>0</v>
      </c>
      <c r="Z191" s="46">
        <v>1</v>
      </c>
      <c r="AA191" s="46">
        <v>0</v>
      </c>
      <c r="AB191" s="46">
        <v>0</v>
      </c>
      <c r="AC191" s="49"/>
    </row>
    <row r="192" spans="1:29" ht="45.75" customHeight="1">
      <c r="A192" s="43"/>
      <c r="B192" s="20">
        <f t="shared" si="35"/>
        <v>2</v>
      </c>
      <c r="C192" s="20">
        <f t="shared" si="36"/>
        <v>8</v>
      </c>
      <c r="D192" s="21">
        <f t="shared" si="37"/>
        <v>5</v>
      </c>
      <c r="E192" s="22">
        <f t="shared" si="38"/>
        <v>2</v>
      </c>
      <c r="F192" s="22">
        <f t="shared" si="39"/>
        <v>0</v>
      </c>
      <c r="G192" s="22">
        <f t="shared" si="40"/>
        <v>0</v>
      </c>
      <c r="H192" s="23">
        <f t="shared" si="41"/>
        <v>1</v>
      </c>
      <c r="I192" s="24">
        <f t="shared" si="42"/>
        <v>1</v>
      </c>
      <c r="J192" s="20">
        <f t="shared" si="43"/>
        <v>1</v>
      </c>
      <c r="K192" s="20">
        <f t="shared" si="44"/>
        <v>1</v>
      </c>
      <c r="L192" s="20">
        <f t="shared" si="45"/>
        <v>0</v>
      </c>
      <c r="M192" s="20">
        <f t="shared" si="46"/>
        <v>0</v>
      </c>
      <c r="N192" s="20">
        <f t="shared" si="47"/>
        <v>0</v>
      </c>
      <c r="O192" s="20">
        <f t="shared" si="48"/>
        <v>0</v>
      </c>
      <c r="P192" s="20">
        <f t="shared" si="49"/>
        <v>0</v>
      </c>
      <c r="T192" s="44"/>
      <c r="U192" s="46">
        <v>1</v>
      </c>
      <c r="V192" s="46">
        <v>0</v>
      </c>
      <c r="W192" s="46">
        <v>0</v>
      </c>
      <c r="X192" s="46">
        <v>0</v>
      </c>
      <c r="Y192" s="46">
        <v>0</v>
      </c>
      <c r="Z192" s="46">
        <v>1</v>
      </c>
      <c r="AA192" s="46">
        <v>0</v>
      </c>
      <c r="AB192" s="46">
        <v>0</v>
      </c>
      <c r="AC192" s="49"/>
    </row>
    <row r="193" spans="1:29" ht="45.75" customHeight="1">
      <c r="A193" s="43"/>
      <c r="B193" s="20">
        <f t="shared" si="35"/>
        <v>5</v>
      </c>
      <c r="C193" s="20">
        <f t="shared" si="36"/>
        <v>8</v>
      </c>
      <c r="D193" s="21">
        <f t="shared" si="37"/>
        <v>7</v>
      </c>
      <c r="E193" s="22">
        <f t="shared" si="38"/>
        <v>2</v>
      </c>
      <c r="F193" s="22">
        <f t="shared" si="39"/>
        <v>3</v>
      </c>
      <c r="G193" s="22">
        <f t="shared" si="40"/>
        <v>0</v>
      </c>
      <c r="H193" s="23">
        <f t="shared" si="41"/>
        <v>1</v>
      </c>
      <c r="I193" s="24">
        <f t="shared" si="42"/>
        <v>1</v>
      </c>
      <c r="J193" s="20">
        <f t="shared" si="43"/>
        <v>1</v>
      </c>
      <c r="K193" s="20">
        <f t="shared" si="44"/>
        <v>1</v>
      </c>
      <c r="L193" s="20">
        <f t="shared" si="45"/>
        <v>1</v>
      </c>
      <c r="M193" s="20">
        <f t="shared" si="46"/>
        <v>1</v>
      </c>
      <c r="N193" s="20">
        <f t="shared" si="47"/>
        <v>0</v>
      </c>
      <c r="O193" s="20">
        <f t="shared" si="48"/>
        <v>0</v>
      </c>
      <c r="P193" s="20">
        <f t="shared" si="49"/>
        <v>0</v>
      </c>
      <c r="T193" s="44"/>
      <c r="U193" s="46">
        <v>1</v>
      </c>
      <c r="V193" s="46">
        <v>1</v>
      </c>
      <c r="W193" s="46">
        <v>1</v>
      </c>
      <c r="X193" s="46">
        <v>1</v>
      </c>
      <c r="Y193" s="46">
        <v>0</v>
      </c>
      <c r="Z193" s="46">
        <v>1</v>
      </c>
      <c r="AA193" s="46">
        <v>0</v>
      </c>
      <c r="AB193" s="46">
        <v>0</v>
      </c>
      <c r="AC193" s="49"/>
    </row>
    <row r="194" spans="1:29" ht="45.75" customHeight="1">
      <c r="A194" s="43"/>
      <c r="B194" s="20">
        <f t="shared" si="35"/>
        <v>2</v>
      </c>
      <c r="C194" s="20">
        <f t="shared" si="36"/>
        <v>8</v>
      </c>
      <c r="D194" s="21">
        <f t="shared" si="37"/>
        <v>5</v>
      </c>
      <c r="E194" s="22">
        <f t="shared" si="38"/>
        <v>2</v>
      </c>
      <c r="F194" s="22">
        <f t="shared" si="39"/>
        <v>0</v>
      </c>
      <c r="G194" s="22">
        <f t="shared" si="40"/>
        <v>0</v>
      </c>
      <c r="H194" s="23">
        <f t="shared" si="41"/>
        <v>1</v>
      </c>
      <c r="I194" s="24">
        <f t="shared" si="42"/>
        <v>1</v>
      </c>
      <c r="J194" s="20">
        <f t="shared" si="43"/>
        <v>1</v>
      </c>
      <c r="K194" s="20">
        <f t="shared" si="44"/>
        <v>1</v>
      </c>
      <c r="L194" s="20">
        <f t="shared" si="45"/>
        <v>0</v>
      </c>
      <c r="M194" s="20">
        <f t="shared" si="46"/>
        <v>0</v>
      </c>
      <c r="N194" s="20">
        <f t="shared" si="47"/>
        <v>0</v>
      </c>
      <c r="O194" s="20">
        <f t="shared" si="48"/>
        <v>0</v>
      </c>
      <c r="P194" s="20">
        <f t="shared" si="49"/>
        <v>0</v>
      </c>
      <c r="T194" s="44"/>
      <c r="U194" s="46">
        <v>1</v>
      </c>
      <c r="V194" s="46">
        <v>0</v>
      </c>
      <c r="W194" s="46">
        <v>0</v>
      </c>
      <c r="X194" s="46">
        <v>0</v>
      </c>
      <c r="Y194" s="46">
        <v>0</v>
      </c>
      <c r="Z194" s="46">
        <v>1</v>
      </c>
      <c r="AA194" s="46">
        <v>0</v>
      </c>
      <c r="AB194" s="46">
        <v>0</v>
      </c>
      <c r="AC194" s="49"/>
    </row>
    <row r="195" spans="1:29" ht="45.75" customHeight="1">
      <c r="A195" s="43"/>
      <c r="B195" s="20">
        <f t="shared" si="35"/>
        <v>2</v>
      </c>
      <c r="C195" s="20">
        <f t="shared" si="36"/>
        <v>8</v>
      </c>
      <c r="D195" s="21">
        <f t="shared" si="37"/>
        <v>5</v>
      </c>
      <c r="E195" s="22">
        <f t="shared" si="38"/>
        <v>2</v>
      </c>
      <c r="F195" s="22">
        <f t="shared" si="39"/>
        <v>0</v>
      </c>
      <c r="G195" s="22">
        <f t="shared" si="40"/>
        <v>0</v>
      </c>
      <c r="H195" s="23">
        <f t="shared" si="41"/>
        <v>1</v>
      </c>
      <c r="I195" s="24">
        <f t="shared" si="42"/>
        <v>1</v>
      </c>
      <c r="J195" s="20">
        <f t="shared" si="43"/>
        <v>1</v>
      </c>
      <c r="K195" s="20">
        <f t="shared" si="44"/>
        <v>1</v>
      </c>
      <c r="L195" s="20">
        <f t="shared" si="45"/>
        <v>0</v>
      </c>
      <c r="M195" s="20">
        <f t="shared" si="46"/>
        <v>0</v>
      </c>
      <c r="N195" s="20">
        <f t="shared" si="47"/>
        <v>0</v>
      </c>
      <c r="O195" s="20">
        <f t="shared" si="48"/>
        <v>0</v>
      </c>
      <c r="P195" s="20">
        <f t="shared" si="49"/>
        <v>0</v>
      </c>
      <c r="T195" s="44"/>
      <c r="U195" s="46">
        <v>1</v>
      </c>
      <c r="V195" s="46">
        <v>0</v>
      </c>
      <c r="W195" s="46">
        <v>0</v>
      </c>
      <c r="X195" s="46">
        <v>0</v>
      </c>
      <c r="Y195" s="46">
        <v>0</v>
      </c>
      <c r="Z195" s="46">
        <v>1</v>
      </c>
      <c r="AA195" s="46">
        <v>0</v>
      </c>
      <c r="AB195" s="46">
        <v>0</v>
      </c>
      <c r="AC195" s="49"/>
    </row>
    <row r="196" spans="1:29" ht="45.75" customHeight="1">
      <c r="A196" s="43"/>
      <c r="B196" s="20">
        <f t="shared" si="35"/>
        <v>4</v>
      </c>
      <c r="C196" s="20">
        <f t="shared" si="36"/>
        <v>8</v>
      </c>
      <c r="D196" s="21">
        <f t="shared" si="37"/>
        <v>6</v>
      </c>
      <c r="E196" s="22">
        <f t="shared" si="38"/>
        <v>2</v>
      </c>
      <c r="F196" s="22">
        <f t="shared" si="39"/>
        <v>2</v>
      </c>
      <c r="G196" s="22">
        <f t="shared" si="40"/>
        <v>0</v>
      </c>
      <c r="H196" s="23">
        <f t="shared" si="41"/>
        <v>1</v>
      </c>
      <c r="I196" s="24">
        <f t="shared" si="42"/>
        <v>1</v>
      </c>
      <c r="J196" s="20">
        <f t="shared" si="43"/>
        <v>1</v>
      </c>
      <c r="K196" s="20">
        <f t="shared" si="44"/>
        <v>1</v>
      </c>
      <c r="L196" s="20">
        <f t="shared" si="45"/>
        <v>1</v>
      </c>
      <c r="M196" s="20">
        <f t="shared" si="46"/>
        <v>1</v>
      </c>
      <c r="N196" s="20">
        <f t="shared" si="47"/>
        <v>0</v>
      </c>
      <c r="O196" s="20">
        <f t="shared" si="48"/>
        <v>0</v>
      </c>
      <c r="P196" s="20">
        <f t="shared" si="49"/>
        <v>0</v>
      </c>
      <c r="T196" s="44"/>
      <c r="U196" s="46">
        <v>1</v>
      </c>
      <c r="V196" s="46">
        <v>1</v>
      </c>
      <c r="W196" s="46">
        <v>1</v>
      </c>
      <c r="X196" s="46">
        <v>0</v>
      </c>
      <c r="Y196" s="46">
        <v>0</v>
      </c>
      <c r="Z196" s="46">
        <v>1</v>
      </c>
      <c r="AA196" s="46">
        <v>0</v>
      </c>
      <c r="AB196" s="46">
        <v>0</v>
      </c>
      <c r="AC196" s="49"/>
    </row>
    <row r="197" spans="1:29" ht="45.75" customHeight="1">
      <c r="A197" s="3"/>
      <c r="B197" s="20">
        <f t="shared" si="35"/>
        <v>4</v>
      </c>
      <c r="C197" s="20">
        <f t="shared" si="36"/>
        <v>8</v>
      </c>
      <c r="D197" s="21">
        <f t="shared" si="37"/>
        <v>6</v>
      </c>
      <c r="E197" s="22">
        <f t="shared" si="38"/>
        <v>2</v>
      </c>
      <c r="F197" s="22">
        <f t="shared" si="39"/>
        <v>1</v>
      </c>
      <c r="G197" s="22">
        <f t="shared" si="40"/>
        <v>1</v>
      </c>
      <c r="H197" s="23">
        <f t="shared" si="41"/>
        <v>1</v>
      </c>
      <c r="I197" s="24">
        <f t="shared" si="42"/>
        <v>1</v>
      </c>
      <c r="J197" s="20">
        <f t="shared" si="43"/>
        <v>1</v>
      </c>
      <c r="K197" s="20">
        <f t="shared" si="44"/>
        <v>1</v>
      </c>
      <c r="L197" s="20">
        <f t="shared" si="45"/>
        <v>1</v>
      </c>
      <c r="M197" s="20">
        <f t="shared" si="46"/>
        <v>1</v>
      </c>
      <c r="N197" s="20">
        <f t="shared" si="47"/>
        <v>0</v>
      </c>
      <c r="O197" s="20">
        <f t="shared" si="48"/>
        <v>0</v>
      </c>
      <c r="P197" s="20">
        <f t="shared" si="49"/>
        <v>0</v>
      </c>
      <c r="T197" s="44"/>
      <c r="U197" s="46">
        <v>1</v>
      </c>
      <c r="V197" s="46">
        <v>0</v>
      </c>
      <c r="W197" s="46">
        <v>1</v>
      </c>
      <c r="X197" s="46">
        <v>0</v>
      </c>
      <c r="Y197" s="46">
        <v>0</v>
      </c>
      <c r="Z197" s="46">
        <v>1</v>
      </c>
      <c r="AA197" s="46">
        <v>0</v>
      </c>
      <c r="AB197" s="46">
        <v>1</v>
      </c>
      <c r="AC197" s="49" t="s">
        <v>170</v>
      </c>
    </row>
    <row r="198" spans="1:29" ht="45.75" customHeight="1">
      <c r="A198" s="3"/>
      <c r="B198" s="20">
        <f t="shared" si="35"/>
        <v>1</v>
      </c>
      <c r="C198" s="20">
        <f t="shared" si="36"/>
        <v>8</v>
      </c>
      <c r="D198" s="21">
        <f t="shared" si="37"/>
        <v>4</v>
      </c>
      <c r="E198" s="22">
        <f t="shared" si="38"/>
        <v>1</v>
      </c>
      <c r="F198" s="22">
        <f t="shared" si="39"/>
        <v>0</v>
      </c>
      <c r="G198" s="22">
        <f t="shared" si="40"/>
        <v>0</v>
      </c>
      <c r="H198" s="23">
        <f t="shared" si="41"/>
        <v>1</v>
      </c>
      <c r="I198" s="24">
        <f t="shared" si="42"/>
        <v>1</v>
      </c>
      <c r="J198" s="20">
        <f t="shared" si="43"/>
        <v>0</v>
      </c>
      <c r="K198" s="20">
        <f t="shared" si="44"/>
        <v>0</v>
      </c>
      <c r="L198" s="20">
        <f t="shared" si="45"/>
        <v>0</v>
      </c>
      <c r="M198" s="20">
        <f t="shared" si="46"/>
        <v>0</v>
      </c>
      <c r="N198" s="20">
        <f t="shared" si="47"/>
        <v>0</v>
      </c>
      <c r="O198" s="20">
        <f t="shared" si="48"/>
        <v>0</v>
      </c>
      <c r="P198" s="20">
        <f t="shared" si="49"/>
        <v>0</v>
      </c>
      <c r="T198" s="44"/>
      <c r="U198" s="46">
        <v>0</v>
      </c>
      <c r="V198" s="46">
        <v>0</v>
      </c>
      <c r="W198" s="46">
        <v>0</v>
      </c>
      <c r="X198" s="46">
        <v>0</v>
      </c>
      <c r="Y198" s="46">
        <v>0</v>
      </c>
      <c r="Z198" s="46">
        <v>1</v>
      </c>
      <c r="AA198" s="46">
        <v>0</v>
      </c>
      <c r="AB198" s="46">
        <v>0</v>
      </c>
      <c r="AC198" s="49" t="s">
        <v>171</v>
      </c>
    </row>
    <row r="199" spans="1:29" ht="45.75" customHeight="1">
      <c r="A199" s="3"/>
      <c r="B199" s="20">
        <f t="shared" si="35"/>
        <v>1</v>
      </c>
      <c r="C199" s="20">
        <f t="shared" si="36"/>
        <v>8</v>
      </c>
      <c r="D199" s="21">
        <f t="shared" si="37"/>
        <v>4</v>
      </c>
      <c r="E199" s="22">
        <f t="shared" si="38"/>
        <v>1</v>
      </c>
      <c r="F199" s="22">
        <f t="shared" si="39"/>
        <v>0</v>
      </c>
      <c r="G199" s="22">
        <f t="shared" si="40"/>
        <v>0</v>
      </c>
      <c r="H199" s="23">
        <f t="shared" si="41"/>
        <v>1</v>
      </c>
      <c r="I199" s="24">
        <f t="shared" si="42"/>
        <v>1</v>
      </c>
      <c r="J199" s="20">
        <f t="shared" si="43"/>
        <v>0</v>
      </c>
      <c r="K199" s="20">
        <f t="shared" si="44"/>
        <v>0</v>
      </c>
      <c r="L199" s="20">
        <f t="shared" si="45"/>
        <v>0</v>
      </c>
      <c r="M199" s="20">
        <f t="shared" si="46"/>
        <v>0</v>
      </c>
      <c r="N199" s="20">
        <f t="shared" si="47"/>
        <v>0</v>
      </c>
      <c r="O199" s="20">
        <f t="shared" si="48"/>
        <v>0</v>
      </c>
      <c r="P199" s="20">
        <f t="shared" si="49"/>
        <v>0</v>
      </c>
      <c r="T199" s="44"/>
      <c r="U199" s="46">
        <v>0</v>
      </c>
      <c r="V199" s="46">
        <v>0</v>
      </c>
      <c r="W199" s="46">
        <v>0</v>
      </c>
      <c r="X199" s="46">
        <v>0</v>
      </c>
      <c r="Y199" s="46">
        <v>0</v>
      </c>
      <c r="Z199" s="46">
        <v>1</v>
      </c>
      <c r="AA199" s="46">
        <v>0</v>
      </c>
      <c r="AB199" s="46">
        <v>0</v>
      </c>
      <c r="AC199" s="49" t="s">
        <v>171</v>
      </c>
    </row>
    <row r="200" spans="1:29" ht="45.75" customHeight="1">
      <c r="A200" s="3"/>
      <c r="B200" s="20">
        <f t="shared" ref="B200:B204" si="50">(SUM(U200:AB200))</f>
        <v>4</v>
      </c>
      <c r="C200" s="20">
        <f t="shared" ref="C200:C204" si="51">(COUNT(U200:AB200))</f>
        <v>8</v>
      </c>
      <c r="D200" s="21">
        <f t="shared" ref="D200:D204" si="52">ROUNDUP( MAX( IF(P200,100, IF(O200,80, IF(N200,70, IF(M200,60, IF(L200,55, IF(K200,50, IF(J200,45, IF(I200,35, IF(H200,25, 0))))))))), 100 * B200/C200 ) * 10 / 100,0)</f>
        <v>6</v>
      </c>
      <c r="E200" s="22">
        <f t="shared" ref="E200:E204" si="53">SUM(U200, Z200)</f>
        <v>2</v>
      </c>
      <c r="F200" s="22">
        <f t="shared" ref="F200:F204" si="54">SUM(V200, W200, X200)</f>
        <v>1</v>
      </c>
      <c r="G200" s="22">
        <f t="shared" ref="G200:G204" si="55">SUM(Y200, AA200, AB200)</f>
        <v>1</v>
      </c>
      <c r="H200" s="23">
        <f t="shared" ref="H200:H204" si="56">IF(B200&gt;0,1,0)</f>
        <v>1</v>
      </c>
      <c r="I200" s="24">
        <f t="shared" ref="I200:I204" si="57">IF( B200/C200 &gt; 0.2, 1, IF(E200&gt;0, 1, 0) )</f>
        <v>1</v>
      </c>
      <c r="J200" s="20">
        <f t="shared" ref="J200:J204" si="58">IF( B200/C200 &gt; 0.4, 1, IF( E200=2, 1, IF(AND(E200&gt;0, OR(F200&gt;0, G200&gt;0)), 1, 0 ) ))</f>
        <v>1</v>
      </c>
      <c r="K200" s="20">
        <f t="shared" ref="K200:K204" si="59">IF(B200/C200 &gt; 0.5, 1, IF( E200=2, 1, IF(AND(E200&gt;0, OR(F200&gt;1, G200&gt;0)), 1, 0 ) ))</f>
        <v>1</v>
      </c>
      <c r="L200" s="20">
        <f t="shared" ref="L200:L204" si="60">IF(B200/C200 &gt; 0.6, 1, IF( AND(E200=2, OR(F200&gt;0, G200&gt;0)), 1, 0 ) )</f>
        <v>1</v>
      </c>
      <c r="M200" s="20">
        <f t="shared" ref="M200:M204" si="61">IF(B200/C200 &gt; 0.7, 1, IF( AND(E200=2, SUM(F200, G200)&gt;1), 1, 0 ) )</f>
        <v>1</v>
      </c>
      <c r="N200" s="20">
        <f t="shared" ref="N200:N204" si="62">IF(B200/C200 &gt; 0.8, 1, IF( AND(E200=2, SUM(F200, G200)&gt;3), 1, 0 ) )</f>
        <v>0</v>
      </c>
      <c r="O200" s="20">
        <f t="shared" ref="O200:O204" si="63">IF(B200/C200 &gt; 0.9, 1, 0)</f>
        <v>0</v>
      </c>
      <c r="P200" s="20">
        <f t="shared" ref="P200:P204" si="64">ROUNDDOWN(B200/C200,0)</f>
        <v>0</v>
      </c>
      <c r="T200" s="44"/>
      <c r="U200" s="46">
        <v>1</v>
      </c>
      <c r="V200" s="46">
        <v>1</v>
      </c>
      <c r="W200" s="46">
        <v>0</v>
      </c>
      <c r="X200" s="46">
        <v>0</v>
      </c>
      <c r="Y200" s="46">
        <v>0</v>
      </c>
      <c r="Z200" s="46">
        <v>1</v>
      </c>
      <c r="AA200" s="46">
        <v>0</v>
      </c>
      <c r="AB200" s="46">
        <v>1</v>
      </c>
      <c r="AC200" s="49" t="s">
        <v>172</v>
      </c>
    </row>
    <row r="201" spans="1:29" ht="45.75" customHeight="1">
      <c r="A201" s="3"/>
      <c r="B201" s="20">
        <f t="shared" si="50"/>
        <v>6</v>
      </c>
      <c r="C201" s="20">
        <f t="shared" si="51"/>
        <v>8</v>
      </c>
      <c r="D201" s="21">
        <f t="shared" si="52"/>
        <v>8</v>
      </c>
      <c r="E201" s="22">
        <f t="shared" si="53"/>
        <v>2</v>
      </c>
      <c r="F201" s="22">
        <f t="shared" si="54"/>
        <v>3</v>
      </c>
      <c r="G201" s="22">
        <f t="shared" si="55"/>
        <v>1</v>
      </c>
      <c r="H201" s="23">
        <f t="shared" si="56"/>
        <v>1</v>
      </c>
      <c r="I201" s="24">
        <f t="shared" si="57"/>
        <v>1</v>
      </c>
      <c r="J201" s="20">
        <f t="shared" si="58"/>
        <v>1</v>
      </c>
      <c r="K201" s="20">
        <f t="shared" si="59"/>
        <v>1</v>
      </c>
      <c r="L201" s="20">
        <f t="shared" si="60"/>
        <v>1</v>
      </c>
      <c r="M201" s="20">
        <f t="shared" si="61"/>
        <v>1</v>
      </c>
      <c r="N201" s="20">
        <f t="shared" si="62"/>
        <v>1</v>
      </c>
      <c r="O201" s="20">
        <f t="shared" si="63"/>
        <v>0</v>
      </c>
      <c r="P201" s="20">
        <f t="shared" si="64"/>
        <v>0</v>
      </c>
      <c r="T201" s="44"/>
      <c r="U201" s="46">
        <v>1</v>
      </c>
      <c r="V201" s="46">
        <v>1</v>
      </c>
      <c r="W201" s="46">
        <v>1</v>
      </c>
      <c r="X201" s="46">
        <v>1</v>
      </c>
      <c r="Y201" s="46">
        <v>0</v>
      </c>
      <c r="Z201" s="46">
        <v>1</v>
      </c>
      <c r="AA201" s="46">
        <v>0</v>
      </c>
      <c r="AB201" s="46">
        <v>1</v>
      </c>
      <c r="AC201" s="49" t="s">
        <v>173</v>
      </c>
    </row>
    <row r="202" spans="1:29" ht="45.75" customHeight="1">
      <c r="A202" s="3"/>
      <c r="B202" s="20">
        <f t="shared" si="50"/>
        <v>4</v>
      </c>
      <c r="C202" s="20">
        <f t="shared" si="51"/>
        <v>8</v>
      </c>
      <c r="D202" s="21">
        <f t="shared" si="52"/>
        <v>6</v>
      </c>
      <c r="E202" s="22">
        <f t="shared" si="53"/>
        <v>2</v>
      </c>
      <c r="F202" s="22">
        <f t="shared" si="54"/>
        <v>1</v>
      </c>
      <c r="G202" s="22">
        <f t="shared" si="55"/>
        <v>1</v>
      </c>
      <c r="H202" s="23">
        <f t="shared" si="56"/>
        <v>1</v>
      </c>
      <c r="I202" s="24">
        <f t="shared" si="57"/>
        <v>1</v>
      </c>
      <c r="J202" s="20">
        <f t="shared" si="58"/>
        <v>1</v>
      </c>
      <c r="K202" s="20">
        <f t="shared" si="59"/>
        <v>1</v>
      </c>
      <c r="L202" s="20">
        <f t="shared" si="60"/>
        <v>1</v>
      </c>
      <c r="M202" s="20">
        <f t="shared" si="61"/>
        <v>1</v>
      </c>
      <c r="N202" s="20">
        <f t="shared" si="62"/>
        <v>0</v>
      </c>
      <c r="O202" s="20">
        <f t="shared" si="63"/>
        <v>0</v>
      </c>
      <c r="P202" s="20">
        <f t="shared" si="64"/>
        <v>0</v>
      </c>
      <c r="T202" s="44"/>
      <c r="U202" s="46">
        <v>1</v>
      </c>
      <c r="V202" s="46">
        <v>0</v>
      </c>
      <c r="W202" s="46">
        <v>1</v>
      </c>
      <c r="X202" s="46">
        <v>0</v>
      </c>
      <c r="Y202" s="46">
        <v>1</v>
      </c>
      <c r="Z202" s="46">
        <v>1</v>
      </c>
      <c r="AA202" s="46">
        <v>0</v>
      </c>
      <c r="AB202" s="46">
        <v>0</v>
      </c>
      <c r="AC202" s="49"/>
    </row>
    <row r="203" spans="1:29" ht="45.75" customHeight="1">
      <c r="A203" s="3"/>
      <c r="B203" s="20">
        <f t="shared" si="50"/>
        <v>4</v>
      </c>
      <c r="C203" s="20">
        <f t="shared" si="51"/>
        <v>8</v>
      </c>
      <c r="D203" s="21">
        <f t="shared" si="52"/>
        <v>6</v>
      </c>
      <c r="E203" s="22">
        <f t="shared" si="53"/>
        <v>2</v>
      </c>
      <c r="F203" s="22">
        <f t="shared" si="54"/>
        <v>2</v>
      </c>
      <c r="G203" s="22">
        <f t="shared" si="55"/>
        <v>0</v>
      </c>
      <c r="H203" s="23">
        <f t="shared" si="56"/>
        <v>1</v>
      </c>
      <c r="I203" s="24">
        <f t="shared" si="57"/>
        <v>1</v>
      </c>
      <c r="J203" s="20">
        <f t="shared" si="58"/>
        <v>1</v>
      </c>
      <c r="K203" s="20">
        <f t="shared" si="59"/>
        <v>1</v>
      </c>
      <c r="L203" s="20">
        <f t="shared" si="60"/>
        <v>1</v>
      </c>
      <c r="M203" s="20">
        <f t="shared" si="61"/>
        <v>1</v>
      </c>
      <c r="N203" s="20">
        <f t="shared" si="62"/>
        <v>0</v>
      </c>
      <c r="O203" s="20">
        <f t="shared" si="63"/>
        <v>0</v>
      </c>
      <c r="P203" s="20">
        <f t="shared" si="64"/>
        <v>0</v>
      </c>
      <c r="T203" s="44"/>
      <c r="U203" s="46">
        <v>1</v>
      </c>
      <c r="V203" s="46">
        <v>0</v>
      </c>
      <c r="W203" s="46">
        <v>1</v>
      </c>
      <c r="X203" s="46">
        <v>1</v>
      </c>
      <c r="Y203" s="46">
        <v>0</v>
      </c>
      <c r="Z203" s="46">
        <v>1</v>
      </c>
      <c r="AA203" s="46">
        <v>0</v>
      </c>
      <c r="AB203" s="46">
        <v>0</v>
      </c>
      <c r="AC203" s="49"/>
    </row>
    <row r="204" spans="1:29" ht="45.75" customHeight="1">
      <c r="A204" s="3"/>
      <c r="B204" s="20">
        <f t="shared" si="50"/>
        <v>2</v>
      </c>
      <c r="C204" s="20">
        <f t="shared" si="51"/>
        <v>8</v>
      </c>
      <c r="D204" s="21">
        <f t="shared" si="52"/>
        <v>5</v>
      </c>
      <c r="E204" s="22">
        <f t="shared" si="53"/>
        <v>1</v>
      </c>
      <c r="F204" s="22">
        <f t="shared" si="54"/>
        <v>0</v>
      </c>
      <c r="G204" s="22">
        <f t="shared" si="55"/>
        <v>1</v>
      </c>
      <c r="H204" s="23">
        <f t="shared" si="56"/>
        <v>1</v>
      </c>
      <c r="I204" s="24">
        <f t="shared" si="57"/>
        <v>1</v>
      </c>
      <c r="J204" s="20">
        <f t="shared" si="58"/>
        <v>1</v>
      </c>
      <c r="K204" s="20">
        <f t="shared" si="59"/>
        <v>1</v>
      </c>
      <c r="L204" s="20">
        <f t="shared" si="60"/>
        <v>0</v>
      </c>
      <c r="M204" s="20">
        <f t="shared" si="61"/>
        <v>0</v>
      </c>
      <c r="N204" s="20">
        <f t="shared" si="62"/>
        <v>0</v>
      </c>
      <c r="O204" s="20">
        <f t="shared" si="63"/>
        <v>0</v>
      </c>
      <c r="P204" s="20">
        <f t="shared" si="64"/>
        <v>0</v>
      </c>
      <c r="T204" s="44"/>
      <c r="U204" s="46">
        <v>0</v>
      </c>
      <c r="V204" s="46">
        <v>0</v>
      </c>
      <c r="W204" s="46">
        <v>0</v>
      </c>
      <c r="X204" s="46">
        <v>0</v>
      </c>
      <c r="Y204" s="46">
        <v>0</v>
      </c>
      <c r="Z204" s="46">
        <v>1</v>
      </c>
      <c r="AA204" s="46">
        <v>1</v>
      </c>
      <c r="AB204" s="46">
        <v>0</v>
      </c>
      <c r="AC204" s="49" t="s">
        <v>174</v>
      </c>
    </row>
    <row r="205" spans="1:29" ht="45.75" customHeight="1">
      <c r="A205" s="62"/>
      <c r="B205" s="20">
        <f t="shared" ref="B205:B213" si="65">(SUM(U205:AB205))</f>
        <v>5</v>
      </c>
      <c r="C205" s="20">
        <f t="shared" ref="C205:C213" si="66">(COUNT(U205:AB205))</f>
        <v>8</v>
      </c>
      <c r="D205" s="21">
        <f t="shared" ref="D205:D213" si="67">ROUNDUP( MAX( IF(P205,100, IF(O205,80, IF(N205,70, IF(M205,60, IF(L205,55, IF(K205,50, IF(J205,45, IF(I205,35, IF(H205,25, 0))))))))), 100 * B205/C205 ) * 10 / 100,0)</f>
        <v>7</v>
      </c>
      <c r="E205" s="22">
        <f t="shared" ref="E205:E213" si="68">SUM(U205, Z205)</f>
        <v>2</v>
      </c>
      <c r="F205" s="22">
        <f t="shared" ref="F205:F213" si="69">SUM(V205, W205, X205)</f>
        <v>2</v>
      </c>
      <c r="G205" s="22">
        <f t="shared" ref="G205:G213" si="70">SUM(Y205, AA205, AB205)</f>
        <v>1</v>
      </c>
      <c r="H205" s="23">
        <f t="shared" ref="H205:H213" si="71">IF(B205&gt;0,1,0)</f>
        <v>1</v>
      </c>
      <c r="I205" s="24">
        <f t="shared" ref="I205:I213" si="72">IF( B205/C205 &gt; 0.2, 1, IF(E205&gt;0, 1, 0) )</f>
        <v>1</v>
      </c>
      <c r="J205" s="20">
        <f t="shared" ref="J205:J213" si="73">IF( B205/C205 &gt; 0.4, 1, IF( E205=2, 1, IF(AND(E205&gt;0, OR(F205&gt;0, G205&gt;0)), 1, 0 ) ))</f>
        <v>1</v>
      </c>
      <c r="K205" s="20">
        <f t="shared" ref="K205:K213" si="74">IF(B205/C205 &gt; 0.5, 1, IF( E205=2, 1, IF(AND(E205&gt;0, OR(F205&gt;1, G205&gt;0)), 1, 0 ) ))</f>
        <v>1</v>
      </c>
      <c r="L205" s="20">
        <f t="shared" ref="L205:L213" si="75">IF(B205/C205 &gt; 0.6, 1, IF( AND(E205=2, OR(F205&gt;0, G205&gt;0)), 1, 0 ) )</f>
        <v>1</v>
      </c>
      <c r="M205" s="20">
        <f t="shared" ref="M205:M213" si="76">IF(B205/C205 &gt; 0.7, 1, IF( AND(E205=2, SUM(F205, G205)&gt;1), 1, 0 ) )</f>
        <v>1</v>
      </c>
      <c r="N205" s="20">
        <f t="shared" ref="N205:N213" si="77">IF(B205/C205 &gt; 0.8, 1, IF( AND(E205=2, SUM(F205, G205)&gt;3), 1, 0 ) )</f>
        <v>0</v>
      </c>
      <c r="O205" s="20">
        <f t="shared" ref="O205:O213" si="78">IF(B205/C205 &gt; 0.9, 1, 0)</f>
        <v>0</v>
      </c>
      <c r="P205" s="20">
        <f t="shared" ref="P205:P213" si="79">ROUNDDOWN(B205/C205,0)</f>
        <v>0</v>
      </c>
      <c r="S205" s="44"/>
      <c r="T205" s="44"/>
      <c r="U205" s="46">
        <v>1</v>
      </c>
      <c r="V205" s="46">
        <v>1</v>
      </c>
      <c r="W205" s="46">
        <v>1</v>
      </c>
      <c r="X205" s="46">
        <v>0</v>
      </c>
      <c r="Y205" s="46">
        <v>1</v>
      </c>
      <c r="Z205" s="46">
        <v>1</v>
      </c>
      <c r="AA205" s="46">
        <v>0</v>
      </c>
      <c r="AB205" s="46">
        <v>0</v>
      </c>
      <c r="AC205" s="49" t="s">
        <v>175</v>
      </c>
    </row>
    <row r="206" spans="1:29" ht="45.75" customHeight="1">
      <c r="A206" s="62"/>
      <c r="B206" s="20">
        <f t="shared" si="65"/>
        <v>7</v>
      </c>
      <c r="C206" s="20">
        <f t="shared" si="66"/>
        <v>8</v>
      </c>
      <c r="D206" s="21">
        <f t="shared" si="67"/>
        <v>9</v>
      </c>
      <c r="E206" s="22">
        <f t="shared" si="68"/>
        <v>2</v>
      </c>
      <c r="F206" s="22">
        <f t="shared" si="69"/>
        <v>3</v>
      </c>
      <c r="G206" s="22">
        <f t="shared" si="70"/>
        <v>2</v>
      </c>
      <c r="H206" s="23">
        <f t="shared" si="71"/>
        <v>1</v>
      </c>
      <c r="I206" s="24">
        <f t="shared" si="72"/>
        <v>1</v>
      </c>
      <c r="J206" s="20">
        <f t="shared" si="73"/>
        <v>1</v>
      </c>
      <c r="K206" s="20">
        <f t="shared" si="74"/>
        <v>1</v>
      </c>
      <c r="L206" s="20">
        <f t="shared" si="75"/>
        <v>1</v>
      </c>
      <c r="M206" s="20">
        <f t="shared" si="76"/>
        <v>1</v>
      </c>
      <c r="N206" s="20">
        <f t="shared" si="77"/>
        <v>1</v>
      </c>
      <c r="O206" s="20">
        <f t="shared" si="78"/>
        <v>0</v>
      </c>
      <c r="P206" s="20">
        <f t="shared" si="79"/>
        <v>0</v>
      </c>
      <c r="S206" s="44"/>
      <c r="T206" s="44"/>
      <c r="U206" s="46">
        <v>1</v>
      </c>
      <c r="V206" s="46">
        <v>1</v>
      </c>
      <c r="W206" s="46">
        <v>1</v>
      </c>
      <c r="X206" s="46">
        <v>1</v>
      </c>
      <c r="Y206" s="46">
        <v>1</v>
      </c>
      <c r="Z206" s="46">
        <v>1</v>
      </c>
      <c r="AA206" s="46">
        <v>0</v>
      </c>
      <c r="AB206" s="46">
        <v>1</v>
      </c>
      <c r="AC206" s="49" t="s">
        <v>176</v>
      </c>
    </row>
    <row r="207" spans="1:29" ht="45.75" customHeight="1">
      <c r="A207" s="62"/>
      <c r="B207" s="20">
        <f t="shared" si="65"/>
        <v>7</v>
      </c>
      <c r="C207" s="20">
        <f t="shared" si="66"/>
        <v>8</v>
      </c>
      <c r="D207" s="21">
        <f t="shared" si="67"/>
        <v>9</v>
      </c>
      <c r="E207" s="22">
        <f t="shared" si="68"/>
        <v>2</v>
      </c>
      <c r="F207" s="22">
        <f t="shared" si="69"/>
        <v>3</v>
      </c>
      <c r="G207" s="22">
        <f t="shared" si="70"/>
        <v>2</v>
      </c>
      <c r="H207" s="23">
        <f t="shared" si="71"/>
        <v>1</v>
      </c>
      <c r="I207" s="24">
        <f t="shared" si="72"/>
        <v>1</v>
      </c>
      <c r="J207" s="20">
        <f t="shared" si="73"/>
        <v>1</v>
      </c>
      <c r="K207" s="20">
        <f t="shared" si="74"/>
        <v>1</v>
      </c>
      <c r="L207" s="20">
        <f t="shared" si="75"/>
        <v>1</v>
      </c>
      <c r="M207" s="20">
        <f t="shared" si="76"/>
        <v>1</v>
      </c>
      <c r="N207" s="20">
        <f t="shared" si="77"/>
        <v>1</v>
      </c>
      <c r="O207" s="20">
        <f t="shared" si="78"/>
        <v>0</v>
      </c>
      <c r="P207" s="20">
        <f t="shared" si="79"/>
        <v>0</v>
      </c>
      <c r="S207" s="44"/>
      <c r="T207" s="44"/>
      <c r="U207" s="46">
        <v>1</v>
      </c>
      <c r="V207" s="46">
        <v>1</v>
      </c>
      <c r="W207" s="46">
        <v>1</v>
      </c>
      <c r="X207" s="46">
        <v>1</v>
      </c>
      <c r="Y207" s="46">
        <v>1</v>
      </c>
      <c r="Z207" s="46">
        <v>1</v>
      </c>
      <c r="AA207" s="46">
        <v>0</v>
      </c>
      <c r="AB207" s="46">
        <v>1</v>
      </c>
      <c r="AC207" s="49" t="s">
        <v>177</v>
      </c>
    </row>
    <row r="208" spans="1:29" ht="45.75" customHeight="1">
      <c r="A208" s="62"/>
      <c r="B208" s="20">
        <f t="shared" si="65"/>
        <v>3</v>
      </c>
      <c r="C208" s="20">
        <f t="shared" si="66"/>
        <v>8</v>
      </c>
      <c r="D208" s="21">
        <f t="shared" si="67"/>
        <v>5</v>
      </c>
      <c r="E208" s="22">
        <f t="shared" si="68"/>
        <v>1</v>
      </c>
      <c r="F208" s="22">
        <f t="shared" si="69"/>
        <v>0</v>
      </c>
      <c r="G208" s="22">
        <f t="shared" si="70"/>
        <v>2</v>
      </c>
      <c r="H208" s="23">
        <f t="shared" si="71"/>
        <v>1</v>
      </c>
      <c r="I208" s="24">
        <f t="shared" si="72"/>
        <v>1</v>
      </c>
      <c r="J208" s="20">
        <f t="shared" si="73"/>
        <v>1</v>
      </c>
      <c r="K208" s="20">
        <f t="shared" si="74"/>
        <v>1</v>
      </c>
      <c r="L208" s="20">
        <f t="shared" si="75"/>
        <v>0</v>
      </c>
      <c r="M208" s="20">
        <f t="shared" si="76"/>
        <v>0</v>
      </c>
      <c r="N208" s="20">
        <f t="shared" si="77"/>
        <v>0</v>
      </c>
      <c r="O208" s="20">
        <f t="shared" si="78"/>
        <v>0</v>
      </c>
      <c r="P208" s="20">
        <f t="shared" si="79"/>
        <v>0</v>
      </c>
      <c r="S208" s="44"/>
      <c r="T208" s="44"/>
      <c r="U208" s="46">
        <v>0</v>
      </c>
      <c r="V208" s="46">
        <v>0</v>
      </c>
      <c r="W208" s="46">
        <v>0</v>
      </c>
      <c r="X208" s="46">
        <v>0</v>
      </c>
      <c r="Y208" s="46">
        <v>1</v>
      </c>
      <c r="Z208" s="46">
        <v>1</v>
      </c>
      <c r="AA208" s="46">
        <v>0</v>
      </c>
      <c r="AB208" s="46">
        <v>1</v>
      </c>
      <c r="AC208" s="49" t="s">
        <v>178</v>
      </c>
    </row>
    <row r="209" spans="1:1026" ht="45.75" customHeight="1">
      <c r="A209" s="62"/>
      <c r="B209" s="20">
        <f t="shared" si="65"/>
        <v>4</v>
      </c>
      <c r="C209" s="20">
        <f t="shared" si="66"/>
        <v>8</v>
      </c>
      <c r="D209" s="21">
        <f t="shared" si="67"/>
        <v>6</v>
      </c>
      <c r="E209" s="22">
        <f t="shared" si="68"/>
        <v>2</v>
      </c>
      <c r="F209" s="22">
        <f t="shared" si="69"/>
        <v>1</v>
      </c>
      <c r="G209" s="22">
        <f t="shared" si="70"/>
        <v>1</v>
      </c>
      <c r="H209" s="23">
        <f t="shared" si="71"/>
        <v>1</v>
      </c>
      <c r="I209" s="24">
        <f t="shared" si="72"/>
        <v>1</v>
      </c>
      <c r="J209" s="20">
        <f t="shared" si="73"/>
        <v>1</v>
      </c>
      <c r="K209" s="20">
        <f t="shared" si="74"/>
        <v>1</v>
      </c>
      <c r="L209" s="20">
        <f t="shared" si="75"/>
        <v>1</v>
      </c>
      <c r="M209" s="20">
        <f t="shared" si="76"/>
        <v>1</v>
      </c>
      <c r="N209" s="20">
        <f t="shared" si="77"/>
        <v>0</v>
      </c>
      <c r="O209" s="20">
        <f t="shared" si="78"/>
        <v>0</v>
      </c>
      <c r="P209" s="20">
        <f t="shared" si="79"/>
        <v>0</v>
      </c>
      <c r="S209" s="44"/>
      <c r="T209" s="44"/>
      <c r="U209" s="46">
        <v>1</v>
      </c>
      <c r="V209" s="46">
        <v>0</v>
      </c>
      <c r="W209" s="46">
        <v>0</v>
      </c>
      <c r="X209" s="46">
        <v>1</v>
      </c>
      <c r="Y209" s="46">
        <v>0</v>
      </c>
      <c r="Z209" s="46">
        <v>1</v>
      </c>
      <c r="AA209" s="46">
        <v>0</v>
      </c>
      <c r="AB209" s="46">
        <v>1</v>
      </c>
      <c r="AC209" s="49" t="s">
        <v>179</v>
      </c>
    </row>
    <row r="210" spans="1:1026" ht="45.75" customHeight="1">
      <c r="A210" s="62"/>
      <c r="B210" s="20">
        <f t="shared" si="65"/>
        <v>4</v>
      </c>
      <c r="C210" s="20">
        <f t="shared" si="66"/>
        <v>8</v>
      </c>
      <c r="D210" s="21">
        <f t="shared" si="67"/>
        <v>5</v>
      </c>
      <c r="E210" s="22">
        <f t="shared" si="68"/>
        <v>1</v>
      </c>
      <c r="F210" s="22">
        <f t="shared" si="69"/>
        <v>2</v>
      </c>
      <c r="G210" s="22">
        <f t="shared" si="70"/>
        <v>1</v>
      </c>
      <c r="H210" s="23">
        <f t="shared" si="71"/>
        <v>1</v>
      </c>
      <c r="I210" s="24">
        <f t="shared" si="72"/>
        <v>1</v>
      </c>
      <c r="J210" s="20">
        <f t="shared" si="73"/>
        <v>1</v>
      </c>
      <c r="K210" s="20">
        <f t="shared" si="74"/>
        <v>1</v>
      </c>
      <c r="L210" s="20">
        <f t="shared" si="75"/>
        <v>0</v>
      </c>
      <c r="M210" s="20">
        <f t="shared" si="76"/>
        <v>0</v>
      </c>
      <c r="N210" s="20">
        <f t="shared" si="77"/>
        <v>0</v>
      </c>
      <c r="O210" s="20">
        <f t="shared" si="78"/>
        <v>0</v>
      </c>
      <c r="P210" s="20">
        <f t="shared" si="79"/>
        <v>0</v>
      </c>
      <c r="S210" s="44"/>
      <c r="T210" s="44"/>
      <c r="U210" s="46">
        <v>0</v>
      </c>
      <c r="V210" s="46">
        <v>0</v>
      </c>
      <c r="W210" s="46">
        <v>1</v>
      </c>
      <c r="X210" s="46">
        <v>1</v>
      </c>
      <c r="Y210" s="46">
        <v>0</v>
      </c>
      <c r="Z210" s="46">
        <v>1</v>
      </c>
      <c r="AA210" s="46">
        <v>0</v>
      </c>
      <c r="AB210" s="46">
        <v>1</v>
      </c>
      <c r="AC210" s="49" t="s">
        <v>180</v>
      </c>
    </row>
    <row r="211" spans="1:1026" ht="45.75" customHeight="1">
      <c r="A211" s="62"/>
      <c r="B211" s="20">
        <f t="shared" si="65"/>
        <v>3</v>
      </c>
      <c r="C211" s="20">
        <f t="shared" si="66"/>
        <v>8</v>
      </c>
      <c r="D211" s="21">
        <f t="shared" si="67"/>
        <v>5</v>
      </c>
      <c r="E211" s="22">
        <f t="shared" si="68"/>
        <v>1</v>
      </c>
      <c r="F211" s="22">
        <f t="shared" si="69"/>
        <v>1</v>
      </c>
      <c r="G211" s="22">
        <f t="shared" si="70"/>
        <v>1</v>
      </c>
      <c r="H211" s="23">
        <f t="shared" si="71"/>
        <v>1</v>
      </c>
      <c r="I211" s="24">
        <f t="shared" si="72"/>
        <v>1</v>
      </c>
      <c r="J211" s="20">
        <f t="shared" si="73"/>
        <v>1</v>
      </c>
      <c r="K211" s="20">
        <f t="shared" si="74"/>
        <v>1</v>
      </c>
      <c r="L211" s="20">
        <f t="shared" si="75"/>
        <v>0</v>
      </c>
      <c r="M211" s="20">
        <f t="shared" si="76"/>
        <v>0</v>
      </c>
      <c r="N211" s="20">
        <f t="shared" si="77"/>
        <v>0</v>
      </c>
      <c r="O211" s="20">
        <f t="shared" si="78"/>
        <v>0</v>
      </c>
      <c r="P211" s="20">
        <f t="shared" si="79"/>
        <v>0</v>
      </c>
      <c r="S211" s="44"/>
      <c r="T211" s="44"/>
      <c r="U211" s="46">
        <v>0</v>
      </c>
      <c r="V211" s="46">
        <v>1</v>
      </c>
      <c r="W211" s="46">
        <v>0</v>
      </c>
      <c r="X211" s="46">
        <v>0</v>
      </c>
      <c r="Y211" s="46">
        <v>1</v>
      </c>
      <c r="Z211" s="46">
        <v>1</v>
      </c>
      <c r="AA211" s="46">
        <v>0</v>
      </c>
      <c r="AB211" s="46">
        <v>0</v>
      </c>
      <c r="AC211" s="49" t="s">
        <v>181</v>
      </c>
    </row>
    <row r="212" spans="1:1026" ht="45.75" customHeight="1">
      <c r="A212" s="62"/>
      <c r="B212" s="20">
        <f t="shared" si="65"/>
        <v>3</v>
      </c>
      <c r="C212" s="20">
        <f t="shared" si="66"/>
        <v>8</v>
      </c>
      <c r="D212" s="21">
        <f t="shared" si="67"/>
        <v>6</v>
      </c>
      <c r="E212" s="22">
        <f t="shared" si="68"/>
        <v>2</v>
      </c>
      <c r="F212" s="22">
        <f t="shared" si="69"/>
        <v>1</v>
      </c>
      <c r="G212" s="22">
        <f t="shared" si="70"/>
        <v>0</v>
      </c>
      <c r="H212" s="23">
        <f t="shared" si="71"/>
        <v>1</v>
      </c>
      <c r="I212" s="24">
        <f t="shared" si="72"/>
        <v>1</v>
      </c>
      <c r="J212" s="20">
        <f t="shared" si="73"/>
        <v>1</v>
      </c>
      <c r="K212" s="20">
        <f t="shared" si="74"/>
        <v>1</v>
      </c>
      <c r="L212" s="20">
        <f t="shared" si="75"/>
        <v>1</v>
      </c>
      <c r="M212" s="20">
        <f t="shared" si="76"/>
        <v>0</v>
      </c>
      <c r="N212" s="20">
        <f t="shared" si="77"/>
        <v>0</v>
      </c>
      <c r="O212" s="20">
        <f t="shared" si="78"/>
        <v>0</v>
      </c>
      <c r="P212" s="20">
        <f t="shared" si="79"/>
        <v>0</v>
      </c>
      <c r="S212" s="44"/>
      <c r="T212" s="44"/>
      <c r="U212" s="46">
        <v>1</v>
      </c>
      <c r="V212" s="46">
        <v>1</v>
      </c>
      <c r="W212" s="46">
        <v>0</v>
      </c>
      <c r="X212" s="46">
        <v>0</v>
      </c>
      <c r="Y212" s="46">
        <v>0</v>
      </c>
      <c r="Z212" s="46">
        <v>1</v>
      </c>
      <c r="AA212" s="46">
        <v>0</v>
      </c>
      <c r="AB212" s="46">
        <v>0</v>
      </c>
      <c r="AC212" s="49"/>
    </row>
    <row r="213" spans="1:1026" ht="45.75" customHeight="1">
      <c r="A213" s="62"/>
      <c r="B213" s="20">
        <f t="shared" si="65"/>
        <v>0</v>
      </c>
      <c r="C213" s="20">
        <f t="shared" si="66"/>
        <v>0</v>
      </c>
      <c r="D213" s="21" t="e">
        <f t="shared" si="67"/>
        <v>#DIV/0!</v>
      </c>
      <c r="E213" s="22">
        <f t="shared" si="68"/>
        <v>0</v>
      </c>
      <c r="F213" s="22">
        <f t="shared" si="69"/>
        <v>0</v>
      </c>
      <c r="G213" s="22">
        <f t="shared" si="70"/>
        <v>0</v>
      </c>
      <c r="H213" s="23">
        <f t="shared" si="71"/>
        <v>0</v>
      </c>
      <c r="I213" s="24" t="e">
        <f t="shared" si="72"/>
        <v>#DIV/0!</v>
      </c>
      <c r="J213" s="20" t="e">
        <f t="shared" si="73"/>
        <v>#DIV/0!</v>
      </c>
      <c r="K213" s="20" t="e">
        <f t="shared" si="74"/>
        <v>#DIV/0!</v>
      </c>
      <c r="L213" s="20" t="e">
        <f t="shared" si="75"/>
        <v>#DIV/0!</v>
      </c>
      <c r="M213" s="20" t="e">
        <f t="shared" si="76"/>
        <v>#DIV/0!</v>
      </c>
      <c r="N213" s="20" t="e">
        <f t="shared" si="77"/>
        <v>#DIV/0!</v>
      </c>
      <c r="O213" s="20" t="e">
        <f t="shared" si="78"/>
        <v>#DIV/0!</v>
      </c>
      <c r="P213" s="20" t="e">
        <f t="shared" si="79"/>
        <v>#DIV/0!</v>
      </c>
      <c r="S213" s="44"/>
      <c r="T213" s="44"/>
      <c r="U213" s="46"/>
      <c r="V213" s="46"/>
      <c r="W213" s="46"/>
      <c r="X213" s="46"/>
      <c r="Y213" s="46"/>
      <c r="Z213" s="46"/>
      <c r="AA213" s="46"/>
      <c r="AB213" s="46"/>
      <c r="AC213" s="49"/>
    </row>
    <row r="215" spans="1:1026">
      <c r="D215" s="27" t="s">
        <v>182</v>
      </c>
    </row>
    <row r="216" spans="1:1026" s="31" customFormat="1">
      <c r="A216" s="28" t="s">
        <v>128</v>
      </c>
      <c r="B216" s="29">
        <f>AVERAGE(B7:B204)</f>
        <v>3.7222222222222223</v>
      </c>
      <c r="C216" s="29">
        <f t="shared" ref="C216:P216" si="80">AVERAGE(C7:C204)</f>
        <v>8</v>
      </c>
      <c r="D216" s="29">
        <f t="shared" si="80"/>
        <v>6.0858585858585856</v>
      </c>
      <c r="E216" s="29">
        <f t="shared" si="80"/>
        <v>1.8282828282828283</v>
      </c>
      <c r="F216" s="29">
        <f t="shared" si="80"/>
        <v>1.3787878787878789</v>
      </c>
      <c r="G216" s="29">
        <f t="shared" si="80"/>
        <v>0.51515151515151514</v>
      </c>
      <c r="H216" s="29">
        <f t="shared" si="80"/>
        <v>0.99494949494949492</v>
      </c>
      <c r="I216" s="29">
        <f t="shared" si="80"/>
        <v>0.99494949494949492</v>
      </c>
      <c r="J216" s="29">
        <f t="shared" si="80"/>
        <v>0.96464646464646464</v>
      </c>
      <c r="K216" s="29">
        <f t="shared" si="80"/>
        <v>0.94444444444444442</v>
      </c>
      <c r="L216" s="29">
        <f t="shared" si="80"/>
        <v>0.6767676767676768</v>
      </c>
      <c r="M216" s="29">
        <f t="shared" si="80"/>
        <v>0.52020202020202022</v>
      </c>
      <c r="N216" s="29">
        <f t="shared" si="80"/>
        <v>8.5858585858585856E-2</v>
      </c>
      <c r="O216" s="29">
        <f t="shared" si="80"/>
        <v>5.0505050505050509E-3</v>
      </c>
      <c r="P216" s="29">
        <f t="shared" si="80"/>
        <v>5.0505050505050509E-3</v>
      </c>
      <c r="T216" s="28" t="s">
        <v>128</v>
      </c>
      <c r="U216" s="31">
        <f t="shared" ref="U216:AB216" si="81">AVERAGE(U7:U204)</f>
        <v>0.90404040404040409</v>
      </c>
      <c r="V216" s="31">
        <f t="shared" si="81"/>
        <v>0.46969696969696972</v>
      </c>
      <c r="W216" s="31">
        <f t="shared" si="81"/>
        <v>0.54545454545454541</v>
      </c>
      <c r="X216" s="31">
        <f t="shared" si="81"/>
        <v>0.36363636363636365</v>
      </c>
      <c r="Y216" s="31">
        <f t="shared" si="81"/>
        <v>0.32828282828282829</v>
      </c>
      <c r="Z216" s="31">
        <f t="shared" si="81"/>
        <v>0.9242424242424242</v>
      </c>
      <c r="AA216" s="31">
        <f t="shared" si="81"/>
        <v>0.12121212121212122</v>
      </c>
      <c r="AB216" s="31">
        <f t="shared" si="81"/>
        <v>6.5656565656565663E-2</v>
      </c>
      <c r="AC216" s="41"/>
      <c r="ALP216"/>
      <c r="ALQ216"/>
      <c r="ALR216"/>
      <c r="ALS216"/>
      <c r="ALT216"/>
      <c r="ALU216"/>
      <c r="ALV216"/>
      <c r="ALW216"/>
      <c r="ALX216"/>
      <c r="ALY216"/>
      <c r="ALZ216"/>
      <c r="AMA216"/>
      <c r="AMB216"/>
      <c r="AMC216"/>
      <c r="AMD216"/>
      <c r="AME216"/>
      <c r="AMF216"/>
      <c r="AMG216"/>
      <c r="AMH216"/>
      <c r="AMI216"/>
      <c r="AMJ216"/>
      <c r="AMK216"/>
      <c r="AML216"/>
    </row>
    <row r="217" spans="1:1026">
      <c r="A217" s="32" t="s">
        <v>129</v>
      </c>
      <c r="B217" s="30">
        <f>STDEV(B7:B204)</f>
        <v>1.4631206171106761</v>
      </c>
      <c r="C217" s="30">
        <f t="shared" ref="C217:P217" si="82">STDEV(C7:C204)</f>
        <v>0</v>
      </c>
      <c r="D217" s="30">
        <f t="shared" si="82"/>
        <v>1.1609999279467698</v>
      </c>
      <c r="E217" s="30">
        <f t="shared" si="82"/>
        <v>0.40405065874285973</v>
      </c>
      <c r="F217" s="30">
        <f t="shared" si="82"/>
        <v>1.1051125056787929</v>
      </c>
      <c r="G217" s="30">
        <f t="shared" si="82"/>
        <v>0.68875870637461256</v>
      </c>
      <c r="H217" s="30">
        <f t="shared" si="82"/>
        <v>7.106690545187018E-2</v>
      </c>
      <c r="I217" s="30">
        <f t="shared" si="82"/>
        <v>7.106690545187018E-2</v>
      </c>
      <c r="J217" s="30">
        <f t="shared" si="82"/>
        <v>0.18513988746782878</v>
      </c>
      <c r="K217" s="30">
        <f t="shared" si="82"/>
        <v>0.22964206189926226</v>
      </c>
      <c r="L217" s="30">
        <f t="shared" si="82"/>
        <v>0.46889616198744349</v>
      </c>
      <c r="M217" s="30">
        <f t="shared" si="82"/>
        <v>0.50085810588369295</v>
      </c>
      <c r="N217" s="30">
        <f t="shared" si="82"/>
        <v>0.28086526965340952</v>
      </c>
      <c r="O217" s="30">
        <f t="shared" si="82"/>
        <v>7.1066905451870138E-2</v>
      </c>
      <c r="P217" s="30">
        <f t="shared" si="82"/>
        <v>7.1066905451870138E-2</v>
      </c>
      <c r="T217" s="32" t="s">
        <v>129</v>
      </c>
      <c r="U217">
        <f t="shared" ref="U217:AB217" si="83">STDEV(U7:U204)</f>
        <v>0.2952824310643411</v>
      </c>
      <c r="V217">
        <f t="shared" si="83"/>
        <v>0.50034598089712656</v>
      </c>
      <c r="W217">
        <f t="shared" si="83"/>
        <v>0.49919177871189818</v>
      </c>
      <c r="X217">
        <f t="shared" si="83"/>
        <v>0.48226507559430293</v>
      </c>
      <c r="Y217">
        <f t="shared" si="83"/>
        <v>0.47077868404198742</v>
      </c>
      <c r="Z217">
        <f t="shared" si="83"/>
        <v>0.26528058475489752</v>
      </c>
      <c r="AA217">
        <f t="shared" si="83"/>
        <v>0.32720093557035745</v>
      </c>
      <c r="AB217">
        <f t="shared" si="83"/>
        <v>0.24830864049911966</v>
      </c>
    </row>
    <row r="218" spans="1:1026">
      <c r="T218" s="32" t="s">
        <v>130</v>
      </c>
      <c r="U218">
        <f t="shared" ref="U218:AB218" si="84">COUNT(U7:U204)</f>
        <v>198</v>
      </c>
      <c r="V218">
        <f t="shared" si="84"/>
        <v>198</v>
      </c>
      <c r="W218">
        <f t="shared" si="84"/>
        <v>198</v>
      </c>
      <c r="X218">
        <f t="shared" si="84"/>
        <v>198</v>
      </c>
      <c r="Y218">
        <f t="shared" si="84"/>
        <v>198</v>
      </c>
      <c r="Z218">
        <f t="shared" si="84"/>
        <v>198</v>
      </c>
      <c r="AA218">
        <f t="shared" si="84"/>
        <v>198</v>
      </c>
      <c r="AB218">
        <f t="shared" si="84"/>
        <v>198</v>
      </c>
    </row>
    <row r="219" spans="1:1026">
      <c r="T219" s="32" t="s">
        <v>131</v>
      </c>
      <c r="U219">
        <f t="shared" ref="U219:AB219" si="85">SUM(U7:U204)</f>
        <v>179</v>
      </c>
      <c r="V219">
        <f t="shared" si="85"/>
        <v>93</v>
      </c>
      <c r="W219">
        <f t="shared" si="85"/>
        <v>108</v>
      </c>
      <c r="X219">
        <f t="shared" si="85"/>
        <v>72</v>
      </c>
      <c r="Y219">
        <f t="shared" si="85"/>
        <v>65</v>
      </c>
      <c r="Z219">
        <f t="shared" si="85"/>
        <v>183</v>
      </c>
      <c r="AA219">
        <f t="shared" si="85"/>
        <v>24</v>
      </c>
      <c r="AB219">
        <f t="shared" si="85"/>
        <v>13</v>
      </c>
    </row>
    <row r="220" spans="1:1026">
      <c r="T220" s="32" t="s">
        <v>132</v>
      </c>
      <c r="U220">
        <f t="shared" ref="U220:AB220" si="86">U218-U219</f>
        <v>19</v>
      </c>
      <c r="V220">
        <f t="shared" si="86"/>
        <v>105</v>
      </c>
      <c r="W220">
        <f t="shared" si="86"/>
        <v>90</v>
      </c>
      <c r="X220">
        <f t="shared" si="86"/>
        <v>126</v>
      </c>
      <c r="Y220">
        <f t="shared" si="86"/>
        <v>133</v>
      </c>
      <c r="Z220">
        <f t="shared" si="86"/>
        <v>15</v>
      </c>
      <c r="AA220">
        <f t="shared" si="86"/>
        <v>174</v>
      </c>
      <c r="AB220">
        <f t="shared" si="86"/>
        <v>185</v>
      </c>
    </row>
    <row r="221" spans="1:1026"/>
  </sheetData>
  <mergeCells count="3">
    <mergeCell ref="U1:AB1"/>
    <mergeCell ref="U2:AC2"/>
    <mergeCell ref="U3:AC3"/>
  </mergeCells>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231"/>
  <sheetViews>
    <sheetView zoomScaleNormal="100" workbookViewId="0">
      <pane ySplit="6" topLeftCell="A99" activePane="bottomLeft" state="frozen"/>
      <selection pane="bottomLeft" activeCell="D118" sqref="D118"/>
    </sheetView>
  </sheetViews>
  <sheetFormatPr baseColWidth="10" defaultColWidth="9.1640625" defaultRowHeight="15"/>
  <cols>
    <col min="1" max="3" width="15.6640625" customWidth="1"/>
    <col min="4" max="4" width="8.5" customWidth="1"/>
    <col min="5" max="8" width="7.5" customWidth="1"/>
    <col min="9" max="9" width="31.1640625" customWidth="1"/>
    <col min="10" max="10" width="15.6640625" customWidth="1"/>
    <col min="11" max="11" width="22" customWidth="1"/>
    <col min="12" max="12" width="22.6640625" customWidth="1"/>
    <col min="13" max="13" width="26.1640625" customWidth="1"/>
    <col min="14" max="14" width="15.6640625" customWidth="1"/>
    <col min="15" max="15" width="26.1640625" customWidth="1"/>
    <col min="16" max="39" width="15.6640625" customWidth="1"/>
  </cols>
  <sheetData>
    <row r="1" spans="1:39">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row>
    <row r="2" spans="1:39" s="26" customFormat="1"/>
    <row r="5" spans="1:39">
      <c r="C5" s="56" t="s">
        <v>201</v>
      </c>
      <c r="D5" t="e">
        <f>#REF!</f>
        <v>#REF!</v>
      </c>
      <c r="E5" t="str">
        <f>'Task 2a - Mitigating the Proble'!D215</f>
        <v>/10</v>
      </c>
      <c r="F5" t="e">
        <f>#REF!</f>
        <v>#REF!</v>
      </c>
      <c r="G5" t="e">
        <f>#REF!</f>
        <v>#REF!</v>
      </c>
      <c r="H5" t="e">
        <f>#REF!</f>
        <v>#REF!</v>
      </c>
    </row>
    <row r="6" spans="1:39">
      <c r="A6" s="9" t="s">
        <v>109</v>
      </c>
      <c r="B6" s="15" t="s">
        <v>125</v>
      </c>
      <c r="C6" s="15" t="s">
        <v>202</v>
      </c>
      <c r="D6" s="15" t="s">
        <v>203</v>
      </c>
      <c r="E6" s="15" t="s">
        <v>204</v>
      </c>
      <c r="F6" s="15" t="s">
        <v>205</v>
      </c>
      <c r="G6" s="15" t="s">
        <v>206</v>
      </c>
      <c r="H6" s="15" t="s">
        <v>207</v>
      </c>
    </row>
    <row r="7" spans="1:39">
      <c r="A7" t="e">
        <f>#REF!</f>
        <v>#REF!</v>
      </c>
      <c r="B7" s="25" t="e">
        <f>#REF!</f>
        <v>#REF!</v>
      </c>
      <c r="C7" t="e">
        <f t="shared" ref="C7" si="0">SUM(D7:H7)</f>
        <v>#REF!</v>
      </c>
      <c r="D7" t="e">
        <f>#REF!</f>
        <v>#REF!</v>
      </c>
      <c r="E7" s="38">
        <f>'Task 2a - Mitigating the Proble'!D7</f>
        <v>7</v>
      </c>
      <c r="F7" t="e">
        <f>#REF!</f>
        <v>#REF!</v>
      </c>
      <c r="G7" t="e">
        <f>#REF!</f>
        <v>#REF!</v>
      </c>
      <c r="H7" t="e">
        <f>#REF!</f>
        <v>#REF!</v>
      </c>
    </row>
    <row r="8" spans="1:39" ht="32">
      <c r="A8" t="e">
        <f>#REF!</f>
        <v>#REF!</v>
      </c>
      <c r="B8" s="93" t="e">
        <f>#REF!</f>
        <v>#REF!</v>
      </c>
      <c r="C8" s="91">
        <v>50</v>
      </c>
      <c r="D8" t="e">
        <f>#REF!</f>
        <v>#REF!</v>
      </c>
      <c r="E8" s="38">
        <f>'Task 2a - Mitigating the Proble'!D8</f>
        <v>5</v>
      </c>
      <c r="F8" t="e">
        <f>#REF!</f>
        <v>#REF!</v>
      </c>
      <c r="G8" t="e">
        <f>#REF!</f>
        <v>#REF!</v>
      </c>
      <c r="H8" t="e">
        <f>#REF!</f>
        <v>#REF!</v>
      </c>
      <c r="J8" s="92" t="s">
        <v>208</v>
      </c>
    </row>
    <row r="9" spans="1:39">
      <c r="A9" t="e">
        <f>#REF!</f>
        <v>#REF!</v>
      </c>
      <c r="B9" s="25" t="e">
        <f>#REF!</f>
        <v>#REF!</v>
      </c>
      <c r="C9" t="e">
        <f t="shared" ref="C9:C71" si="1">SUM(D9:H9)</f>
        <v>#REF!</v>
      </c>
      <c r="D9" t="e">
        <f>#REF!</f>
        <v>#REF!</v>
      </c>
      <c r="E9" s="38">
        <f>'Task 2a - Mitigating the Proble'!D9</f>
        <v>6</v>
      </c>
      <c r="F9" t="e">
        <f>#REF!</f>
        <v>#REF!</v>
      </c>
      <c r="G9" t="e">
        <f>#REF!</f>
        <v>#REF!</v>
      </c>
      <c r="H9" t="e">
        <f>#REF!</f>
        <v>#REF!</v>
      </c>
    </row>
    <row r="10" spans="1:39">
      <c r="A10" t="e">
        <f>#REF!</f>
        <v>#REF!</v>
      </c>
      <c r="B10" s="25" t="e">
        <f>#REF!</f>
        <v>#REF!</v>
      </c>
      <c r="C10" t="e">
        <f t="shared" si="1"/>
        <v>#REF!</v>
      </c>
      <c r="D10" t="e">
        <f>#REF!</f>
        <v>#REF!</v>
      </c>
      <c r="E10" s="38">
        <f>'Task 2a - Mitigating the Proble'!D10</f>
        <v>5</v>
      </c>
      <c r="F10" t="e">
        <f>#REF!</f>
        <v>#REF!</v>
      </c>
      <c r="G10" t="e">
        <f>#REF!</f>
        <v>#REF!</v>
      </c>
      <c r="H10" t="e">
        <f>#REF!</f>
        <v>#REF!</v>
      </c>
    </row>
    <row r="11" spans="1:39">
      <c r="A11" t="e">
        <f>#REF!</f>
        <v>#REF!</v>
      </c>
      <c r="B11" s="25" t="e">
        <f>#REF!</f>
        <v>#REF!</v>
      </c>
      <c r="C11" t="e">
        <f t="shared" si="1"/>
        <v>#REF!</v>
      </c>
      <c r="D11" t="e">
        <f>#REF!</f>
        <v>#REF!</v>
      </c>
      <c r="E11" s="38">
        <f>'Task 2a - Mitigating the Proble'!D11</f>
        <v>6</v>
      </c>
      <c r="F11" t="e">
        <f>#REF!</f>
        <v>#REF!</v>
      </c>
      <c r="G11" t="e">
        <f>#REF!</f>
        <v>#REF!</v>
      </c>
      <c r="H11" t="e">
        <f>#REF!</f>
        <v>#REF!</v>
      </c>
    </row>
    <row r="12" spans="1:39">
      <c r="A12" t="e">
        <f>#REF!</f>
        <v>#REF!</v>
      </c>
      <c r="B12" s="25" t="e">
        <f>#REF!</f>
        <v>#REF!</v>
      </c>
      <c r="C12" t="e">
        <f t="shared" si="1"/>
        <v>#REF!</v>
      </c>
      <c r="D12" t="e">
        <f>#REF!</f>
        <v>#REF!</v>
      </c>
      <c r="E12" s="38">
        <f>'Task 2a - Mitigating the Proble'!D12</f>
        <v>7</v>
      </c>
      <c r="F12" t="e">
        <f>#REF!</f>
        <v>#REF!</v>
      </c>
      <c r="G12" t="e">
        <f>#REF!</f>
        <v>#REF!</v>
      </c>
      <c r="H12" t="e">
        <f>#REF!</f>
        <v>#REF!</v>
      </c>
    </row>
    <row r="13" spans="1:39">
      <c r="A13" t="e">
        <f>#REF!</f>
        <v>#REF!</v>
      </c>
      <c r="B13" s="25" t="e">
        <f>#REF!</f>
        <v>#REF!</v>
      </c>
      <c r="C13" t="e">
        <f t="shared" si="1"/>
        <v>#REF!</v>
      </c>
      <c r="D13" t="e">
        <f>#REF!</f>
        <v>#REF!</v>
      </c>
      <c r="E13" s="38">
        <f>'Task 2a - Mitigating the Proble'!D13</f>
        <v>7</v>
      </c>
      <c r="F13" t="e">
        <f>#REF!</f>
        <v>#REF!</v>
      </c>
      <c r="G13" t="e">
        <f>#REF!</f>
        <v>#REF!</v>
      </c>
      <c r="H13" t="e">
        <f>#REF!</f>
        <v>#REF!</v>
      </c>
    </row>
    <row r="14" spans="1:39">
      <c r="A14" t="e">
        <f>#REF!</f>
        <v>#REF!</v>
      </c>
      <c r="B14" s="25" t="e">
        <f>#REF!</f>
        <v>#REF!</v>
      </c>
      <c r="C14" t="e">
        <f t="shared" si="1"/>
        <v>#REF!</v>
      </c>
      <c r="D14" t="e">
        <f>#REF!</f>
        <v>#REF!</v>
      </c>
      <c r="E14" s="38">
        <f>'Task 2a - Mitigating the Proble'!D14</f>
        <v>5</v>
      </c>
      <c r="F14" t="e">
        <f>#REF!</f>
        <v>#REF!</v>
      </c>
      <c r="G14" t="e">
        <f>#REF!</f>
        <v>#REF!</v>
      </c>
      <c r="H14" t="e">
        <f>#REF!</f>
        <v>#REF!</v>
      </c>
    </row>
    <row r="15" spans="1:39">
      <c r="A15" t="e">
        <f>#REF!</f>
        <v>#REF!</v>
      </c>
      <c r="B15" s="25" t="e">
        <f>#REF!</f>
        <v>#REF!</v>
      </c>
      <c r="C15" t="e">
        <f t="shared" si="1"/>
        <v>#REF!</v>
      </c>
      <c r="D15" t="e">
        <f>#REF!</f>
        <v>#REF!</v>
      </c>
      <c r="E15" s="38">
        <f>'Task 2a - Mitigating the Proble'!D15</f>
        <v>5</v>
      </c>
      <c r="F15" t="e">
        <f>#REF!</f>
        <v>#REF!</v>
      </c>
      <c r="G15" t="e">
        <f>#REF!</f>
        <v>#REF!</v>
      </c>
      <c r="H15" t="e">
        <f>#REF!</f>
        <v>#REF!</v>
      </c>
    </row>
    <row r="16" spans="1:39">
      <c r="A16" t="e">
        <f>#REF!</f>
        <v>#REF!</v>
      </c>
      <c r="B16" s="25" t="e">
        <f>#REF!</f>
        <v>#REF!</v>
      </c>
      <c r="C16" t="e">
        <f t="shared" si="1"/>
        <v>#REF!</v>
      </c>
      <c r="D16" t="e">
        <f>#REF!</f>
        <v>#REF!</v>
      </c>
      <c r="E16" s="38">
        <f>'Task 2a - Mitigating the Proble'!D16</f>
        <v>6</v>
      </c>
      <c r="F16" t="e">
        <f>#REF!</f>
        <v>#REF!</v>
      </c>
      <c r="G16" t="e">
        <f>#REF!</f>
        <v>#REF!</v>
      </c>
      <c r="H16" t="e">
        <f>#REF!</f>
        <v>#REF!</v>
      </c>
    </row>
    <row r="17" spans="1:10" ht="32">
      <c r="A17" t="e">
        <f>#REF!</f>
        <v>#REF!</v>
      </c>
      <c r="B17" s="87" t="e">
        <f>#REF!</f>
        <v>#REF!</v>
      </c>
      <c r="C17" s="90">
        <v>40</v>
      </c>
      <c r="D17" t="e">
        <f>#REF!</f>
        <v>#REF!</v>
      </c>
      <c r="E17" s="38">
        <f>'Task 2a - Mitigating the Proble'!D17</f>
        <v>5</v>
      </c>
      <c r="F17" t="e">
        <f>#REF!</f>
        <v>#REF!</v>
      </c>
      <c r="G17" t="e">
        <f>#REF!</f>
        <v>#REF!</v>
      </c>
      <c r="H17" t="e">
        <f>#REF!</f>
        <v>#REF!</v>
      </c>
      <c r="J17" s="89" t="s">
        <v>209</v>
      </c>
    </row>
    <row r="18" spans="1:10">
      <c r="A18" t="e">
        <f>#REF!</f>
        <v>#REF!</v>
      </c>
      <c r="B18" s="25" t="e">
        <f>#REF!</f>
        <v>#REF!</v>
      </c>
      <c r="C18" t="e">
        <f t="shared" si="1"/>
        <v>#REF!</v>
      </c>
      <c r="D18" t="e">
        <f>#REF!</f>
        <v>#REF!</v>
      </c>
      <c r="E18" s="38">
        <f>'Task 2a - Mitigating the Proble'!D18</f>
        <v>7</v>
      </c>
      <c r="F18" t="e">
        <f>#REF!</f>
        <v>#REF!</v>
      </c>
      <c r="G18" t="e">
        <f>#REF!</f>
        <v>#REF!</v>
      </c>
      <c r="H18" t="e">
        <f>#REF!</f>
        <v>#REF!</v>
      </c>
    </row>
    <row r="19" spans="1:10">
      <c r="A19" t="e">
        <f>#REF!</f>
        <v>#REF!</v>
      </c>
      <c r="B19" s="25" t="e">
        <f>#REF!</f>
        <v>#REF!</v>
      </c>
      <c r="C19" t="e">
        <f t="shared" si="1"/>
        <v>#REF!</v>
      </c>
      <c r="D19" t="e">
        <f>#REF!</f>
        <v>#REF!</v>
      </c>
      <c r="E19" s="38">
        <f>'Task 2a - Mitigating the Proble'!D19</f>
        <v>9</v>
      </c>
      <c r="F19" t="e">
        <f>#REF!</f>
        <v>#REF!</v>
      </c>
      <c r="G19" t="e">
        <f>#REF!</f>
        <v>#REF!</v>
      </c>
      <c r="H19" t="e">
        <f>#REF!</f>
        <v>#REF!</v>
      </c>
    </row>
    <row r="20" spans="1:10">
      <c r="A20" t="e">
        <f>#REF!</f>
        <v>#REF!</v>
      </c>
      <c r="B20" s="25" t="e">
        <f>#REF!</f>
        <v>#REF!</v>
      </c>
      <c r="C20" t="e">
        <f t="shared" si="1"/>
        <v>#REF!</v>
      </c>
      <c r="D20" t="e">
        <f>#REF!</f>
        <v>#REF!</v>
      </c>
      <c r="E20" s="38">
        <f>'Task 2a - Mitigating the Proble'!D20</f>
        <v>6</v>
      </c>
      <c r="F20" t="e">
        <f>#REF!</f>
        <v>#REF!</v>
      </c>
      <c r="G20" t="e">
        <f>#REF!</f>
        <v>#REF!</v>
      </c>
      <c r="H20" t="e">
        <f>#REF!</f>
        <v>#REF!</v>
      </c>
    </row>
    <row r="21" spans="1:10">
      <c r="A21" t="e">
        <f>#REF!</f>
        <v>#REF!</v>
      </c>
      <c r="B21" s="25" t="e">
        <f>#REF!</f>
        <v>#REF!</v>
      </c>
      <c r="C21" t="e">
        <f t="shared" si="1"/>
        <v>#REF!</v>
      </c>
      <c r="D21" t="e">
        <f>#REF!</f>
        <v>#REF!</v>
      </c>
      <c r="E21" s="38">
        <f>'Task 2a - Mitigating the Proble'!D21</f>
        <v>7</v>
      </c>
      <c r="F21" t="e">
        <f>#REF!</f>
        <v>#REF!</v>
      </c>
      <c r="G21" t="e">
        <f>#REF!</f>
        <v>#REF!</v>
      </c>
      <c r="H21" t="e">
        <f>#REF!</f>
        <v>#REF!</v>
      </c>
    </row>
    <row r="22" spans="1:10">
      <c r="A22" t="e">
        <f>#REF!</f>
        <v>#REF!</v>
      </c>
      <c r="B22" s="25" t="e">
        <f>#REF!</f>
        <v>#REF!</v>
      </c>
      <c r="C22" t="e">
        <f t="shared" si="1"/>
        <v>#REF!</v>
      </c>
      <c r="D22" t="e">
        <f>#REF!</f>
        <v>#REF!</v>
      </c>
      <c r="E22" s="38">
        <f>'Task 2a - Mitigating the Proble'!D22</f>
        <v>7</v>
      </c>
      <c r="F22" t="e">
        <f>#REF!</f>
        <v>#REF!</v>
      </c>
      <c r="G22" t="e">
        <f>#REF!</f>
        <v>#REF!</v>
      </c>
      <c r="H22" t="e">
        <f>#REF!</f>
        <v>#REF!</v>
      </c>
    </row>
    <row r="23" spans="1:10">
      <c r="A23" t="e">
        <f>#REF!</f>
        <v>#REF!</v>
      </c>
      <c r="B23" s="25" t="e">
        <f>#REF!</f>
        <v>#REF!</v>
      </c>
      <c r="C23" t="e">
        <f t="shared" si="1"/>
        <v>#REF!</v>
      </c>
      <c r="D23" t="e">
        <f>#REF!</f>
        <v>#REF!</v>
      </c>
      <c r="E23" s="38">
        <f>'Task 2a - Mitigating the Proble'!D23</f>
        <v>6</v>
      </c>
      <c r="F23" t="e">
        <f>#REF!</f>
        <v>#REF!</v>
      </c>
      <c r="G23" t="e">
        <f>#REF!</f>
        <v>#REF!</v>
      </c>
      <c r="H23" t="e">
        <f>#REF!</f>
        <v>#REF!</v>
      </c>
    </row>
    <row r="24" spans="1:10">
      <c r="A24" t="e">
        <f>#REF!</f>
        <v>#REF!</v>
      </c>
      <c r="B24" s="25" t="e">
        <f>#REF!</f>
        <v>#REF!</v>
      </c>
      <c r="C24" t="e">
        <f t="shared" si="1"/>
        <v>#REF!</v>
      </c>
      <c r="D24" t="e">
        <f>#REF!</f>
        <v>#REF!</v>
      </c>
      <c r="E24" s="38">
        <f>'Task 2a - Mitigating the Proble'!D24</f>
        <v>6</v>
      </c>
      <c r="F24" t="e">
        <f>#REF!</f>
        <v>#REF!</v>
      </c>
      <c r="G24" t="e">
        <f>#REF!</f>
        <v>#REF!</v>
      </c>
      <c r="H24" t="e">
        <f>#REF!</f>
        <v>#REF!</v>
      </c>
    </row>
    <row r="25" spans="1:10">
      <c r="A25" t="e">
        <f>#REF!</f>
        <v>#REF!</v>
      </c>
      <c r="B25" s="25" t="e">
        <f>#REF!</f>
        <v>#REF!</v>
      </c>
      <c r="C25" t="e">
        <f t="shared" si="1"/>
        <v>#REF!</v>
      </c>
      <c r="D25" t="e">
        <f>#REF!</f>
        <v>#REF!</v>
      </c>
      <c r="E25" s="38">
        <f>'Task 2a - Mitigating the Proble'!D25</f>
        <v>5</v>
      </c>
      <c r="F25" t="e">
        <f>#REF!</f>
        <v>#REF!</v>
      </c>
      <c r="G25" t="e">
        <f>#REF!</f>
        <v>#REF!</v>
      </c>
      <c r="H25" t="e">
        <f>#REF!</f>
        <v>#REF!</v>
      </c>
    </row>
    <row r="26" spans="1:10" ht="32">
      <c r="A26" t="e">
        <f>#REF!</f>
        <v>#REF!</v>
      </c>
      <c r="B26" s="93" t="e">
        <f>#REF!</f>
        <v>#REF!</v>
      </c>
      <c r="C26" s="91">
        <v>50</v>
      </c>
      <c r="D26" t="e">
        <f>#REF!</f>
        <v>#REF!</v>
      </c>
      <c r="E26" s="38">
        <f>'Task 2a - Mitigating the Proble'!D26</f>
        <v>6</v>
      </c>
      <c r="F26" t="e">
        <f>#REF!</f>
        <v>#REF!</v>
      </c>
      <c r="G26" t="e">
        <f>#REF!</f>
        <v>#REF!</v>
      </c>
      <c r="H26" t="e">
        <f>#REF!</f>
        <v>#REF!</v>
      </c>
      <c r="J26" s="92" t="s">
        <v>210</v>
      </c>
    </row>
    <row r="27" spans="1:10">
      <c r="A27" t="e">
        <f>#REF!</f>
        <v>#REF!</v>
      </c>
      <c r="B27" s="25" t="e">
        <f>#REF!</f>
        <v>#REF!</v>
      </c>
      <c r="C27" t="e">
        <f t="shared" si="1"/>
        <v>#REF!</v>
      </c>
      <c r="D27" t="e">
        <f>#REF!</f>
        <v>#REF!</v>
      </c>
      <c r="E27" s="38">
        <f>'Task 2a - Mitigating the Proble'!D27</f>
        <v>6</v>
      </c>
      <c r="F27" t="e">
        <f>#REF!</f>
        <v>#REF!</v>
      </c>
      <c r="G27" t="e">
        <f>#REF!</f>
        <v>#REF!</v>
      </c>
      <c r="H27" t="e">
        <f>#REF!</f>
        <v>#REF!</v>
      </c>
    </row>
    <row r="28" spans="1:10">
      <c r="A28" t="e">
        <f>#REF!</f>
        <v>#REF!</v>
      </c>
      <c r="B28" s="25" t="e">
        <f>#REF!</f>
        <v>#REF!</v>
      </c>
      <c r="C28" t="e">
        <f t="shared" si="1"/>
        <v>#REF!</v>
      </c>
      <c r="D28" t="e">
        <f>#REF!</f>
        <v>#REF!</v>
      </c>
      <c r="E28" s="38">
        <f>'Task 2a - Mitigating the Proble'!D28</f>
        <v>5</v>
      </c>
      <c r="F28" t="e">
        <f>#REF!</f>
        <v>#REF!</v>
      </c>
      <c r="G28" t="e">
        <f>#REF!</f>
        <v>#REF!</v>
      </c>
      <c r="H28" t="e">
        <f>#REF!</f>
        <v>#REF!</v>
      </c>
    </row>
    <row r="29" spans="1:10">
      <c r="A29" t="e">
        <f>#REF!</f>
        <v>#REF!</v>
      </c>
      <c r="B29" s="25" t="e">
        <f>#REF!</f>
        <v>#REF!</v>
      </c>
      <c r="C29" t="e">
        <f t="shared" si="1"/>
        <v>#REF!</v>
      </c>
      <c r="D29" t="e">
        <f>#REF!</f>
        <v>#REF!</v>
      </c>
      <c r="E29" s="38">
        <f>'Task 2a - Mitigating the Proble'!D29</f>
        <v>7</v>
      </c>
      <c r="F29" t="e">
        <f>#REF!</f>
        <v>#REF!</v>
      </c>
      <c r="G29" t="e">
        <f>#REF!</f>
        <v>#REF!</v>
      </c>
      <c r="H29" t="e">
        <f>#REF!</f>
        <v>#REF!</v>
      </c>
    </row>
    <row r="30" spans="1:10">
      <c r="A30" t="e">
        <f>#REF!</f>
        <v>#REF!</v>
      </c>
      <c r="B30" s="25" t="e">
        <f>#REF!</f>
        <v>#REF!</v>
      </c>
      <c r="C30" t="e">
        <f t="shared" si="1"/>
        <v>#REF!</v>
      </c>
      <c r="D30" t="e">
        <f>#REF!</f>
        <v>#REF!</v>
      </c>
      <c r="E30" s="38">
        <f>'Task 2a - Mitigating the Proble'!D30</f>
        <v>5</v>
      </c>
      <c r="F30" t="e">
        <f>#REF!</f>
        <v>#REF!</v>
      </c>
      <c r="G30" t="e">
        <f>#REF!</f>
        <v>#REF!</v>
      </c>
      <c r="H30" t="e">
        <f>#REF!</f>
        <v>#REF!</v>
      </c>
    </row>
    <row r="31" spans="1:10">
      <c r="A31" t="e">
        <f>#REF!</f>
        <v>#REF!</v>
      </c>
      <c r="B31" s="25" t="e">
        <f>#REF!</f>
        <v>#REF!</v>
      </c>
      <c r="C31" t="e">
        <f t="shared" si="1"/>
        <v>#REF!</v>
      </c>
      <c r="D31" t="e">
        <f>#REF!</f>
        <v>#REF!</v>
      </c>
      <c r="E31" s="38">
        <f>'Task 2a - Mitigating the Proble'!D31</f>
        <v>8</v>
      </c>
      <c r="F31" t="e">
        <f>#REF!</f>
        <v>#REF!</v>
      </c>
      <c r="G31" t="e">
        <f>#REF!</f>
        <v>#REF!</v>
      </c>
      <c r="H31" t="e">
        <f>#REF!</f>
        <v>#REF!</v>
      </c>
    </row>
    <row r="32" spans="1:10">
      <c r="A32" t="e">
        <f>#REF!</f>
        <v>#REF!</v>
      </c>
      <c r="B32" s="25" t="e">
        <f>#REF!</f>
        <v>#REF!</v>
      </c>
      <c r="C32" t="e">
        <f t="shared" si="1"/>
        <v>#REF!</v>
      </c>
      <c r="D32" t="e">
        <f>#REF!</f>
        <v>#REF!</v>
      </c>
      <c r="E32" s="38">
        <f>'Task 2a - Mitigating the Proble'!D32</f>
        <v>6</v>
      </c>
      <c r="F32" t="e">
        <f>#REF!</f>
        <v>#REF!</v>
      </c>
      <c r="G32" t="e">
        <f>#REF!</f>
        <v>#REF!</v>
      </c>
      <c r="H32" t="e">
        <f>#REF!</f>
        <v>#REF!</v>
      </c>
    </row>
    <row r="33" spans="1:10">
      <c r="A33" t="e">
        <f>#REF!</f>
        <v>#REF!</v>
      </c>
      <c r="B33" s="25" t="e">
        <f>#REF!</f>
        <v>#REF!</v>
      </c>
      <c r="C33" t="e">
        <f t="shared" si="1"/>
        <v>#REF!</v>
      </c>
      <c r="D33" t="e">
        <f>#REF!</f>
        <v>#REF!</v>
      </c>
      <c r="E33" s="38">
        <f>'Task 2a - Mitigating the Proble'!D33</f>
        <v>8</v>
      </c>
      <c r="F33" t="e">
        <f>#REF!</f>
        <v>#REF!</v>
      </c>
      <c r="G33" t="e">
        <f>#REF!</f>
        <v>#REF!</v>
      </c>
      <c r="H33" t="e">
        <f>#REF!</f>
        <v>#REF!</v>
      </c>
    </row>
    <row r="34" spans="1:10">
      <c r="A34" t="e">
        <f>#REF!</f>
        <v>#REF!</v>
      </c>
      <c r="B34" s="25" t="e">
        <f>#REF!</f>
        <v>#REF!</v>
      </c>
      <c r="C34" t="e">
        <f t="shared" si="1"/>
        <v>#REF!</v>
      </c>
      <c r="D34" t="e">
        <f>#REF!</f>
        <v>#REF!</v>
      </c>
      <c r="E34" s="38">
        <f>'Task 2a - Mitigating the Proble'!D34</f>
        <v>6</v>
      </c>
      <c r="F34" t="e">
        <f>#REF!</f>
        <v>#REF!</v>
      </c>
      <c r="G34" t="e">
        <f>#REF!</f>
        <v>#REF!</v>
      </c>
      <c r="H34" t="e">
        <f>#REF!</f>
        <v>#REF!</v>
      </c>
    </row>
    <row r="35" spans="1:10">
      <c r="A35" t="e">
        <f>#REF!</f>
        <v>#REF!</v>
      </c>
      <c r="B35" s="25" t="e">
        <f>#REF!</f>
        <v>#REF!</v>
      </c>
      <c r="C35" t="e">
        <f t="shared" si="1"/>
        <v>#REF!</v>
      </c>
      <c r="D35" t="e">
        <f>#REF!</f>
        <v>#REF!</v>
      </c>
      <c r="E35" s="38">
        <f>'Task 2a - Mitigating the Proble'!D35</f>
        <v>7</v>
      </c>
      <c r="F35" t="e">
        <f>#REF!</f>
        <v>#REF!</v>
      </c>
      <c r="G35" t="e">
        <f>#REF!</f>
        <v>#REF!</v>
      </c>
      <c r="H35" t="e">
        <f>#REF!</f>
        <v>#REF!</v>
      </c>
    </row>
    <row r="36" spans="1:10" ht="32">
      <c r="A36" t="e">
        <f>#REF!</f>
        <v>#REF!</v>
      </c>
      <c r="B36" s="94" t="e">
        <f>#REF!</f>
        <v>#REF!</v>
      </c>
      <c r="C36" s="95">
        <v>45</v>
      </c>
      <c r="D36" t="e">
        <f>#REF!</f>
        <v>#REF!</v>
      </c>
      <c r="E36" s="38">
        <f>'Task 2a - Mitigating the Proble'!D36</f>
        <v>6</v>
      </c>
      <c r="F36" t="e">
        <f>#REF!</f>
        <v>#REF!</v>
      </c>
      <c r="G36" t="e">
        <f>#REF!</f>
        <v>#REF!</v>
      </c>
      <c r="H36" t="e">
        <f>#REF!</f>
        <v>#REF!</v>
      </c>
      <c r="J36" s="96" t="s">
        <v>211</v>
      </c>
    </row>
    <row r="37" spans="1:10">
      <c r="A37" t="e">
        <f>#REF!</f>
        <v>#REF!</v>
      </c>
      <c r="B37" s="25" t="e">
        <f>#REF!</f>
        <v>#REF!</v>
      </c>
      <c r="C37" t="e">
        <f t="shared" si="1"/>
        <v>#REF!</v>
      </c>
      <c r="D37" t="e">
        <f>#REF!</f>
        <v>#REF!</v>
      </c>
      <c r="E37" s="38">
        <f>'Task 2a - Mitigating the Proble'!D37</f>
        <v>6</v>
      </c>
      <c r="F37" t="e">
        <f>#REF!</f>
        <v>#REF!</v>
      </c>
      <c r="G37" t="e">
        <f>#REF!</f>
        <v>#REF!</v>
      </c>
      <c r="H37" t="e">
        <f>#REF!</f>
        <v>#REF!</v>
      </c>
    </row>
    <row r="38" spans="1:10">
      <c r="A38" t="e">
        <f>#REF!</f>
        <v>#REF!</v>
      </c>
      <c r="B38" s="25" t="e">
        <f>#REF!</f>
        <v>#REF!</v>
      </c>
      <c r="C38" t="e">
        <f t="shared" si="1"/>
        <v>#REF!</v>
      </c>
      <c r="D38" t="e">
        <f>#REF!</f>
        <v>#REF!</v>
      </c>
      <c r="E38" s="38">
        <f>'Task 2a - Mitigating the Proble'!D38</f>
        <v>7</v>
      </c>
      <c r="F38" t="e">
        <f>#REF!</f>
        <v>#REF!</v>
      </c>
      <c r="G38" t="e">
        <f>#REF!</f>
        <v>#REF!</v>
      </c>
      <c r="H38" t="e">
        <f>#REF!</f>
        <v>#REF!</v>
      </c>
    </row>
    <row r="39" spans="1:10">
      <c r="A39" t="e">
        <f>#REF!</f>
        <v>#REF!</v>
      </c>
      <c r="B39" s="25" t="e">
        <f>#REF!</f>
        <v>#REF!</v>
      </c>
      <c r="C39" t="e">
        <f t="shared" si="1"/>
        <v>#REF!</v>
      </c>
      <c r="D39" t="e">
        <f>#REF!</f>
        <v>#REF!</v>
      </c>
      <c r="E39" s="38">
        <f>'Task 2a - Mitigating the Proble'!D39</f>
        <v>7</v>
      </c>
      <c r="F39" t="e">
        <f>#REF!</f>
        <v>#REF!</v>
      </c>
      <c r="G39" t="e">
        <f>#REF!</f>
        <v>#REF!</v>
      </c>
      <c r="H39" t="e">
        <f>#REF!</f>
        <v>#REF!</v>
      </c>
    </row>
    <row r="40" spans="1:10">
      <c r="A40" t="e">
        <f>#REF!</f>
        <v>#REF!</v>
      </c>
      <c r="B40" s="25" t="e">
        <f>#REF!</f>
        <v>#REF!</v>
      </c>
      <c r="C40" t="e">
        <f t="shared" si="1"/>
        <v>#REF!</v>
      </c>
      <c r="D40" t="e">
        <f>#REF!</f>
        <v>#REF!</v>
      </c>
      <c r="E40" s="38">
        <f>'Task 2a - Mitigating the Proble'!D40</f>
        <v>6</v>
      </c>
      <c r="F40" t="e">
        <f>#REF!</f>
        <v>#REF!</v>
      </c>
      <c r="G40" t="e">
        <f>#REF!</f>
        <v>#REF!</v>
      </c>
      <c r="H40" t="e">
        <f>#REF!</f>
        <v>#REF!</v>
      </c>
    </row>
    <row r="41" spans="1:10">
      <c r="A41" t="e">
        <f>#REF!</f>
        <v>#REF!</v>
      </c>
      <c r="B41" s="25" t="e">
        <f>#REF!</f>
        <v>#REF!</v>
      </c>
      <c r="C41" t="e">
        <f t="shared" si="1"/>
        <v>#REF!</v>
      </c>
      <c r="D41" t="e">
        <f>#REF!</f>
        <v>#REF!</v>
      </c>
      <c r="E41" s="38">
        <f>'Task 2a - Mitigating the Proble'!D41</f>
        <v>5</v>
      </c>
      <c r="F41" t="e">
        <f>#REF!</f>
        <v>#REF!</v>
      </c>
      <c r="G41" t="e">
        <f>#REF!</f>
        <v>#REF!</v>
      </c>
      <c r="H41" t="e">
        <f>#REF!</f>
        <v>#REF!</v>
      </c>
    </row>
    <row r="42" spans="1:10">
      <c r="A42" t="e">
        <f>#REF!</f>
        <v>#REF!</v>
      </c>
      <c r="B42" s="25" t="e">
        <f>#REF!</f>
        <v>#REF!</v>
      </c>
      <c r="C42" t="e">
        <f t="shared" si="1"/>
        <v>#REF!</v>
      </c>
      <c r="D42" t="e">
        <f>#REF!</f>
        <v>#REF!</v>
      </c>
      <c r="E42" s="38">
        <f>'Task 2a - Mitigating the Proble'!D42</f>
        <v>7</v>
      </c>
      <c r="F42" t="e">
        <f>#REF!</f>
        <v>#REF!</v>
      </c>
      <c r="G42" t="e">
        <f>#REF!</f>
        <v>#REF!</v>
      </c>
      <c r="H42" t="e">
        <f>#REF!</f>
        <v>#REF!</v>
      </c>
    </row>
    <row r="43" spans="1:10">
      <c r="A43" t="e">
        <f>#REF!</f>
        <v>#REF!</v>
      </c>
      <c r="B43" s="25" t="e">
        <f>#REF!</f>
        <v>#REF!</v>
      </c>
      <c r="C43" t="e">
        <f t="shared" si="1"/>
        <v>#REF!</v>
      </c>
      <c r="D43" t="e">
        <f>#REF!</f>
        <v>#REF!</v>
      </c>
      <c r="E43" s="38">
        <f>'Task 2a - Mitigating the Proble'!D43</f>
        <v>7</v>
      </c>
      <c r="F43" t="e">
        <f>#REF!</f>
        <v>#REF!</v>
      </c>
      <c r="G43" t="e">
        <f>#REF!</f>
        <v>#REF!</v>
      </c>
      <c r="H43" t="e">
        <f>#REF!</f>
        <v>#REF!</v>
      </c>
    </row>
    <row r="44" spans="1:10">
      <c r="A44" t="e">
        <f>#REF!</f>
        <v>#REF!</v>
      </c>
      <c r="B44" s="25" t="e">
        <f>#REF!</f>
        <v>#REF!</v>
      </c>
      <c r="C44" t="e">
        <f t="shared" si="1"/>
        <v>#REF!</v>
      </c>
      <c r="D44" t="e">
        <f>#REF!</f>
        <v>#REF!</v>
      </c>
      <c r="E44" s="38">
        <f>'Task 2a - Mitigating the Proble'!D44</f>
        <v>6</v>
      </c>
      <c r="F44" t="e">
        <f>#REF!</f>
        <v>#REF!</v>
      </c>
      <c r="G44" t="e">
        <f>#REF!</f>
        <v>#REF!</v>
      </c>
      <c r="H44" t="e">
        <f>#REF!</f>
        <v>#REF!</v>
      </c>
    </row>
    <row r="45" spans="1:10">
      <c r="A45" t="e">
        <f>#REF!</f>
        <v>#REF!</v>
      </c>
      <c r="B45" s="25" t="e">
        <f>#REF!</f>
        <v>#REF!</v>
      </c>
      <c r="C45" t="e">
        <f t="shared" si="1"/>
        <v>#REF!</v>
      </c>
      <c r="D45" t="e">
        <f>#REF!</f>
        <v>#REF!</v>
      </c>
      <c r="E45" s="38">
        <f>'Task 2a - Mitigating the Proble'!D45</f>
        <v>5</v>
      </c>
      <c r="F45" t="e">
        <f>#REF!</f>
        <v>#REF!</v>
      </c>
      <c r="G45" t="e">
        <f>#REF!</f>
        <v>#REF!</v>
      </c>
      <c r="H45" t="e">
        <f>#REF!</f>
        <v>#REF!</v>
      </c>
    </row>
    <row r="46" spans="1:10">
      <c r="A46" t="e">
        <f>#REF!</f>
        <v>#REF!</v>
      </c>
      <c r="B46" s="25" t="e">
        <f>#REF!</f>
        <v>#REF!</v>
      </c>
      <c r="C46" t="e">
        <f t="shared" si="1"/>
        <v>#REF!</v>
      </c>
      <c r="D46" t="e">
        <f>#REF!</f>
        <v>#REF!</v>
      </c>
      <c r="E46" s="38">
        <f>'Task 2a - Mitigating the Proble'!D46</f>
        <v>7</v>
      </c>
      <c r="F46" t="e">
        <f>#REF!</f>
        <v>#REF!</v>
      </c>
      <c r="G46" t="e">
        <f>#REF!</f>
        <v>#REF!</v>
      </c>
      <c r="H46" t="e">
        <f>#REF!</f>
        <v>#REF!</v>
      </c>
    </row>
    <row r="47" spans="1:10">
      <c r="A47" t="e">
        <f>#REF!</f>
        <v>#REF!</v>
      </c>
      <c r="B47" s="25" t="e">
        <f>#REF!</f>
        <v>#REF!</v>
      </c>
      <c r="C47" t="e">
        <f t="shared" si="1"/>
        <v>#REF!</v>
      </c>
      <c r="D47" t="e">
        <f>#REF!</f>
        <v>#REF!</v>
      </c>
      <c r="E47" s="38">
        <f>'Task 2a - Mitigating the Proble'!D47</f>
        <v>5</v>
      </c>
      <c r="F47" t="e">
        <f>#REF!</f>
        <v>#REF!</v>
      </c>
      <c r="G47" t="e">
        <f>#REF!</f>
        <v>#REF!</v>
      </c>
      <c r="H47" t="e">
        <f>#REF!</f>
        <v>#REF!</v>
      </c>
    </row>
    <row r="48" spans="1:10">
      <c r="A48" t="e">
        <f>#REF!</f>
        <v>#REF!</v>
      </c>
      <c r="B48" s="25" t="e">
        <f>#REF!</f>
        <v>#REF!</v>
      </c>
      <c r="C48" t="e">
        <f t="shared" si="1"/>
        <v>#REF!</v>
      </c>
      <c r="D48" t="e">
        <f>#REF!</f>
        <v>#REF!</v>
      </c>
      <c r="E48" s="38">
        <f>'Task 2a - Mitigating the Proble'!D48</f>
        <v>5</v>
      </c>
      <c r="F48" t="e">
        <f>#REF!</f>
        <v>#REF!</v>
      </c>
      <c r="G48" t="e">
        <f>#REF!</f>
        <v>#REF!</v>
      </c>
      <c r="H48" t="e">
        <f>#REF!</f>
        <v>#REF!</v>
      </c>
    </row>
    <row r="49" spans="1:10">
      <c r="A49" t="e">
        <f>#REF!</f>
        <v>#REF!</v>
      </c>
      <c r="B49" s="25" t="e">
        <f>#REF!</f>
        <v>#REF!</v>
      </c>
      <c r="C49" t="e">
        <f t="shared" si="1"/>
        <v>#REF!</v>
      </c>
      <c r="D49" t="e">
        <f>#REF!</f>
        <v>#REF!</v>
      </c>
      <c r="E49" s="38">
        <f>'Task 2a - Mitigating the Proble'!D49</f>
        <v>4</v>
      </c>
      <c r="F49" t="e">
        <f>#REF!</f>
        <v>#REF!</v>
      </c>
      <c r="G49" t="e">
        <f>#REF!</f>
        <v>#REF!</v>
      </c>
      <c r="H49" t="e">
        <f>#REF!</f>
        <v>#REF!</v>
      </c>
    </row>
    <row r="50" spans="1:10">
      <c r="A50" t="e">
        <f>#REF!</f>
        <v>#REF!</v>
      </c>
      <c r="B50" s="25" t="e">
        <f>#REF!</f>
        <v>#REF!</v>
      </c>
      <c r="C50" t="e">
        <f t="shared" si="1"/>
        <v>#REF!</v>
      </c>
      <c r="D50" t="e">
        <f>#REF!</f>
        <v>#REF!</v>
      </c>
      <c r="E50" s="38">
        <f>'Task 2a - Mitigating the Proble'!D50</f>
        <v>7</v>
      </c>
      <c r="F50" t="e">
        <f>#REF!</f>
        <v>#REF!</v>
      </c>
      <c r="G50" t="e">
        <f>#REF!</f>
        <v>#REF!</v>
      </c>
      <c r="H50" t="e">
        <f>#REF!</f>
        <v>#REF!</v>
      </c>
    </row>
    <row r="51" spans="1:10">
      <c r="A51" t="e">
        <f>#REF!</f>
        <v>#REF!</v>
      </c>
      <c r="B51" s="25" t="e">
        <f>#REF!</f>
        <v>#REF!</v>
      </c>
      <c r="C51" t="e">
        <f t="shared" si="1"/>
        <v>#REF!</v>
      </c>
      <c r="D51" t="e">
        <f>#REF!</f>
        <v>#REF!</v>
      </c>
      <c r="E51" s="38">
        <f>'Task 2a - Mitigating the Proble'!D51</f>
        <v>7</v>
      </c>
      <c r="F51" t="e">
        <f>#REF!</f>
        <v>#REF!</v>
      </c>
      <c r="G51" t="e">
        <f>#REF!</f>
        <v>#REF!</v>
      </c>
      <c r="H51" t="e">
        <f>#REF!</f>
        <v>#REF!</v>
      </c>
    </row>
    <row r="52" spans="1:10">
      <c r="A52" t="e">
        <f>#REF!</f>
        <v>#REF!</v>
      </c>
      <c r="B52" s="25" t="e">
        <f>#REF!</f>
        <v>#REF!</v>
      </c>
      <c r="C52" t="e">
        <f t="shared" si="1"/>
        <v>#REF!</v>
      </c>
      <c r="D52" t="e">
        <f>#REF!</f>
        <v>#REF!</v>
      </c>
      <c r="E52" s="38">
        <f>'Task 2a - Mitigating the Proble'!D52</f>
        <v>5</v>
      </c>
      <c r="F52" t="e">
        <f>#REF!</f>
        <v>#REF!</v>
      </c>
      <c r="G52" t="e">
        <f>#REF!</f>
        <v>#REF!</v>
      </c>
      <c r="H52" t="e">
        <f>#REF!</f>
        <v>#REF!</v>
      </c>
    </row>
    <row r="53" spans="1:10">
      <c r="A53" t="e">
        <f>#REF!</f>
        <v>#REF!</v>
      </c>
      <c r="B53" s="25" t="e">
        <f>#REF!</f>
        <v>#REF!</v>
      </c>
      <c r="C53" s="75" t="e">
        <f t="shared" si="1"/>
        <v>#REF!</v>
      </c>
      <c r="D53" t="e">
        <f>#REF!</f>
        <v>#REF!</v>
      </c>
      <c r="E53" s="38">
        <f>'Task 2a - Mitigating the Proble'!D53</f>
        <v>4</v>
      </c>
      <c r="F53" t="e">
        <f>#REF!</f>
        <v>#REF!</v>
      </c>
      <c r="G53" t="e">
        <f>#REF!</f>
        <v>#REF!</v>
      </c>
      <c r="H53" t="e">
        <f>#REF!</f>
        <v>#REF!</v>
      </c>
      <c r="J53" s="75" t="s">
        <v>212</v>
      </c>
    </row>
    <row r="54" spans="1:10">
      <c r="A54" t="e">
        <f>#REF!</f>
        <v>#REF!</v>
      </c>
      <c r="B54" s="25" t="e">
        <f>#REF!</f>
        <v>#REF!</v>
      </c>
      <c r="C54" t="e">
        <f t="shared" si="1"/>
        <v>#REF!</v>
      </c>
      <c r="D54" t="e">
        <f>#REF!</f>
        <v>#REF!</v>
      </c>
      <c r="E54" s="38">
        <f>'Task 2a - Mitigating the Proble'!D54</f>
        <v>5</v>
      </c>
      <c r="F54" t="e">
        <f>#REF!</f>
        <v>#REF!</v>
      </c>
      <c r="G54" t="e">
        <f>#REF!</f>
        <v>#REF!</v>
      </c>
      <c r="H54" t="e">
        <f>#REF!</f>
        <v>#REF!</v>
      </c>
    </row>
    <row r="55" spans="1:10">
      <c r="A55" t="e">
        <f>#REF!</f>
        <v>#REF!</v>
      </c>
      <c r="B55" s="25" t="e">
        <f>#REF!</f>
        <v>#REF!</v>
      </c>
      <c r="C55" t="e">
        <f t="shared" si="1"/>
        <v>#REF!</v>
      </c>
      <c r="D55" t="e">
        <f>#REF!</f>
        <v>#REF!</v>
      </c>
      <c r="E55" s="38">
        <f>'Task 2a - Mitigating the Proble'!D55</f>
        <v>5</v>
      </c>
      <c r="F55" t="e">
        <f>#REF!</f>
        <v>#REF!</v>
      </c>
      <c r="G55" t="e">
        <f>#REF!</f>
        <v>#REF!</v>
      </c>
      <c r="H55" t="e">
        <f>#REF!</f>
        <v>#REF!</v>
      </c>
    </row>
    <row r="56" spans="1:10">
      <c r="A56" t="e">
        <f>#REF!</f>
        <v>#REF!</v>
      </c>
      <c r="B56" s="25" t="e">
        <f>#REF!</f>
        <v>#REF!</v>
      </c>
      <c r="C56" t="e">
        <f t="shared" si="1"/>
        <v>#REF!</v>
      </c>
      <c r="D56" t="e">
        <f>#REF!</f>
        <v>#REF!</v>
      </c>
      <c r="E56" s="38">
        <f>'Task 2a - Mitigating the Proble'!D56</f>
        <v>6</v>
      </c>
      <c r="F56" t="e">
        <f>#REF!</f>
        <v>#REF!</v>
      </c>
      <c r="G56" t="e">
        <f>#REF!</f>
        <v>#REF!</v>
      </c>
      <c r="H56" t="e">
        <f>#REF!</f>
        <v>#REF!</v>
      </c>
    </row>
    <row r="57" spans="1:10">
      <c r="A57" t="e">
        <f>#REF!</f>
        <v>#REF!</v>
      </c>
      <c r="B57" s="25" t="e">
        <f>#REF!</f>
        <v>#REF!</v>
      </c>
      <c r="C57" t="e">
        <f t="shared" si="1"/>
        <v>#REF!</v>
      </c>
      <c r="D57" t="e">
        <f>#REF!</f>
        <v>#REF!</v>
      </c>
      <c r="E57" s="38">
        <f>'Task 2a - Mitigating the Proble'!D57</f>
        <v>5</v>
      </c>
      <c r="F57" t="e">
        <f>#REF!</f>
        <v>#REF!</v>
      </c>
      <c r="G57" t="e">
        <f>#REF!</f>
        <v>#REF!</v>
      </c>
      <c r="H57" t="e">
        <f>#REF!</f>
        <v>#REF!</v>
      </c>
    </row>
    <row r="58" spans="1:10">
      <c r="A58" t="e">
        <f>#REF!</f>
        <v>#REF!</v>
      </c>
      <c r="B58" s="25" t="e">
        <f>#REF!</f>
        <v>#REF!</v>
      </c>
      <c r="C58" t="e">
        <f t="shared" si="1"/>
        <v>#REF!</v>
      </c>
      <c r="D58" t="e">
        <f>#REF!</f>
        <v>#REF!</v>
      </c>
      <c r="E58" s="38">
        <f>'Task 2a - Mitigating the Proble'!D58</f>
        <v>7</v>
      </c>
      <c r="F58" t="e">
        <f>#REF!</f>
        <v>#REF!</v>
      </c>
      <c r="G58" t="e">
        <f>#REF!</f>
        <v>#REF!</v>
      </c>
      <c r="H58" t="e">
        <f>#REF!</f>
        <v>#REF!</v>
      </c>
    </row>
    <row r="59" spans="1:10">
      <c r="A59" t="e">
        <f>#REF!</f>
        <v>#REF!</v>
      </c>
      <c r="B59" s="25" t="e">
        <f>#REF!</f>
        <v>#REF!</v>
      </c>
      <c r="C59" t="e">
        <f t="shared" si="1"/>
        <v>#REF!</v>
      </c>
      <c r="D59" t="e">
        <f>#REF!</f>
        <v>#REF!</v>
      </c>
      <c r="E59" s="38">
        <f>'Task 2a - Mitigating the Proble'!D59</f>
        <v>5</v>
      </c>
      <c r="F59" t="e">
        <f>#REF!</f>
        <v>#REF!</v>
      </c>
      <c r="G59" t="e">
        <f>#REF!</f>
        <v>#REF!</v>
      </c>
      <c r="H59" t="e">
        <f>#REF!</f>
        <v>#REF!</v>
      </c>
    </row>
    <row r="60" spans="1:10">
      <c r="A60" t="e">
        <f>#REF!</f>
        <v>#REF!</v>
      </c>
      <c r="B60" s="25" t="e">
        <f>#REF!</f>
        <v>#REF!</v>
      </c>
      <c r="C60" t="e">
        <f t="shared" si="1"/>
        <v>#REF!</v>
      </c>
      <c r="D60" t="e">
        <f>#REF!</f>
        <v>#REF!</v>
      </c>
      <c r="E60" s="38">
        <f>'Task 2a - Mitigating the Proble'!D60</f>
        <v>5</v>
      </c>
      <c r="F60" t="e">
        <f>#REF!</f>
        <v>#REF!</v>
      </c>
      <c r="G60" t="e">
        <f>#REF!</f>
        <v>#REF!</v>
      </c>
      <c r="H60" t="e">
        <f>#REF!</f>
        <v>#REF!</v>
      </c>
    </row>
    <row r="61" spans="1:10" ht="32">
      <c r="A61" t="e">
        <f>#REF!</f>
        <v>#REF!</v>
      </c>
      <c r="B61" s="93" t="e">
        <f>#REF!</f>
        <v>#REF!</v>
      </c>
      <c r="C61" s="91">
        <v>50</v>
      </c>
      <c r="D61" t="e">
        <f>#REF!</f>
        <v>#REF!</v>
      </c>
      <c r="E61" s="38">
        <f>'Task 2a - Mitigating the Proble'!D61</f>
        <v>5</v>
      </c>
      <c r="F61" t="e">
        <f>#REF!</f>
        <v>#REF!</v>
      </c>
      <c r="G61" t="e">
        <f>#REF!</f>
        <v>#REF!</v>
      </c>
      <c r="H61" t="e">
        <f>#REF!</f>
        <v>#REF!</v>
      </c>
      <c r="J61" s="92" t="s">
        <v>213</v>
      </c>
    </row>
    <row r="62" spans="1:10">
      <c r="A62" t="e">
        <f>#REF!</f>
        <v>#REF!</v>
      </c>
      <c r="B62" s="25" t="e">
        <f>#REF!</f>
        <v>#REF!</v>
      </c>
      <c r="C62" s="75" t="e">
        <f t="shared" si="1"/>
        <v>#REF!</v>
      </c>
      <c r="D62" t="e">
        <f>#REF!</f>
        <v>#REF!</v>
      </c>
      <c r="E62" s="38">
        <f>'Task 2a - Mitigating the Proble'!D62</f>
        <v>4</v>
      </c>
      <c r="F62" t="e">
        <f>#REF!</f>
        <v>#REF!</v>
      </c>
      <c r="G62" t="e">
        <f>#REF!</f>
        <v>#REF!</v>
      </c>
      <c r="H62" t="e">
        <f>#REF!</f>
        <v>#REF!</v>
      </c>
    </row>
    <row r="63" spans="1:10">
      <c r="A63" t="e">
        <f>#REF!</f>
        <v>#REF!</v>
      </c>
      <c r="B63" s="25" t="e">
        <f>#REF!</f>
        <v>#REF!</v>
      </c>
      <c r="C63" t="e">
        <f t="shared" si="1"/>
        <v>#REF!</v>
      </c>
      <c r="D63" t="e">
        <f>#REF!</f>
        <v>#REF!</v>
      </c>
      <c r="E63" s="38">
        <f>'Task 2a - Mitigating the Proble'!D63</f>
        <v>5</v>
      </c>
      <c r="F63" t="e">
        <f>#REF!</f>
        <v>#REF!</v>
      </c>
      <c r="G63" t="e">
        <f>#REF!</f>
        <v>#REF!</v>
      </c>
      <c r="H63" t="e">
        <f>#REF!</f>
        <v>#REF!</v>
      </c>
    </row>
    <row r="64" spans="1:10">
      <c r="A64" t="e">
        <f>#REF!</f>
        <v>#REF!</v>
      </c>
      <c r="B64" s="25" t="e">
        <f>#REF!</f>
        <v>#REF!</v>
      </c>
      <c r="C64" t="e">
        <f t="shared" si="1"/>
        <v>#REF!</v>
      </c>
      <c r="D64" t="e">
        <f>#REF!</f>
        <v>#REF!</v>
      </c>
      <c r="E64" s="38">
        <f>'Task 2a - Mitigating the Proble'!D64</f>
        <v>6</v>
      </c>
      <c r="F64" t="e">
        <f>#REF!</f>
        <v>#REF!</v>
      </c>
      <c r="G64" t="e">
        <f>#REF!</f>
        <v>#REF!</v>
      </c>
      <c r="H64" t="e">
        <f>#REF!</f>
        <v>#REF!</v>
      </c>
    </row>
    <row r="65" spans="1:11">
      <c r="A65" t="e">
        <f>#REF!</f>
        <v>#REF!</v>
      </c>
      <c r="B65" s="25" t="e">
        <f>#REF!</f>
        <v>#REF!</v>
      </c>
      <c r="C65" t="e">
        <f t="shared" si="1"/>
        <v>#REF!</v>
      </c>
      <c r="D65" t="e">
        <f>#REF!</f>
        <v>#REF!</v>
      </c>
      <c r="E65" s="38">
        <f>'Task 2a - Mitigating the Proble'!D65</f>
        <v>5</v>
      </c>
      <c r="F65" t="e">
        <f>#REF!</f>
        <v>#REF!</v>
      </c>
      <c r="G65" t="e">
        <f>#REF!</f>
        <v>#REF!</v>
      </c>
      <c r="H65" t="e">
        <f>#REF!</f>
        <v>#REF!</v>
      </c>
    </row>
    <row r="66" spans="1:11">
      <c r="A66" t="e">
        <f>#REF!</f>
        <v>#REF!</v>
      </c>
      <c r="B66" s="25" t="e">
        <f>#REF!</f>
        <v>#REF!</v>
      </c>
      <c r="C66" s="75" t="e">
        <f t="shared" si="1"/>
        <v>#REF!</v>
      </c>
      <c r="D66" t="e">
        <f>#REF!</f>
        <v>#REF!</v>
      </c>
      <c r="E66" s="38">
        <f>'Task 2a - Mitigating the Proble'!D66</f>
        <v>5</v>
      </c>
      <c r="F66" t="e">
        <f>#REF!</f>
        <v>#REF!</v>
      </c>
      <c r="G66" t="e">
        <f>#REF!</f>
        <v>#REF!</v>
      </c>
      <c r="H66" t="e">
        <f>#REF!</f>
        <v>#REF!</v>
      </c>
      <c r="J66" s="75" t="s">
        <v>214</v>
      </c>
    </row>
    <row r="67" spans="1:11">
      <c r="A67" t="e">
        <f>#REF!</f>
        <v>#REF!</v>
      </c>
      <c r="B67" s="25" t="e">
        <f>#REF!</f>
        <v>#REF!</v>
      </c>
      <c r="C67" t="e">
        <f t="shared" si="1"/>
        <v>#REF!</v>
      </c>
      <c r="D67" t="e">
        <f>#REF!</f>
        <v>#REF!</v>
      </c>
      <c r="E67" s="38">
        <f>'Task 2a - Mitigating the Proble'!D67</f>
        <v>7</v>
      </c>
      <c r="F67" t="e">
        <f>#REF!</f>
        <v>#REF!</v>
      </c>
      <c r="G67" t="e">
        <f>#REF!</f>
        <v>#REF!</v>
      </c>
      <c r="H67" t="e">
        <f>#REF!</f>
        <v>#REF!</v>
      </c>
    </row>
    <row r="68" spans="1:11">
      <c r="A68" t="e">
        <f>#REF!</f>
        <v>#REF!</v>
      </c>
      <c r="B68" s="25" t="e">
        <f>#REF!</f>
        <v>#REF!</v>
      </c>
      <c r="C68" t="e">
        <f t="shared" si="1"/>
        <v>#REF!</v>
      </c>
      <c r="D68" t="e">
        <f>#REF!</f>
        <v>#REF!</v>
      </c>
      <c r="E68" s="38">
        <f>'Task 2a - Mitigating the Proble'!D68</f>
        <v>6</v>
      </c>
      <c r="F68" t="e">
        <f>#REF!</f>
        <v>#REF!</v>
      </c>
      <c r="G68" t="e">
        <f>#REF!</f>
        <v>#REF!</v>
      </c>
      <c r="H68" t="e">
        <f>#REF!</f>
        <v>#REF!</v>
      </c>
    </row>
    <row r="69" spans="1:11">
      <c r="A69" t="e">
        <f>#REF!</f>
        <v>#REF!</v>
      </c>
      <c r="B69" s="25" t="e">
        <f>#REF!</f>
        <v>#REF!</v>
      </c>
      <c r="C69" t="e">
        <f t="shared" si="1"/>
        <v>#REF!</v>
      </c>
      <c r="D69" t="e">
        <f>#REF!</f>
        <v>#REF!</v>
      </c>
      <c r="E69" s="38">
        <f>'Task 2a - Mitigating the Proble'!D69</f>
        <v>6</v>
      </c>
      <c r="F69" t="e">
        <f>#REF!</f>
        <v>#REF!</v>
      </c>
      <c r="G69" t="e">
        <f>#REF!</f>
        <v>#REF!</v>
      </c>
      <c r="H69" t="e">
        <f>#REF!</f>
        <v>#REF!</v>
      </c>
    </row>
    <row r="70" spans="1:11">
      <c r="A70" t="e">
        <f>#REF!</f>
        <v>#REF!</v>
      </c>
      <c r="B70" s="25" t="e">
        <f>#REF!</f>
        <v>#REF!</v>
      </c>
      <c r="C70" t="e">
        <f t="shared" si="1"/>
        <v>#REF!</v>
      </c>
      <c r="D70" t="e">
        <f>#REF!</f>
        <v>#REF!</v>
      </c>
      <c r="E70" s="38">
        <f>'Task 2a - Mitigating the Proble'!D70</f>
        <v>6</v>
      </c>
      <c r="F70" t="e">
        <f>#REF!</f>
        <v>#REF!</v>
      </c>
      <c r="G70" t="e">
        <f>#REF!</f>
        <v>#REF!</v>
      </c>
      <c r="H70" t="e">
        <f>#REF!</f>
        <v>#REF!</v>
      </c>
    </row>
    <row r="71" spans="1:11">
      <c r="A71" t="e">
        <f>#REF!</f>
        <v>#REF!</v>
      </c>
      <c r="B71" s="25" t="e">
        <f>#REF!</f>
        <v>#REF!</v>
      </c>
      <c r="C71" t="e">
        <f t="shared" si="1"/>
        <v>#REF!</v>
      </c>
      <c r="D71" t="e">
        <f>#REF!</f>
        <v>#REF!</v>
      </c>
      <c r="E71" s="38">
        <f>'Task 2a - Mitigating the Proble'!D71</f>
        <v>8</v>
      </c>
      <c r="F71" t="e">
        <f>#REF!</f>
        <v>#REF!</v>
      </c>
      <c r="G71" t="e">
        <f>#REF!</f>
        <v>#REF!</v>
      </c>
      <c r="H71" t="e">
        <f>#REF!</f>
        <v>#REF!</v>
      </c>
    </row>
    <row r="72" spans="1:11">
      <c r="A72" t="e">
        <f>#REF!</f>
        <v>#REF!</v>
      </c>
      <c r="B72" s="25" t="e">
        <f>#REF!</f>
        <v>#REF!</v>
      </c>
      <c r="C72" t="e">
        <f t="shared" ref="C72:C135" si="2">SUM(D72:H72)</f>
        <v>#REF!</v>
      </c>
      <c r="D72" t="e">
        <f>#REF!</f>
        <v>#REF!</v>
      </c>
      <c r="E72" s="38">
        <f>'Task 2a - Mitigating the Proble'!D72</f>
        <v>7</v>
      </c>
      <c r="F72" t="e">
        <f>#REF!</f>
        <v>#REF!</v>
      </c>
      <c r="G72" t="e">
        <f>#REF!</f>
        <v>#REF!</v>
      </c>
      <c r="H72" t="e">
        <f>#REF!</f>
        <v>#REF!</v>
      </c>
    </row>
    <row r="73" spans="1:11">
      <c r="A73" t="e">
        <f>#REF!</f>
        <v>#REF!</v>
      </c>
      <c r="B73" s="25" t="e">
        <f>#REF!</f>
        <v>#REF!</v>
      </c>
      <c r="C73" t="e">
        <f t="shared" si="2"/>
        <v>#REF!</v>
      </c>
      <c r="D73" t="e">
        <f>#REF!</f>
        <v>#REF!</v>
      </c>
      <c r="E73" s="38">
        <f>'Task 2a - Mitigating the Proble'!D73</f>
        <v>6</v>
      </c>
      <c r="F73" t="e">
        <f>#REF!</f>
        <v>#REF!</v>
      </c>
      <c r="G73" t="e">
        <f>#REF!</f>
        <v>#REF!</v>
      </c>
      <c r="H73" t="e">
        <f>#REF!</f>
        <v>#REF!</v>
      </c>
    </row>
    <row r="74" spans="1:11">
      <c r="A74" t="e">
        <f>#REF!</f>
        <v>#REF!</v>
      </c>
      <c r="B74" s="25" t="e">
        <f>#REF!</f>
        <v>#REF!</v>
      </c>
      <c r="C74" t="e">
        <f t="shared" si="2"/>
        <v>#REF!</v>
      </c>
      <c r="D74" t="e">
        <f>#REF!</f>
        <v>#REF!</v>
      </c>
      <c r="E74" s="38">
        <f>'Task 2a - Mitigating the Proble'!D74</f>
        <v>8</v>
      </c>
      <c r="F74" t="e">
        <f>#REF!</f>
        <v>#REF!</v>
      </c>
      <c r="G74" t="e">
        <f>#REF!</f>
        <v>#REF!</v>
      </c>
      <c r="H74" t="e">
        <f>#REF!</f>
        <v>#REF!</v>
      </c>
    </row>
    <row r="75" spans="1:11">
      <c r="A75" t="e">
        <f>#REF!</f>
        <v>#REF!</v>
      </c>
      <c r="B75" s="25" t="e">
        <f>#REF!</f>
        <v>#REF!</v>
      </c>
      <c r="C75" t="e">
        <f t="shared" si="2"/>
        <v>#REF!</v>
      </c>
      <c r="D75" t="e">
        <f>#REF!</f>
        <v>#REF!</v>
      </c>
      <c r="E75" s="38">
        <f>'Task 2a - Mitigating the Proble'!D75</f>
        <v>4</v>
      </c>
      <c r="F75" t="e">
        <f>#REF!</f>
        <v>#REF!</v>
      </c>
      <c r="G75" t="e">
        <f>#REF!</f>
        <v>#REF!</v>
      </c>
      <c r="H75" t="e">
        <f>#REF!</f>
        <v>#REF!</v>
      </c>
    </row>
    <row r="76" spans="1:11">
      <c r="A76" t="e">
        <f>#REF!</f>
        <v>#REF!</v>
      </c>
      <c r="B76" s="25" t="e">
        <f>#REF!</f>
        <v>#REF!</v>
      </c>
      <c r="C76" t="e">
        <f t="shared" si="2"/>
        <v>#REF!</v>
      </c>
      <c r="D76" t="e">
        <f>#REF!</f>
        <v>#REF!</v>
      </c>
      <c r="E76" s="38">
        <f>'Task 2a - Mitigating the Proble'!D76</f>
        <v>5</v>
      </c>
      <c r="F76" t="e">
        <f>#REF!</f>
        <v>#REF!</v>
      </c>
      <c r="G76" t="e">
        <f>#REF!</f>
        <v>#REF!</v>
      </c>
      <c r="H76" t="e">
        <f>#REF!</f>
        <v>#REF!</v>
      </c>
    </row>
    <row r="77" spans="1:11">
      <c r="A77" t="e">
        <f>#REF!</f>
        <v>#REF!</v>
      </c>
      <c r="B77" s="25" t="e">
        <f>#REF!</f>
        <v>#REF!</v>
      </c>
      <c r="C77" t="e">
        <f t="shared" si="2"/>
        <v>#REF!</v>
      </c>
      <c r="D77" t="e">
        <f>#REF!</f>
        <v>#REF!</v>
      </c>
      <c r="E77" s="38">
        <f>'Task 2a - Mitigating the Proble'!D77</f>
        <v>5</v>
      </c>
      <c r="F77" t="e">
        <f>#REF!</f>
        <v>#REF!</v>
      </c>
      <c r="G77" t="e">
        <f>#REF!</f>
        <v>#REF!</v>
      </c>
      <c r="H77" t="e">
        <f>#REF!</f>
        <v>#REF!</v>
      </c>
    </row>
    <row r="78" spans="1:11">
      <c r="A78" t="e">
        <f>#REF!</f>
        <v>#REF!</v>
      </c>
      <c r="B78" s="114" t="e">
        <f>#REF!</f>
        <v>#REF!</v>
      </c>
      <c r="C78" s="75" t="e">
        <f t="shared" si="2"/>
        <v>#REF!</v>
      </c>
      <c r="D78" t="e">
        <f>#REF!</f>
        <v>#REF!</v>
      </c>
      <c r="E78" s="38">
        <f>'Task 2a - Mitigating the Proble'!D78</f>
        <v>7</v>
      </c>
      <c r="F78" s="113" t="e">
        <f>#REF!</f>
        <v>#REF!</v>
      </c>
      <c r="G78" t="e">
        <f>#REF!</f>
        <v>#REF!</v>
      </c>
      <c r="H78" t="e">
        <f>#REF!</f>
        <v>#REF!</v>
      </c>
    </row>
    <row r="79" spans="1:11">
      <c r="A79" t="e">
        <f>#REF!</f>
        <v>#REF!</v>
      </c>
      <c r="B79" s="25" t="e">
        <f>#REF!</f>
        <v>#REF!</v>
      </c>
      <c r="C79" t="e">
        <f t="shared" si="2"/>
        <v>#REF!</v>
      </c>
      <c r="D79" t="e">
        <f>#REF!</f>
        <v>#REF!</v>
      </c>
      <c r="E79" s="38">
        <f>'Task 2a - Mitigating the Proble'!D79</f>
        <v>6</v>
      </c>
      <c r="F79" t="e">
        <f>#REF!</f>
        <v>#REF!</v>
      </c>
      <c r="G79" t="e">
        <f>#REF!</f>
        <v>#REF!</v>
      </c>
      <c r="H79" t="e">
        <f>#REF!</f>
        <v>#REF!</v>
      </c>
    </row>
    <row r="80" spans="1:11" ht="32">
      <c r="A80" t="e">
        <f>#REF!</f>
        <v>#REF!</v>
      </c>
      <c r="B80" s="93" t="e">
        <f>#REF!</f>
        <v>#REF!</v>
      </c>
      <c r="C80" s="113" t="e">
        <f t="shared" si="2"/>
        <v>#REF!</v>
      </c>
      <c r="D80" t="e">
        <f>#REF!</f>
        <v>#REF!</v>
      </c>
      <c r="E80" s="38">
        <f>'Task 2a - Mitigating the Proble'!D80</f>
        <v>0</v>
      </c>
      <c r="F80" s="113" t="e">
        <f>#REF!</f>
        <v>#REF!</v>
      </c>
      <c r="G80" t="e">
        <f>#REF!</f>
        <v>#REF!</v>
      </c>
      <c r="H80" t="e">
        <f>#REF!</f>
        <v>#REF!</v>
      </c>
      <c r="J80" s="92" t="s">
        <v>215</v>
      </c>
      <c r="K80" s="117" t="s">
        <v>216</v>
      </c>
    </row>
    <row r="81" spans="1:10">
      <c r="A81" t="e">
        <f>#REF!</f>
        <v>#REF!</v>
      </c>
      <c r="B81" s="25" t="e">
        <f>#REF!</f>
        <v>#REF!</v>
      </c>
      <c r="C81" t="e">
        <f t="shared" si="2"/>
        <v>#REF!</v>
      </c>
      <c r="D81" t="e">
        <f>#REF!</f>
        <v>#REF!</v>
      </c>
      <c r="E81" s="38">
        <f>'Task 2a - Mitigating the Proble'!D81</f>
        <v>7</v>
      </c>
      <c r="F81" t="e">
        <f>#REF!</f>
        <v>#REF!</v>
      </c>
      <c r="G81" t="e">
        <f>#REF!</f>
        <v>#REF!</v>
      </c>
      <c r="H81" t="e">
        <f>#REF!</f>
        <v>#REF!</v>
      </c>
    </row>
    <row r="82" spans="1:10">
      <c r="A82" t="e">
        <f>#REF!</f>
        <v>#REF!</v>
      </c>
      <c r="B82" s="25" t="e">
        <f>#REF!</f>
        <v>#REF!</v>
      </c>
      <c r="C82" t="e">
        <f t="shared" si="2"/>
        <v>#REF!</v>
      </c>
      <c r="D82" t="e">
        <f>#REF!</f>
        <v>#REF!</v>
      </c>
      <c r="E82" s="38">
        <f>'Task 2a - Mitigating the Proble'!D82</f>
        <v>5</v>
      </c>
      <c r="F82" t="e">
        <f>#REF!</f>
        <v>#REF!</v>
      </c>
      <c r="G82" t="e">
        <f>#REF!</f>
        <v>#REF!</v>
      </c>
      <c r="H82" t="e">
        <f>#REF!</f>
        <v>#REF!</v>
      </c>
    </row>
    <row r="83" spans="1:10">
      <c r="A83" t="e">
        <f>#REF!</f>
        <v>#REF!</v>
      </c>
      <c r="B83" s="25" t="e">
        <f>#REF!</f>
        <v>#REF!</v>
      </c>
      <c r="C83" t="e">
        <f t="shared" si="2"/>
        <v>#REF!</v>
      </c>
      <c r="D83" t="e">
        <f>#REF!</f>
        <v>#REF!</v>
      </c>
      <c r="E83" s="38">
        <f>'Task 2a - Mitigating the Proble'!D83</f>
        <v>5</v>
      </c>
      <c r="F83" t="e">
        <f>#REF!</f>
        <v>#REF!</v>
      </c>
      <c r="G83" t="e">
        <f>#REF!</f>
        <v>#REF!</v>
      </c>
      <c r="H83" t="e">
        <f>#REF!</f>
        <v>#REF!</v>
      </c>
    </row>
    <row r="84" spans="1:10">
      <c r="A84" t="e">
        <f>#REF!</f>
        <v>#REF!</v>
      </c>
      <c r="B84" s="25" t="e">
        <f>#REF!</f>
        <v>#REF!</v>
      </c>
      <c r="C84" t="e">
        <f t="shared" si="2"/>
        <v>#REF!</v>
      </c>
      <c r="D84" t="e">
        <f>#REF!</f>
        <v>#REF!</v>
      </c>
      <c r="E84" s="38">
        <f>'Task 2a - Mitigating the Proble'!D84</f>
        <v>6</v>
      </c>
      <c r="F84" t="e">
        <f>#REF!</f>
        <v>#REF!</v>
      </c>
      <c r="G84" t="e">
        <f>#REF!</f>
        <v>#REF!</v>
      </c>
      <c r="H84" t="e">
        <f>#REF!</f>
        <v>#REF!</v>
      </c>
    </row>
    <row r="85" spans="1:10">
      <c r="A85" t="e">
        <f>#REF!</f>
        <v>#REF!</v>
      </c>
      <c r="B85" s="25" t="e">
        <f>#REF!</f>
        <v>#REF!</v>
      </c>
      <c r="C85" t="e">
        <f t="shared" si="2"/>
        <v>#REF!</v>
      </c>
      <c r="D85" t="e">
        <f>#REF!</f>
        <v>#REF!</v>
      </c>
      <c r="E85" s="38">
        <f>'Task 2a - Mitigating the Proble'!D85</f>
        <v>5</v>
      </c>
      <c r="F85" t="e">
        <f>#REF!</f>
        <v>#REF!</v>
      </c>
      <c r="G85" t="e">
        <f>#REF!</f>
        <v>#REF!</v>
      </c>
      <c r="H85" t="e">
        <f>#REF!</f>
        <v>#REF!</v>
      </c>
    </row>
    <row r="86" spans="1:10">
      <c r="A86" t="e">
        <f>#REF!</f>
        <v>#REF!</v>
      </c>
      <c r="B86" s="25" t="e">
        <f>#REF!</f>
        <v>#REF!</v>
      </c>
      <c r="C86" t="e">
        <f t="shared" si="2"/>
        <v>#REF!</v>
      </c>
      <c r="D86" t="e">
        <f>#REF!</f>
        <v>#REF!</v>
      </c>
      <c r="E86" s="38">
        <f>'Task 2a - Mitigating the Proble'!D86</f>
        <v>5</v>
      </c>
      <c r="F86" t="e">
        <f>#REF!</f>
        <v>#REF!</v>
      </c>
      <c r="G86" t="e">
        <f>#REF!</f>
        <v>#REF!</v>
      </c>
      <c r="H86" t="e">
        <f>#REF!</f>
        <v>#REF!</v>
      </c>
    </row>
    <row r="87" spans="1:10" ht="32">
      <c r="A87" t="e">
        <f>#REF!</f>
        <v>#REF!</v>
      </c>
      <c r="B87" s="87" t="e">
        <f>#REF!</f>
        <v>#REF!</v>
      </c>
      <c r="C87" s="90">
        <v>40</v>
      </c>
      <c r="D87" t="e">
        <f>#REF!</f>
        <v>#REF!</v>
      </c>
      <c r="E87" s="38">
        <f>'Task 2a - Mitigating the Proble'!D87</f>
        <v>6</v>
      </c>
      <c r="F87" t="e">
        <f>#REF!</f>
        <v>#REF!</v>
      </c>
      <c r="G87" t="e">
        <f>#REF!</f>
        <v>#REF!</v>
      </c>
      <c r="H87" t="e">
        <f>#REF!</f>
        <v>#REF!</v>
      </c>
      <c r="J87" s="89" t="s">
        <v>217</v>
      </c>
    </row>
    <row r="88" spans="1:10">
      <c r="A88" t="e">
        <f>#REF!</f>
        <v>#REF!</v>
      </c>
      <c r="B88" s="25" t="e">
        <f>#REF!</f>
        <v>#REF!</v>
      </c>
      <c r="C88" t="e">
        <f t="shared" si="2"/>
        <v>#REF!</v>
      </c>
      <c r="D88" t="e">
        <f>#REF!</f>
        <v>#REF!</v>
      </c>
      <c r="E88" s="38">
        <f>'Task 2a - Mitigating the Proble'!D88</f>
        <v>6</v>
      </c>
      <c r="F88" t="e">
        <f>#REF!</f>
        <v>#REF!</v>
      </c>
      <c r="G88" t="e">
        <f>#REF!</f>
        <v>#REF!</v>
      </c>
      <c r="H88" t="e">
        <f>#REF!</f>
        <v>#REF!</v>
      </c>
    </row>
    <row r="89" spans="1:10">
      <c r="A89" t="e">
        <f>#REF!</f>
        <v>#REF!</v>
      </c>
      <c r="B89" s="25" t="e">
        <f>#REF!</f>
        <v>#REF!</v>
      </c>
      <c r="C89" t="e">
        <f t="shared" si="2"/>
        <v>#REF!</v>
      </c>
      <c r="D89" t="e">
        <f>#REF!</f>
        <v>#REF!</v>
      </c>
      <c r="E89" s="38">
        <f>'Task 2a - Mitigating the Proble'!D89</f>
        <v>7</v>
      </c>
      <c r="F89" t="e">
        <f>#REF!</f>
        <v>#REF!</v>
      </c>
      <c r="G89" t="e">
        <f>#REF!</f>
        <v>#REF!</v>
      </c>
      <c r="H89" t="e">
        <f>#REF!</f>
        <v>#REF!</v>
      </c>
    </row>
    <row r="90" spans="1:10">
      <c r="A90" t="e">
        <f>#REF!</f>
        <v>#REF!</v>
      </c>
      <c r="B90" s="25" t="e">
        <f>#REF!</f>
        <v>#REF!</v>
      </c>
      <c r="C90" t="e">
        <f t="shared" si="2"/>
        <v>#REF!</v>
      </c>
      <c r="D90" t="e">
        <f>#REF!</f>
        <v>#REF!</v>
      </c>
      <c r="E90" s="38">
        <f>'Task 2a - Mitigating the Proble'!D90</f>
        <v>7</v>
      </c>
      <c r="F90" t="e">
        <f>#REF!</f>
        <v>#REF!</v>
      </c>
      <c r="G90" t="e">
        <f>#REF!</f>
        <v>#REF!</v>
      </c>
      <c r="H90" t="e">
        <f>#REF!</f>
        <v>#REF!</v>
      </c>
    </row>
    <row r="91" spans="1:10">
      <c r="A91" t="e">
        <f>#REF!</f>
        <v>#REF!</v>
      </c>
      <c r="B91" s="25" t="e">
        <f>#REF!</f>
        <v>#REF!</v>
      </c>
      <c r="C91" s="75" t="e">
        <f t="shared" si="2"/>
        <v>#REF!</v>
      </c>
      <c r="D91" t="e">
        <f>#REF!</f>
        <v>#REF!</v>
      </c>
      <c r="E91" s="38">
        <f>'Task 2a - Mitigating the Proble'!D91</f>
        <v>6</v>
      </c>
      <c r="F91" t="e">
        <f>#REF!</f>
        <v>#REF!</v>
      </c>
      <c r="G91" t="e">
        <f>#REF!</f>
        <v>#REF!</v>
      </c>
      <c r="H91" t="e">
        <f>#REF!</f>
        <v>#REF!</v>
      </c>
      <c r="J91" s="75" t="s">
        <v>212</v>
      </c>
    </row>
    <row r="92" spans="1:10">
      <c r="A92" t="e">
        <f>#REF!</f>
        <v>#REF!</v>
      </c>
      <c r="B92" s="25" t="e">
        <f>#REF!</f>
        <v>#REF!</v>
      </c>
      <c r="C92" t="e">
        <f t="shared" si="2"/>
        <v>#REF!</v>
      </c>
      <c r="D92" t="e">
        <f>#REF!</f>
        <v>#REF!</v>
      </c>
      <c r="E92" s="38">
        <f>'Task 2a - Mitigating the Proble'!D92</f>
        <v>6</v>
      </c>
      <c r="F92" t="e">
        <f>#REF!</f>
        <v>#REF!</v>
      </c>
      <c r="G92" t="e">
        <f>#REF!</f>
        <v>#REF!</v>
      </c>
      <c r="H92" t="e">
        <f>#REF!</f>
        <v>#REF!</v>
      </c>
    </row>
    <row r="93" spans="1:10">
      <c r="A93" t="e">
        <f>#REF!</f>
        <v>#REF!</v>
      </c>
      <c r="B93" s="25" t="e">
        <f>#REF!</f>
        <v>#REF!</v>
      </c>
      <c r="C93" t="e">
        <f t="shared" si="2"/>
        <v>#REF!</v>
      </c>
      <c r="D93" t="e">
        <f>#REF!</f>
        <v>#REF!</v>
      </c>
      <c r="E93" s="38">
        <f>'Task 2a - Mitigating the Proble'!D93</f>
        <v>8</v>
      </c>
      <c r="F93" t="e">
        <f>#REF!</f>
        <v>#REF!</v>
      </c>
      <c r="G93" t="e">
        <f>#REF!</f>
        <v>#REF!</v>
      </c>
      <c r="H93" t="e">
        <f>#REF!</f>
        <v>#REF!</v>
      </c>
    </row>
    <row r="94" spans="1:10">
      <c r="A94" t="e">
        <f>#REF!</f>
        <v>#REF!</v>
      </c>
      <c r="B94" s="25" t="e">
        <f>#REF!</f>
        <v>#REF!</v>
      </c>
      <c r="C94" t="e">
        <f t="shared" si="2"/>
        <v>#REF!</v>
      </c>
      <c r="D94" t="e">
        <f>#REF!</f>
        <v>#REF!</v>
      </c>
      <c r="E94" s="38">
        <f>'Task 2a - Mitigating the Proble'!D94</f>
        <v>8</v>
      </c>
      <c r="F94" t="e">
        <f>#REF!</f>
        <v>#REF!</v>
      </c>
      <c r="G94" t="e">
        <f>#REF!</f>
        <v>#REF!</v>
      </c>
      <c r="H94" t="e">
        <f>#REF!</f>
        <v>#REF!</v>
      </c>
    </row>
    <row r="95" spans="1:10">
      <c r="A95" t="e">
        <f>#REF!</f>
        <v>#REF!</v>
      </c>
      <c r="B95" s="25" t="e">
        <f>#REF!</f>
        <v>#REF!</v>
      </c>
      <c r="C95" t="e">
        <f t="shared" si="2"/>
        <v>#REF!</v>
      </c>
      <c r="D95" t="e">
        <f>#REF!</f>
        <v>#REF!</v>
      </c>
      <c r="E95" s="38">
        <f>'Task 2a - Mitigating the Proble'!D95</f>
        <v>7</v>
      </c>
      <c r="F95" t="e">
        <f>#REF!</f>
        <v>#REF!</v>
      </c>
      <c r="G95" t="e">
        <f>#REF!</f>
        <v>#REF!</v>
      </c>
      <c r="H95" t="e">
        <f>#REF!</f>
        <v>#REF!</v>
      </c>
    </row>
    <row r="96" spans="1:10">
      <c r="A96" t="e">
        <f>#REF!</f>
        <v>#REF!</v>
      </c>
      <c r="B96" s="25" t="e">
        <f>#REF!</f>
        <v>#REF!</v>
      </c>
      <c r="C96" t="e">
        <f t="shared" si="2"/>
        <v>#REF!</v>
      </c>
      <c r="D96" t="e">
        <f>#REF!</f>
        <v>#REF!</v>
      </c>
      <c r="E96" s="38">
        <f>'Task 2a - Mitigating the Proble'!D96</f>
        <v>8</v>
      </c>
      <c r="F96" t="e">
        <f>#REF!</f>
        <v>#REF!</v>
      </c>
      <c r="G96" t="e">
        <f>#REF!</f>
        <v>#REF!</v>
      </c>
      <c r="H96" t="e">
        <f>#REF!</f>
        <v>#REF!</v>
      </c>
    </row>
    <row r="97" spans="1:8">
      <c r="A97" t="e">
        <f>#REF!</f>
        <v>#REF!</v>
      </c>
      <c r="B97" s="25" t="e">
        <f>#REF!</f>
        <v>#REF!</v>
      </c>
      <c r="C97" t="e">
        <f t="shared" si="2"/>
        <v>#REF!</v>
      </c>
      <c r="D97" t="e">
        <f>#REF!</f>
        <v>#REF!</v>
      </c>
      <c r="E97" s="38">
        <f>'Task 2a - Mitigating the Proble'!D97</f>
        <v>5</v>
      </c>
      <c r="F97" t="e">
        <f>#REF!</f>
        <v>#REF!</v>
      </c>
      <c r="G97" t="e">
        <f>#REF!</f>
        <v>#REF!</v>
      </c>
      <c r="H97" t="e">
        <f>#REF!</f>
        <v>#REF!</v>
      </c>
    </row>
    <row r="98" spans="1:8">
      <c r="A98" t="e">
        <f>#REF!</f>
        <v>#REF!</v>
      </c>
      <c r="B98" s="25" t="e">
        <f>#REF!</f>
        <v>#REF!</v>
      </c>
      <c r="C98" t="e">
        <f t="shared" si="2"/>
        <v>#REF!</v>
      </c>
      <c r="D98" t="e">
        <f>#REF!</f>
        <v>#REF!</v>
      </c>
      <c r="E98" s="38">
        <f>'Task 2a - Mitigating the Proble'!D98</f>
        <v>7</v>
      </c>
      <c r="F98" t="e">
        <f>#REF!</f>
        <v>#REF!</v>
      </c>
      <c r="G98" t="e">
        <f>#REF!</f>
        <v>#REF!</v>
      </c>
      <c r="H98" t="e">
        <f>#REF!</f>
        <v>#REF!</v>
      </c>
    </row>
    <row r="99" spans="1:8">
      <c r="A99" t="e">
        <f>#REF!</f>
        <v>#REF!</v>
      </c>
      <c r="B99" s="25" t="e">
        <f>#REF!</f>
        <v>#REF!</v>
      </c>
      <c r="C99" t="e">
        <f t="shared" si="2"/>
        <v>#REF!</v>
      </c>
      <c r="D99" t="e">
        <f>#REF!</f>
        <v>#REF!</v>
      </c>
      <c r="E99" s="38">
        <f>'Task 2a - Mitigating the Proble'!D99</f>
        <v>6</v>
      </c>
      <c r="F99" t="e">
        <f>#REF!</f>
        <v>#REF!</v>
      </c>
      <c r="G99" t="e">
        <f>#REF!</f>
        <v>#REF!</v>
      </c>
      <c r="H99" t="e">
        <f>#REF!</f>
        <v>#REF!</v>
      </c>
    </row>
    <row r="100" spans="1:8">
      <c r="A100" t="e">
        <f>#REF!</f>
        <v>#REF!</v>
      </c>
      <c r="B100" s="25" t="e">
        <f>#REF!</f>
        <v>#REF!</v>
      </c>
      <c r="C100" t="e">
        <f t="shared" si="2"/>
        <v>#REF!</v>
      </c>
      <c r="D100" t="e">
        <f>#REF!</f>
        <v>#REF!</v>
      </c>
      <c r="E100" s="38">
        <f>'Task 2a - Mitigating the Proble'!D100</f>
        <v>6</v>
      </c>
      <c r="F100" t="e">
        <f>#REF!</f>
        <v>#REF!</v>
      </c>
      <c r="G100" t="e">
        <f>#REF!</f>
        <v>#REF!</v>
      </c>
      <c r="H100" t="e">
        <f>#REF!</f>
        <v>#REF!</v>
      </c>
    </row>
    <row r="101" spans="1:8">
      <c r="A101" t="e">
        <f>#REF!</f>
        <v>#REF!</v>
      </c>
      <c r="B101" s="25" t="e">
        <f>#REF!</f>
        <v>#REF!</v>
      </c>
      <c r="C101" t="e">
        <f t="shared" si="2"/>
        <v>#REF!</v>
      </c>
      <c r="D101" t="e">
        <f>#REF!</f>
        <v>#REF!</v>
      </c>
      <c r="E101" s="38">
        <f>'Task 2a - Mitigating the Proble'!D101</f>
        <v>8</v>
      </c>
      <c r="F101" t="e">
        <f>#REF!</f>
        <v>#REF!</v>
      </c>
      <c r="G101" t="e">
        <f>#REF!</f>
        <v>#REF!</v>
      </c>
      <c r="H101" t="e">
        <f>#REF!</f>
        <v>#REF!</v>
      </c>
    </row>
    <row r="102" spans="1:8">
      <c r="A102" t="e">
        <f>#REF!</f>
        <v>#REF!</v>
      </c>
      <c r="B102" s="25" t="e">
        <f>#REF!</f>
        <v>#REF!</v>
      </c>
      <c r="C102" t="e">
        <f t="shared" si="2"/>
        <v>#REF!</v>
      </c>
      <c r="D102" t="e">
        <f>#REF!</f>
        <v>#REF!</v>
      </c>
      <c r="E102" s="38">
        <f>'Task 2a - Mitigating the Proble'!D102</f>
        <v>7</v>
      </c>
      <c r="F102" t="e">
        <f>#REF!</f>
        <v>#REF!</v>
      </c>
      <c r="G102" t="e">
        <f>#REF!</f>
        <v>#REF!</v>
      </c>
      <c r="H102" t="e">
        <f>#REF!</f>
        <v>#REF!</v>
      </c>
    </row>
    <row r="103" spans="1:8">
      <c r="A103" t="e">
        <f>#REF!</f>
        <v>#REF!</v>
      </c>
      <c r="B103" s="25" t="e">
        <f>#REF!</f>
        <v>#REF!</v>
      </c>
      <c r="C103" t="e">
        <f t="shared" si="2"/>
        <v>#REF!</v>
      </c>
      <c r="D103" t="e">
        <f>#REF!</f>
        <v>#REF!</v>
      </c>
      <c r="E103" s="38">
        <f>'Task 2a - Mitigating the Proble'!D103</f>
        <v>6</v>
      </c>
      <c r="F103" t="e">
        <f>#REF!</f>
        <v>#REF!</v>
      </c>
      <c r="G103" t="e">
        <f>#REF!</f>
        <v>#REF!</v>
      </c>
      <c r="H103" t="e">
        <f>#REF!</f>
        <v>#REF!</v>
      </c>
    </row>
    <row r="104" spans="1:8">
      <c r="A104" t="e">
        <f>#REF!</f>
        <v>#REF!</v>
      </c>
      <c r="B104" s="25" t="e">
        <f>#REF!</f>
        <v>#REF!</v>
      </c>
      <c r="C104" t="e">
        <f t="shared" si="2"/>
        <v>#REF!</v>
      </c>
      <c r="D104" t="e">
        <f>#REF!</f>
        <v>#REF!</v>
      </c>
      <c r="E104" s="38">
        <f>'Task 2a - Mitigating the Proble'!D104</f>
        <v>6</v>
      </c>
      <c r="F104" t="e">
        <f>#REF!</f>
        <v>#REF!</v>
      </c>
      <c r="G104" t="e">
        <f>#REF!</f>
        <v>#REF!</v>
      </c>
      <c r="H104" t="e">
        <f>#REF!</f>
        <v>#REF!</v>
      </c>
    </row>
    <row r="105" spans="1:8">
      <c r="A105" t="e">
        <f>#REF!</f>
        <v>#REF!</v>
      </c>
      <c r="B105" s="25" t="e">
        <f>#REF!</f>
        <v>#REF!</v>
      </c>
      <c r="C105" t="e">
        <f t="shared" si="2"/>
        <v>#REF!</v>
      </c>
      <c r="D105" t="e">
        <f>#REF!</f>
        <v>#REF!</v>
      </c>
      <c r="E105" s="38">
        <f>'Task 2a - Mitigating the Proble'!D105</f>
        <v>6</v>
      </c>
      <c r="F105" t="e">
        <f>#REF!</f>
        <v>#REF!</v>
      </c>
      <c r="G105" t="e">
        <f>#REF!</f>
        <v>#REF!</v>
      </c>
      <c r="H105" t="e">
        <f>#REF!</f>
        <v>#REF!</v>
      </c>
    </row>
    <row r="106" spans="1:8">
      <c r="A106" t="e">
        <f>#REF!</f>
        <v>#REF!</v>
      </c>
      <c r="B106" s="25" t="e">
        <f>#REF!</f>
        <v>#REF!</v>
      </c>
      <c r="C106" t="e">
        <f t="shared" si="2"/>
        <v>#REF!</v>
      </c>
      <c r="D106" t="e">
        <f>#REF!</f>
        <v>#REF!</v>
      </c>
      <c r="E106" s="38">
        <f>'Task 2a - Mitigating the Proble'!D106</f>
        <v>7</v>
      </c>
      <c r="F106" t="e">
        <f>#REF!</f>
        <v>#REF!</v>
      </c>
      <c r="G106" t="e">
        <f>#REF!</f>
        <v>#REF!</v>
      </c>
      <c r="H106" t="e">
        <f>#REF!</f>
        <v>#REF!</v>
      </c>
    </row>
    <row r="107" spans="1:8">
      <c r="A107" t="e">
        <f>#REF!</f>
        <v>#REF!</v>
      </c>
      <c r="B107" s="25" t="e">
        <f>#REF!</f>
        <v>#REF!</v>
      </c>
      <c r="C107" t="e">
        <f t="shared" si="2"/>
        <v>#REF!</v>
      </c>
      <c r="D107" t="e">
        <f>#REF!</f>
        <v>#REF!</v>
      </c>
      <c r="E107" s="38">
        <f>'Task 2a - Mitigating the Proble'!D107</f>
        <v>7</v>
      </c>
      <c r="F107" t="e">
        <f>#REF!</f>
        <v>#REF!</v>
      </c>
      <c r="G107" t="e">
        <f>#REF!</f>
        <v>#REF!</v>
      </c>
      <c r="H107" t="e">
        <f>#REF!</f>
        <v>#REF!</v>
      </c>
    </row>
    <row r="108" spans="1:8">
      <c r="A108" t="e">
        <f>#REF!</f>
        <v>#REF!</v>
      </c>
      <c r="B108" s="25" t="e">
        <f>#REF!</f>
        <v>#REF!</v>
      </c>
      <c r="C108" t="e">
        <f t="shared" si="2"/>
        <v>#REF!</v>
      </c>
      <c r="D108" t="e">
        <f>#REF!</f>
        <v>#REF!</v>
      </c>
      <c r="E108" s="38">
        <f>'Task 2a - Mitigating the Proble'!D108</f>
        <v>6</v>
      </c>
      <c r="F108" t="e">
        <f>#REF!</f>
        <v>#REF!</v>
      </c>
      <c r="G108" t="e">
        <f>#REF!</f>
        <v>#REF!</v>
      </c>
      <c r="H108" t="e">
        <f>#REF!</f>
        <v>#REF!</v>
      </c>
    </row>
    <row r="109" spans="1:8">
      <c r="A109" t="e">
        <f>#REF!</f>
        <v>#REF!</v>
      </c>
      <c r="B109" s="25" t="e">
        <f>#REF!</f>
        <v>#REF!</v>
      </c>
      <c r="C109" t="e">
        <f t="shared" si="2"/>
        <v>#REF!</v>
      </c>
      <c r="D109" t="e">
        <f>#REF!</f>
        <v>#REF!</v>
      </c>
      <c r="E109" s="38">
        <f>'Task 2a - Mitigating the Proble'!D109</f>
        <v>6</v>
      </c>
      <c r="F109" t="e">
        <f>#REF!</f>
        <v>#REF!</v>
      </c>
      <c r="G109" t="e">
        <f>#REF!</f>
        <v>#REF!</v>
      </c>
      <c r="H109" t="e">
        <f>#REF!</f>
        <v>#REF!</v>
      </c>
    </row>
    <row r="110" spans="1:8">
      <c r="A110" t="e">
        <f>#REF!</f>
        <v>#REF!</v>
      </c>
      <c r="B110" s="25" t="e">
        <f>#REF!</f>
        <v>#REF!</v>
      </c>
      <c r="C110" t="e">
        <f t="shared" si="2"/>
        <v>#REF!</v>
      </c>
      <c r="D110" t="e">
        <f>#REF!</f>
        <v>#REF!</v>
      </c>
      <c r="E110" s="38">
        <f>'Task 2a - Mitigating the Proble'!D110</f>
        <v>6</v>
      </c>
      <c r="F110" t="e">
        <f>#REF!</f>
        <v>#REF!</v>
      </c>
      <c r="G110" t="e">
        <f>#REF!</f>
        <v>#REF!</v>
      </c>
      <c r="H110" t="e">
        <f>#REF!</f>
        <v>#REF!</v>
      </c>
    </row>
    <row r="111" spans="1:8">
      <c r="A111" t="e">
        <f>#REF!</f>
        <v>#REF!</v>
      </c>
      <c r="B111" s="25" t="e">
        <f>#REF!</f>
        <v>#REF!</v>
      </c>
      <c r="C111" t="e">
        <f t="shared" si="2"/>
        <v>#REF!</v>
      </c>
      <c r="D111" t="e">
        <f>#REF!</f>
        <v>#REF!</v>
      </c>
      <c r="E111" s="38">
        <f>'Task 2a - Mitigating the Proble'!D111</f>
        <v>6</v>
      </c>
      <c r="F111" t="e">
        <f>#REF!</f>
        <v>#REF!</v>
      </c>
      <c r="G111" t="e">
        <f>#REF!</f>
        <v>#REF!</v>
      </c>
      <c r="H111" t="e">
        <f>#REF!</f>
        <v>#REF!</v>
      </c>
    </row>
    <row r="112" spans="1:8">
      <c r="A112" t="e">
        <f>#REF!</f>
        <v>#REF!</v>
      </c>
      <c r="B112" s="25" t="e">
        <f>#REF!</f>
        <v>#REF!</v>
      </c>
      <c r="C112" t="e">
        <f t="shared" si="2"/>
        <v>#REF!</v>
      </c>
      <c r="D112" t="e">
        <f>#REF!</f>
        <v>#REF!</v>
      </c>
      <c r="E112" s="38">
        <f>'Task 2a - Mitigating the Proble'!D112</f>
        <v>8</v>
      </c>
      <c r="F112" t="e">
        <f>#REF!</f>
        <v>#REF!</v>
      </c>
      <c r="G112" t="e">
        <f>#REF!</f>
        <v>#REF!</v>
      </c>
      <c r="H112" t="e">
        <f>#REF!</f>
        <v>#REF!</v>
      </c>
    </row>
    <row r="113" spans="1:8">
      <c r="A113" t="e">
        <f>#REF!</f>
        <v>#REF!</v>
      </c>
      <c r="B113" s="25" t="e">
        <f>#REF!</f>
        <v>#REF!</v>
      </c>
      <c r="C113" t="e">
        <f t="shared" si="2"/>
        <v>#REF!</v>
      </c>
      <c r="D113" t="e">
        <f>#REF!</f>
        <v>#REF!</v>
      </c>
      <c r="E113" s="38">
        <f>'Task 2a - Mitigating the Proble'!D113</f>
        <v>7</v>
      </c>
      <c r="F113" t="e">
        <f>#REF!</f>
        <v>#REF!</v>
      </c>
      <c r="G113" t="e">
        <f>#REF!</f>
        <v>#REF!</v>
      </c>
      <c r="H113" t="e">
        <f>#REF!</f>
        <v>#REF!</v>
      </c>
    </row>
    <row r="114" spans="1:8">
      <c r="A114" t="e">
        <f>#REF!</f>
        <v>#REF!</v>
      </c>
      <c r="B114" s="25" t="e">
        <f>#REF!</f>
        <v>#REF!</v>
      </c>
      <c r="C114" t="e">
        <f t="shared" si="2"/>
        <v>#REF!</v>
      </c>
      <c r="D114" t="e">
        <f>#REF!</f>
        <v>#REF!</v>
      </c>
      <c r="E114" s="38">
        <f>'Task 2a - Mitigating the Proble'!D114</f>
        <v>8</v>
      </c>
      <c r="F114" t="e">
        <f>#REF!</f>
        <v>#REF!</v>
      </c>
      <c r="G114" t="e">
        <f>#REF!</f>
        <v>#REF!</v>
      </c>
      <c r="H114" t="e">
        <f>#REF!</f>
        <v>#REF!</v>
      </c>
    </row>
    <row r="115" spans="1:8">
      <c r="A115" t="e">
        <f>#REF!</f>
        <v>#REF!</v>
      </c>
      <c r="B115" s="25" t="e">
        <f>#REF!</f>
        <v>#REF!</v>
      </c>
      <c r="C115" t="e">
        <f t="shared" si="2"/>
        <v>#REF!</v>
      </c>
      <c r="D115" t="e">
        <f>#REF!</f>
        <v>#REF!</v>
      </c>
      <c r="E115" s="38">
        <f>'Task 2a - Mitigating the Proble'!D115</f>
        <v>7</v>
      </c>
      <c r="F115" t="e">
        <f>#REF!</f>
        <v>#REF!</v>
      </c>
      <c r="G115" t="e">
        <f>#REF!</f>
        <v>#REF!</v>
      </c>
      <c r="H115" t="e">
        <f>#REF!</f>
        <v>#REF!</v>
      </c>
    </row>
    <row r="116" spans="1:8">
      <c r="A116" t="e">
        <f>#REF!</f>
        <v>#REF!</v>
      </c>
      <c r="B116" s="25" t="e">
        <f>#REF!</f>
        <v>#REF!</v>
      </c>
      <c r="C116" t="e">
        <f t="shared" si="2"/>
        <v>#REF!</v>
      </c>
      <c r="D116" t="e">
        <f>#REF!</f>
        <v>#REF!</v>
      </c>
      <c r="E116" s="38">
        <f>'Task 2a - Mitigating the Proble'!D116</f>
        <v>7</v>
      </c>
      <c r="F116" t="e">
        <f>#REF!</f>
        <v>#REF!</v>
      </c>
      <c r="G116" t="e">
        <f>#REF!</f>
        <v>#REF!</v>
      </c>
      <c r="H116" t="e">
        <f>#REF!</f>
        <v>#REF!</v>
      </c>
    </row>
    <row r="117" spans="1:8">
      <c r="A117" t="e">
        <f>#REF!</f>
        <v>#REF!</v>
      </c>
      <c r="B117" s="25" t="e">
        <f>#REF!</f>
        <v>#REF!</v>
      </c>
      <c r="C117" t="e">
        <f t="shared" si="2"/>
        <v>#REF!</v>
      </c>
      <c r="D117" t="e">
        <f>#REF!</f>
        <v>#REF!</v>
      </c>
      <c r="E117" s="38">
        <f>'Task 2a - Mitigating the Proble'!D117</f>
        <v>7</v>
      </c>
      <c r="F117" t="e">
        <f>#REF!</f>
        <v>#REF!</v>
      </c>
      <c r="G117" t="e">
        <f>#REF!</f>
        <v>#REF!</v>
      </c>
      <c r="H117" t="e">
        <f>#REF!</f>
        <v>#REF!</v>
      </c>
    </row>
    <row r="118" spans="1:8">
      <c r="A118" t="e">
        <f>#REF!</f>
        <v>#REF!</v>
      </c>
      <c r="B118" s="25" t="e">
        <f>#REF!</f>
        <v>#REF!</v>
      </c>
      <c r="C118" t="e">
        <f t="shared" si="2"/>
        <v>#REF!</v>
      </c>
      <c r="D118" t="e">
        <f>#REF!</f>
        <v>#REF!</v>
      </c>
      <c r="E118" s="38">
        <f>'Task 2a - Mitigating the Proble'!D118</f>
        <v>8</v>
      </c>
      <c r="F118" t="e">
        <f>#REF!</f>
        <v>#REF!</v>
      </c>
      <c r="G118" t="e">
        <f>#REF!</f>
        <v>#REF!</v>
      </c>
      <c r="H118" t="e">
        <f>#REF!</f>
        <v>#REF!</v>
      </c>
    </row>
    <row r="119" spans="1:8">
      <c r="A119" t="e">
        <f>#REF!</f>
        <v>#REF!</v>
      </c>
      <c r="B119" s="25" t="e">
        <f>#REF!</f>
        <v>#REF!</v>
      </c>
      <c r="C119" t="e">
        <f t="shared" si="2"/>
        <v>#REF!</v>
      </c>
      <c r="D119" t="e">
        <f>#REF!</f>
        <v>#REF!</v>
      </c>
      <c r="E119" s="38">
        <f>'Task 2a - Mitigating the Proble'!D119</f>
        <v>7</v>
      </c>
      <c r="F119" t="e">
        <f>#REF!</f>
        <v>#REF!</v>
      </c>
      <c r="G119" t="e">
        <f>#REF!</f>
        <v>#REF!</v>
      </c>
      <c r="H119" t="e">
        <f>#REF!</f>
        <v>#REF!</v>
      </c>
    </row>
    <row r="120" spans="1:8">
      <c r="A120" t="e">
        <f>#REF!</f>
        <v>#REF!</v>
      </c>
      <c r="B120" s="25" t="e">
        <f>#REF!</f>
        <v>#REF!</v>
      </c>
      <c r="C120" t="e">
        <f t="shared" si="2"/>
        <v>#REF!</v>
      </c>
      <c r="D120" t="e">
        <f>#REF!</f>
        <v>#REF!</v>
      </c>
      <c r="E120" s="38">
        <f>'Task 2a - Mitigating the Proble'!D120</f>
        <v>9</v>
      </c>
      <c r="F120" t="e">
        <f>#REF!</f>
        <v>#REF!</v>
      </c>
      <c r="G120" t="e">
        <f>#REF!</f>
        <v>#REF!</v>
      </c>
      <c r="H120" t="e">
        <f>#REF!</f>
        <v>#REF!</v>
      </c>
    </row>
    <row r="121" spans="1:8">
      <c r="A121" t="e">
        <f>#REF!</f>
        <v>#REF!</v>
      </c>
      <c r="B121" s="25" t="e">
        <f>#REF!</f>
        <v>#REF!</v>
      </c>
      <c r="C121" t="e">
        <f t="shared" si="2"/>
        <v>#REF!</v>
      </c>
      <c r="D121" t="e">
        <f>#REF!</f>
        <v>#REF!</v>
      </c>
      <c r="E121" s="38">
        <f>'Task 2a - Mitigating the Proble'!D121</f>
        <v>7</v>
      </c>
      <c r="F121" t="e">
        <f>#REF!</f>
        <v>#REF!</v>
      </c>
      <c r="G121" t="e">
        <f>#REF!</f>
        <v>#REF!</v>
      </c>
      <c r="H121" t="e">
        <f>#REF!</f>
        <v>#REF!</v>
      </c>
    </row>
    <row r="122" spans="1:8">
      <c r="A122" t="e">
        <f>#REF!</f>
        <v>#REF!</v>
      </c>
      <c r="B122" s="25" t="e">
        <f>#REF!</f>
        <v>#REF!</v>
      </c>
      <c r="C122" t="e">
        <f t="shared" si="2"/>
        <v>#REF!</v>
      </c>
      <c r="D122" t="e">
        <f>#REF!</f>
        <v>#REF!</v>
      </c>
      <c r="E122" s="38">
        <f>'Task 2a - Mitigating the Proble'!D122</f>
        <v>5</v>
      </c>
      <c r="F122" t="e">
        <f>#REF!</f>
        <v>#REF!</v>
      </c>
      <c r="G122" t="e">
        <f>#REF!</f>
        <v>#REF!</v>
      </c>
      <c r="H122" t="e">
        <f>#REF!</f>
        <v>#REF!</v>
      </c>
    </row>
    <row r="123" spans="1:8">
      <c r="A123" t="e">
        <f>#REF!</f>
        <v>#REF!</v>
      </c>
      <c r="B123" s="25" t="e">
        <f>#REF!</f>
        <v>#REF!</v>
      </c>
      <c r="C123" t="e">
        <f t="shared" si="2"/>
        <v>#REF!</v>
      </c>
      <c r="D123" t="e">
        <f>#REF!</f>
        <v>#REF!</v>
      </c>
      <c r="E123" s="38">
        <f>'Task 2a - Mitigating the Proble'!D123</f>
        <v>7</v>
      </c>
      <c r="F123" t="e">
        <f>#REF!</f>
        <v>#REF!</v>
      </c>
      <c r="G123" t="e">
        <f>#REF!</f>
        <v>#REF!</v>
      </c>
      <c r="H123" t="e">
        <f>#REF!</f>
        <v>#REF!</v>
      </c>
    </row>
    <row r="124" spans="1:8">
      <c r="A124" t="e">
        <f>#REF!</f>
        <v>#REF!</v>
      </c>
      <c r="B124" s="25" t="e">
        <f>#REF!</f>
        <v>#REF!</v>
      </c>
      <c r="C124" t="e">
        <f t="shared" si="2"/>
        <v>#REF!</v>
      </c>
      <c r="D124" t="e">
        <f>#REF!</f>
        <v>#REF!</v>
      </c>
      <c r="E124" s="38">
        <f>'Task 2a - Mitigating the Proble'!D124</f>
        <v>5</v>
      </c>
      <c r="F124" t="e">
        <f>#REF!</f>
        <v>#REF!</v>
      </c>
      <c r="G124" t="e">
        <f>#REF!</f>
        <v>#REF!</v>
      </c>
      <c r="H124" t="e">
        <f>#REF!</f>
        <v>#REF!</v>
      </c>
    </row>
    <row r="125" spans="1:8">
      <c r="A125" t="e">
        <f>#REF!</f>
        <v>#REF!</v>
      </c>
      <c r="B125" s="25" t="e">
        <f>#REF!</f>
        <v>#REF!</v>
      </c>
      <c r="C125" t="e">
        <f t="shared" si="2"/>
        <v>#REF!</v>
      </c>
      <c r="D125" t="e">
        <f>#REF!</f>
        <v>#REF!</v>
      </c>
      <c r="E125" s="38">
        <f>'Task 2a - Mitigating the Proble'!D125</f>
        <v>7</v>
      </c>
      <c r="F125" t="e">
        <f>#REF!</f>
        <v>#REF!</v>
      </c>
      <c r="G125" t="e">
        <f>#REF!</f>
        <v>#REF!</v>
      </c>
      <c r="H125" t="e">
        <f>#REF!</f>
        <v>#REF!</v>
      </c>
    </row>
    <row r="126" spans="1:8">
      <c r="A126" t="e">
        <f>#REF!</f>
        <v>#REF!</v>
      </c>
      <c r="B126" s="25" t="e">
        <f>#REF!</f>
        <v>#REF!</v>
      </c>
      <c r="C126" t="e">
        <f t="shared" si="2"/>
        <v>#REF!</v>
      </c>
      <c r="D126" t="e">
        <f>#REF!</f>
        <v>#REF!</v>
      </c>
      <c r="E126" s="38">
        <f>'Task 2a - Mitigating the Proble'!D126</f>
        <v>6</v>
      </c>
      <c r="F126" t="e">
        <f>#REF!</f>
        <v>#REF!</v>
      </c>
      <c r="G126" t="e">
        <f>#REF!</f>
        <v>#REF!</v>
      </c>
      <c r="H126" t="e">
        <f>#REF!</f>
        <v>#REF!</v>
      </c>
    </row>
    <row r="127" spans="1:8">
      <c r="A127" t="e">
        <f>#REF!</f>
        <v>#REF!</v>
      </c>
      <c r="B127" s="25" t="e">
        <f>#REF!</f>
        <v>#REF!</v>
      </c>
      <c r="C127" t="e">
        <f t="shared" si="2"/>
        <v>#REF!</v>
      </c>
      <c r="D127" t="e">
        <f>#REF!</f>
        <v>#REF!</v>
      </c>
      <c r="E127" s="38">
        <f>'Task 2a - Mitigating the Proble'!D127</f>
        <v>6</v>
      </c>
      <c r="F127" t="e">
        <f>#REF!</f>
        <v>#REF!</v>
      </c>
      <c r="G127" t="e">
        <f>#REF!</f>
        <v>#REF!</v>
      </c>
      <c r="H127" t="e">
        <f>#REF!</f>
        <v>#REF!</v>
      </c>
    </row>
    <row r="128" spans="1:8">
      <c r="A128" t="e">
        <f>#REF!</f>
        <v>#REF!</v>
      </c>
      <c r="B128" s="25" t="e">
        <f>#REF!</f>
        <v>#REF!</v>
      </c>
      <c r="C128" t="e">
        <f t="shared" si="2"/>
        <v>#REF!</v>
      </c>
      <c r="D128" t="e">
        <f>#REF!</f>
        <v>#REF!</v>
      </c>
      <c r="E128" s="38">
        <f>'Task 2a - Mitigating the Proble'!D128</f>
        <v>8</v>
      </c>
      <c r="F128" t="e">
        <f>#REF!</f>
        <v>#REF!</v>
      </c>
      <c r="G128" t="e">
        <f>#REF!</f>
        <v>#REF!</v>
      </c>
      <c r="H128" t="e">
        <f>#REF!</f>
        <v>#REF!</v>
      </c>
    </row>
    <row r="129" spans="1:10">
      <c r="A129" t="e">
        <f>#REF!</f>
        <v>#REF!</v>
      </c>
      <c r="B129" s="25" t="e">
        <f>#REF!</f>
        <v>#REF!</v>
      </c>
      <c r="C129" t="e">
        <f t="shared" si="2"/>
        <v>#REF!</v>
      </c>
      <c r="D129" t="e">
        <f>#REF!</f>
        <v>#REF!</v>
      </c>
      <c r="E129" s="38">
        <f>'Task 2a - Mitigating the Proble'!D129</f>
        <v>7</v>
      </c>
      <c r="F129" t="e">
        <f>#REF!</f>
        <v>#REF!</v>
      </c>
      <c r="G129" t="e">
        <f>#REF!</f>
        <v>#REF!</v>
      </c>
      <c r="H129" t="e">
        <f>#REF!</f>
        <v>#REF!</v>
      </c>
    </row>
    <row r="130" spans="1:10">
      <c r="A130" t="e">
        <f>#REF!</f>
        <v>#REF!</v>
      </c>
      <c r="B130" s="25" t="e">
        <f>#REF!</f>
        <v>#REF!</v>
      </c>
      <c r="C130" t="e">
        <f t="shared" si="2"/>
        <v>#REF!</v>
      </c>
      <c r="D130" t="e">
        <f>#REF!</f>
        <v>#REF!</v>
      </c>
      <c r="E130" s="38">
        <f>'Task 2a - Mitigating the Proble'!D130</f>
        <v>7</v>
      </c>
      <c r="F130" t="e">
        <f>#REF!</f>
        <v>#REF!</v>
      </c>
      <c r="G130" t="e">
        <f>#REF!</f>
        <v>#REF!</v>
      </c>
      <c r="H130" t="e">
        <f>#REF!</f>
        <v>#REF!</v>
      </c>
    </row>
    <row r="131" spans="1:10">
      <c r="A131" t="e">
        <f>#REF!</f>
        <v>#REF!</v>
      </c>
      <c r="B131" s="25" t="e">
        <f>#REF!</f>
        <v>#REF!</v>
      </c>
      <c r="C131" t="e">
        <f t="shared" si="2"/>
        <v>#REF!</v>
      </c>
      <c r="D131" t="e">
        <f>#REF!</f>
        <v>#REF!</v>
      </c>
      <c r="E131" s="38">
        <f>'Task 2a - Mitigating the Proble'!D131</f>
        <v>5</v>
      </c>
      <c r="F131" t="e">
        <f>#REF!</f>
        <v>#REF!</v>
      </c>
      <c r="G131" t="e">
        <f>#REF!</f>
        <v>#REF!</v>
      </c>
      <c r="H131" t="e">
        <f>#REF!</f>
        <v>#REF!</v>
      </c>
    </row>
    <row r="132" spans="1:10">
      <c r="A132" t="e">
        <f>#REF!</f>
        <v>#REF!</v>
      </c>
      <c r="B132" s="25" t="e">
        <f>#REF!</f>
        <v>#REF!</v>
      </c>
      <c r="C132" t="e">
        <f t="shared" si="2"/>
        <v>#REF!</v>
      </c>
      <c r="D132" t="e">
        <f>#REF!</f>
        <v>#REF!</v>
      </c>
      <c r="E132" s="38">
        <f>'Task 2a - Mitigating the Proble'!D132</f>
        <v>7</v>
      </c>
      <c r="F132" t="e">
        <f>#REF!</f>
        <v>#REF!</v>
      </c>
      <c r="G132" t="e">
        <f>#REF!</f>
        <v>#REF!</v>
      </c>
      <c r="H132" t="e">
        <f>#REF!</f>
        <v>#REF!</v>
      </c>
    </row>
    <row r="133" spans="1:10">
      <c r="A133" t="e">
        <f>#REF!</f>
        <v>#REF!</v>
      </c>
      <c r="B133" s="25" t="e">
        <f>#REF!</f>
        <v>#REF!</v>
      </c>
      <c r="C133" t="e">
        <f t="shared" si="2"/>
        <v>#REF!</v>
      </c>
      <c r="D133" t="e">
        <f>#REF!</f>
        <v>#REF!</v>
      </c>
      <c r="E133" s="38">
        <f>'Task 2a - Mitigating the Proble'!D133</f>
        <v>5</v>
      </c>
      <c r="F133" t="e">
        <f>#REF!</f>
        <v>#REF!</v>
      </c>
      <c r="G133" t="e">
        <f>#REF!</f>
        <v>#REF!</v>
      </c>
      <c r="H133" t="e">
        <f>#REF!</f>
        <v>#REF!</v>
      </c>
    </row>
    <row r="134" spans="1:10">
      <c r="A134" t="e">
        <f>#REF!</f>
        <v>#REF!</v>
      </c>
      <c r="B134" s="25" t="e">
        <f>#REF!</f>
        <v>#REF!</v>
      </c>
      <c r="C134" t="e">
        <f t="shared" si="2"/>
        <v>#REF!</v>
      </c>
      <c r="D134" t="e">
        <f>#REF!</f>
        <v>#REF!</v>
      </c>
      <c r="E134" s="38">
        <f>'Task 2a - Mitigating the Proble'!D134</f>
        <v>6</v>
      </c>
      <c r="F134" t="e">
        <f>#REF!</f>
        <v>#REF!</v>
      </c>
      <c r="G134" t="e">
        <f>#REF!</f>
        <v>#REF!</v>
      </c>
      <c r="H134" t="e">
        <f>#REF!</f>
        <v>#REF!</v>
      </c>
    </row>
    <row r="135" spans="1:10">
      <c r="A135" t="e">
        <f>#REF!</f>
        <v>#REF!</v>
      </c>
      <c r="B135" s="25" t="e">
        <f>#REF!</f>
        <v>#REF!</v>
      </c>
      <c r="C135" t="e">
        <f t="shared" si="2"/>
        <v>#REF!</v>
      </c>
      <c r="D135" t="e">
        <f>#REF!</f>
        <v>#REF!</v>
      </c>
      <c r="E135" s="38">
        <f>'Task 2a - Mitigating the Proble'!D135</f>
        <v>5</v>
      </c>
      <c r="F135" t="e">
        <f>#REF!</f>
        <v>#REF!</v>
      </c>
      <c r="G135" t="e">
        <f>#REF!</f>
        <v>#REF!</v>
      </c>
      <c r="H135" t="e">
        <f>#REF!</f>
        <v>#REF!</v>
      </c>
    </row>
    <row r="136" spans="1:10">
      <c r="A136" t="e">
        <f>#REF!</f>
        <v>#REF!</v>
      </c>
      <c r="B136" s="25" t="e">
        <f>#REF!</f>
        <v>#REF!</v>
      </c>
      <c r="C136" t="e">
        <f t="shared" ref="C136:C199" si="3">SUM(D136:H136)</f>
        <v>#REF!</v>
      </c>
      <c r="D136" t="e">
        <f>#REF!</f>
        <v>#REF!</v>
      </c>
      <c r="E136" s="38">
        <f>'Task 2a - Mitigating the Proble'!D136</f>
        <v>6</v>
      </c>
      <c r="F136" t="e">
        <f>#REF!</f>
        <v>#REF!</v>
      </c>
      <c r="G136" t="e">
        <f>#REF!</f>
        <v>#REF!</v>
      </c>
      <c r="H136" t="e">
        <f>#REF!</f>
        <v>#REF!</v>
      </c>
    </row>
    <row r="137" spans="1:10">
      <c r="A137" t="e">
        <f>#REF!</f>
        <v>#REF!</v>
      </c>
      <c r="B137" s="25" t="e">
        <f>#REF!</f>
        <v>#REF!</v>
      </c>
      <c r="C137" s="75" t="e">
        <f t="shared" si="3"/>
        <v>#REF!</v>
      </c>
      <c r="D137" t="e">
        <f>#REF!</f>
        <v>#REF!</v>
      </c>
      <c r="E137" s="38">
        <f>'Task 2a - Mitigating the Proble'!D137</f>
        <v>6</v>
      </c>
      <c r="F137" t="e">
        <f>#REF!</f>
        <v>#REF!</v>
      </c>
      <c r="G137" t="e">
        <f>#REF!</f>
        <v>#REF!</v>
      </c>
      <c r="H137" t="e">
        <f>#REF!</f>
        <v>#REF!</v>
      </c>
    </row>
    <row r="138" spans="1:10">
      <c r="A138" t="e">
        <f>#REF!</f>
        <v>#REF!</v>
      </c>
      <c r="B138" s="25" t="e">
        <f>#REF!</f>
        <v>#REF!</v>
      </c>
      <c r="C138" t="e">
        <f t="shared" si="3"/>
        <v>#REF!</v>
      </c>
      <c r="D138" t="e">
        <f>#REF!</f>
        <v>#REF!</v>
      </c>
      <c r="E138" s="38">
        <f>'Task 2a - Mitigating the Proble'!D138</f>
        <v>6</v>
      </c>
      <c r="F138" t="e">
        <f>#REF!</f>
        <v>#REF!</v>
      </c>
      <c r="G138" t="e">
        <f>#REF!</f>
        <v>#REF!</v>
      </c>
      <c r="H138" t="e">
        <f>#REF!</f>
        <v>#REF!</v>
      </c>
    </row>
    <row r="139" spans="1:10" ht="32">
      <c r="A139" t="e">
        <f>#REF!</f>
        <v>#REF!</v>
      </c>
      <c r="B139" s="85" t="e">
        <f>#REF!</f>
        <v>#REF!</v>
      </c>
      <c r="C139" s="86">
        <v>30</v>
      </c>
      <c r="D139" t="e">
        <f>#REF!</f>
        <v>#REF!</v>
      </c>
      <c r="E139" s="38">
        <f>'Task 2a - Mitigating the Proble'!D139</f>
        <v>6</v>
      </c>
      <c r="F139" t="e">
        <f>#REF!</f>
        <v>#REF!</v>
      </c>
      <c r="G139" t="e">
        <f>#REF!</f>
        <v>#REF!</v>
      </c>
      <c r="H139" t="e">
        <f>#REF!</f>
        <v>#REF!</v>
      </c>
      <c r="J139" s="80" t="s">
        <v>218</v>
      </c>
    </row>
    <row r="140" spans="1:10">
      <c r="A140" t="e">
        <f>#REF!</f>
        <v>#REF!</v>
      </c>
      <c r="B140" s="25" t="e">
        <f>#REF!</f>
        <v>#REF!</v>
      </c>
      <c r="C140" t="e">
        <f t="shared" si="3"/>
        <v>#REF!</v>
      </c>
      <c r="D140" t="e">
        <f>#REF!</f>
        <v>#REF!</v>
      </c>
      <c r="E140" s="38">
        <f>'Task 2a - Mitigating the Proble'!D140</f>
        <v>8</v>
      </c>
      <c r="F140" t="e">
        <f>#REF!</f>
        <v>#REF!</v>
      </c>
      <c r="G140" t="e">
        <f>#REF!</f>
        <v>#REF!</v>
      </c>
      <c r="H140" t="e">
        <f>#REF!</f>
        <v>#REF!</v>
      </c>
    </row>
    <row r="141" spans="1:10">
      <c r="A141" t="e">
        <f>#REF!</f>
        <v>#REF!</v>
      </c>
      <c r="B141" s="25" t="e">
        <f>#REF!</f>
        <v>#REF!</v>
      </c>
      <c r="C141" t="e">
        <f t="shared" si="3"/>
        <v>#REF!</v>
      </c>
      <c r="D141" t="e">
        <f>#REF!</f>
        <v>#REF!</v>
      </c>
      <c r="E141" s="38">
        <f>'Task 2a - Mitigating the Proble'!D141</f>
        <v>5</v>
      </c>
      <c r="F141" t="e">
        <f>#REF!</f>
        <v>#REF!</v>
      </c>
      <c r="G141" t="e">
        <f>#REF!</f>
        <v>#REF!</v>
      </c>
      <c r="H141" t="e">
        <f>#REF!</f>
        <v>#REF!</v>
      </c>
    </row>
    <row r="142" spans="1:10">
      <c r="A142" t="e">
        <f>#REF!</f>
        <v>#REF!</v>
      </c>
      <c r="B142" s="25" t="e">
        <f>#REF!</f>
        <v>#REF!</v>
      </c>
      <c r="C142" t="e">
        <f t="shared" si="3"/>
        <v>#REF!</v>
      </c>
      <c r="D142" t="e">
        <f>#REF!</f>
        <v>#REF!</v>
      </c>
      <c r="E142" s="38">
        <f>'Task 2a - Mitigating the Proble'!D142</f>
        <v>7</v>
      </c>
      <c r="F142" t="e">
        <f>#REF!</f>
        <v>#REF!</v>
      </c>
      <c r="G142" t="e">
        <f>#REF!</f>
        <v>#REF!</v>
      </c>
      <c r="H142" t="e">
        <f>#REF!</f>
        <v>#REF!</v>
      </c>
    </row>
    <row r="143" spans="1:10">
      <c r="A143" t="e">
        <f>#REF!</f>
        <v>#REF!</v>
      </c>
      <c r="B143" s="25" t="e">
        <f>#REF!</f>
        <v>#REF!</v>
      </c>
      <c r="C143" t="e">
        <f t="shared" si="3"/>
        <v>#REF!</v>
      </c>
      <c r="D143" t="e">
        <f>#REF!</f>
        <v>#REF!</v>
      </c>
      <c r="E143" s="38">
        <f>'Task 2a - Mitigating the Proble'!D143</f>
        <v>5</v>
      </c>
      <c r="F143" t="e">
        <f>#REF!</f>
        <v>#REF!</v>
      </c>
      <c r="G143" t="e">
        <f>#REF!</f>
        <v>#REF!</v>
      </c>
      <c r="H143" t="e">
        <f>#REF!</f>
        <v>#REF!</v>
      </c>
    </row>
    <row r="144" spans="1:10">
      <c r="A144" t="e">
        <f>#REF!</f>
        <v>#REF!</v>
      </c>
      <c r="B144" s="25" t="e">
        <f>#REF!</f>
        <v>#REF!</v>
      </c>
      <c r="C144" t="e">
        <f t="shared" si="3"/>
        <v>#REF!</v>
      </c>
      <c r="D144" t="e">
        <f>#REF!</f>
        <v>#REF!</v>
      </c>
      <c r="E144" s="38">
        <f>'Task 2a - Mitigating the Proble'!D144</f>
        <v>7</v>
      </c>
      <c r="F144" t="e">
        <f>#REF!</f>
        <v>#REF!</v>
      </c>
      <c r="G144" t="e">
        <f>#REF!</f>
        <v>#REF!</v>
      </c>
      <c r="H144" t="e">
        <f>#REF!</f>
        <v>#REF!</v>
      </c>
    </row>
    <row r="145" spans="1:8">
      <c r="A145" t="e">
        <f>#REF!</f>
        <v>#REF!</v>
      </c>
      <c r="B145" s="25" t="e">
        <f>#REF!</f>
        <v>#REF!</v>
      </c>
      <c r="C145" t="e">
        <f t="shared" si="3"/>
        <v>#REF!</v>
      </c>
      <c r="D145" t="e">
        <f>#REF!</f>
        <v>#REF!</v>
      </c>
      <c r="E145" s="38">
        <f>'Task 2a - Mitigating the Proble'!D145</f>
        <v>10</v>
      </c>
      <c r="F145" t="e">
        <f>#REF!</f>
        <v>#REF!</v>
      </c>
      <c r="G145" t="e">
        <f>#REF!</f>
        <v>#REF!</v>
      </c>
      <c r="H145" t="e">
        <f>#REF!</f>
        <v>#REF!</v>
      </c>
    </row>
    <row r="146" spans="1:8">
      <c r="A146" t="e">
        <f>#REF!</f>
        <v>#REF!</v>
      </c>
      <c r="B146" s="25" t="e">
        <f>#REF!</f>
        <v>#REF!</v>
      </c>
      <c r="C146" t="e">
        <f t="shared" si="3"/>
        <v>#REF!</v>
      </c>
      <c r="D146" t="e">
        <f>#REF!</f>
        <v>#REF!</v>
      </c>
      <c r="E146" s="38">
        <f>'Task 2a - Mitigating the Proble'!D146</f>
        <v>7</v>
      </c>
      <c r="F146" t="e">
        <f>#REF!</f>
        <v>#REF!</v>
      </c>
      <c r="G146" t="e">
        <f>#REF!</f>
        <v>#REF!</v>
      </c>
      <c r="H146" t="e">
        <f>#REF!</f>
        <v>#REF!</v>
      </c>
    </row>
    <row r="147" spans="1:8">
      <c r="A147" t="e">
        <f>#REF!</f>
        <v>#REF!</v>
      </c>
      <c r="B147" s="25" t="e">
        <f>#REF!</f>
        <v>#REF!</v>
      </c>
      <c r="C147" t="e">
        <f t="shared" si="3"/>
        <v>#REF!</v>
      </c>
      <c r="D147" t="e">
        <f>#REF!</f>
        <v>#REF!</v>
      </c>
      <c r="E147" s="38">
        <f>'Task 2a - Mitigating the Proble'!D147</f>
        <v>5</v>
      </c>
      <c r="F147" t="e">
        <f>#REF!</f>
        <v>#REF!</v>
      </c>
      <c r="G147" t="e">
        <f>#REF!</f>
        <v>#REF!</v>
      </c>
      <c r="H147" t="e">
        <f>#REF!</f>
        <v>#REF!</v>
      </c>
    </row>
    <row r="148" spans="1:8">
      <c r="A148" t="e">
        <f>#REF!</f>
        <v>#REF!</v>
      </c>
      <c r="B148" s="25" t="e">
        <f>#REF!</f>
        <v>#REF!</v>
      </c>
      <c r="C148" t="e">
        <f t="shared" si="3"/>
        <v>#REF!</v>
      </c>
      <c r="D148" t="e">
        <f>#REF!</f>
        <v>#REF!</v>
      </c>
      <c r="E148" s="38">
        <f>'Task 2a - Mitigating the Proble'!D148</f>
        <v>6</v>
      </c>
      <c r="F148" t="e">
        <f>#REF!</f>
        <v>#REF!</v>
      </c>
      <c r="G148" t="e">
        <f>#REF!</f>
        <v>#REF!</v>
      </c>
      <c r="H148" t="e">
        <f>#REF!</f>
        <v>#REF!</v>
      </c>
    </row>
    <row r="149" spans="1:8">
      <c r="A149" t="e">
        <f>#REF!</f>
        <v>#REF!</v>
      </c>
      <c r="B149" s="25" t="e">
        <f>#REF!</f>
        <v>#REF!</v>
      </c>
      <c r="C149" t="e">
        <f t="shared" si="3"/>
        <v>#REF!</v>
      </c>
      <c r="D149" t="e">
        <f>#REF!</f>
        <v>#REF!</v>
      </c>
      <c r="E149" s="38">
        <f>'Task 2a - Mitigating the Proble'!D149</f>
        <v>7</v>
      </c>
      <c r="F149" t="e">
        <f>#REF!</f>
        <v>#REF!</v>
      </c>
      <c r="G149" t="e">
        <f>#REF!</f>
        <v>#REF!</v>
      </c>
      <c r="H149" t="e">
        <f>#REF!</f>
        <v>#REF!</v>
      </c>
    </row>
    <row r="150" spans="1:8">
      <c r="A150" t="e">
        <f>#REF!</f>
        <v>#REF!</v>
      </c>
      <c r="B150" s="25" t="e">
        <f>#REF!</f>
        <v>#REF!</v>
      </c>
      <c r="C150" t="e">
        <f t="shared" si="3"/>
        <v>#REF!</v>
      </c>
      <c r="D150" t="e">
        <f>#REF!</f>
        <v>#REF!</v>
      </c>
      <c r="E150" s="38">
        <f>'Task 2a - Mitigating the Proble'!D150</f>
        <v>6</v>
      </c>
      <c r="F150" t="e">
        <f>#REF!</f>
        <v>#REF!</v>
      </c>
      <c r="G150" t="e">
        <f>#REF!</f>
        <v>#REF!</v>
      </c>
      <c r="H150" t="e">
        <f>#REF!</f>
        <v>#REF!</v>
      </c>
    </row>
    <row r="151" spans="1:8">
      <c r="A151" t="e">
        <f>#REF!</f>
        <v>#REF!</v>
      </c>
      <c r="B151" s="25" t="e">
        <f>#REF!</f>
        <v>#REF!</v>
      </c>
      <c r="C151" t="e">
        <f t="shared" si="3"/>
        <v>#REF!</v>
      </c>
      <c r="D151" t="e">
        <f>#REF!</f>
        <v>#REF!</v>
      </c>
      <c r="E151" s="38">
        <f>'Task 2a - Mitigating the Proble'!D151</f>
        <v>6</v>
      </c>
      <c r="F151" t="e">
        <f>#REF!</f>
        <v>#REF!</v>
      </c>
      <c r="G151" t="e">
        <f>#REF!</f>
        <v>#REF!</v>
      </c>
      <c r="H151" t="e">
        <f>#REF!</f>
        <v>#REF!</v>
      </c>
    </row>
    <row r="152" spans="1:8">
      <c r="A152" t="e">
        <f>#REF!</f>
        <v>#REF!</v>
      </c>
      <c r="B152" s="25" t="e">
        <f>#REF!</f>
        <v>#REF!</v>
      </c>
      <c r="C152" t="e">
        <f t="shared" si="3"/>
        <v>#REF!</v>
      </c>
      <c r="D152" t="e">
        <f>#REF!</f>
        <v>#REF!</v>
      </c>
      <c r="E152" s="38">
        <f>'Task 2a - Mitigating the Proble'!D152</f>
        <v>7</v>
      </c>
      <c r="F152" t="e">
        <f>#REF!</f>
        <v>#REF!</v>
      </c>
      <c r="G152" t="e">
        <f>#REF!</f>
        <v>#REF!</v>
      </c>
      <c r="H152" t="e">
        <f>#REF!</f>
        <v>#REF!</v>
      </c>
    </row>
    <row r="153" spans="1:8">
      <c r="A153" t="e">
        <f>#REF!</f>
        <v>#REF!</v>
      </c>
      <c r="B153" s="25" t="e">
        <f>#REF!</f>
        <v>#REF!</v>
      </c>
      <c r="C153" t="e">
        <f t="shared" si="3"/>
        <v>#REF!</v>
      </c>
      <c r="D153" t="e">
        <f>#REF!</f>
        <v>#REF!</v>
      </c>
      <c r="E153" s="38">
        <f>'Task 2a - Mitigating the Proble'!D153</f>
        <v>6</v>
      </c>
      <c r="F153" t="e">
        <f>#REF!</f>
        <v>#REF!</v>
      </c>
      <c r="G153" t="e">
        <f>#REF!</f>
        <v>#REF!</v>
      </c>
      <c r="H153" t="e">
        <f>#REF!</f>
        <v>#REF!</v>
      </c>
    </row>
    <row r="154" spans="1:8">
      <c r="A154" t="e">
        <f>#REF!</f>
        <v>#REF!</v>
      </c>
      <c r="B154" s="25" t="e">
        <f>#REF!</f>
        <v>#REF!</v>
      </c>
      <c r="C154" t="e">
        <f t="shared" si="3"/>
        <v>#REF!</v>
      </c>
      <c r="D154" t="e">
        <f>#REF!</f>
        <v>#REF!</v>
      </c>
      <c r="E154" s="38">
        <f>'Task 2a - Mitigating the Proble'!D154</f>
        <v>6</v>
      </c>
      <c r="F154" t="e">
        <f>#REF!</f>
        <v>#REF!</v>
      </c>
      <c r="G154" t="e">
        <f>#REF!</f>
        <v>#REF!</v>
      </c>
      <c r="H154" t="e">
        <f>#REF!</f>
        <v>#REF!</v>
      </c>
    </row>
    <row r="155" spans="1:8">
      <c r="A155" t="e">
        <f>#REF!</f>
        <v>#REF!</v>
      </c>
      <c r="B155" s="114" t="e">
        <f>#REF!</f>
        <v>#REF!</v>
      </c>
      <c r="C155" s="75" t="e">
        <f t="shared" si="3"/>
        <v>#REF!</v>
      </c>
      <c r="D155" t="e">
        <f>#REF!</f>
        <v>#REF!</v>
      </c>
      <c r="E155" s="38">
        <f>'Task 2a - Mitigating the Proble'!D155</f>
        <v>6</v>
      </c>
      <c r="F155" s="113" t="e">
        <f>#REF!</f>
        <v>#REF!</v>
      </c>
      <c r="G155" t="e">
        <f>#REF!</f>
        <v>#REF!</v>
      </c>
      <c r="H155" t="e">
        <f>#REF!</f>
        <v>#REF!</v>
      </c>
    </row>
    <row r="156" spans="1:8">
      <c r="A156" t="e">
        <f>#REF!</f>
        <v>#REF!</v>
      </c>
      <c r="B156" s="25" t="e">
        <f>#REF!</f>
        <v>#REF!</v>
      </c>
      <c r="C156" t="e">
        <f t="shared" si="3"/>
        <v>#REF!</v>
      </c>
      <c r="D156" t="e">
        <f>#REF!</f>
        <v>#REF!</v>
      </c>
      <c r="E156" s="38">
        <f>'Task 2a - Mitigating the Proble'!D156</f>
        <v>6</v>
      </c>
      <c r="F156" t="e">
        <f>#REF!</f>
        <v>#REF!</v>
      </c>
      <c r="G156" t="e">
        <f>#REF!</f>
        <v>#REF!</v>
      </c>
      <c r="H156" t="e">
        <f>#REF!</f>
        <v>#REF!</v>
      </c>
    </row>
    <row r="157" spans="1:8">
      <c r="A157" t="e">
        <f>#REF!</f>
        <v>#REF!</v>
      </c>
      <c r="B157" s="25" t="e">
        <f>#REF!</f>
        <v>#REF!</v>
      </c>
      <c r="C157" t="e">
        <f t="shared" si="3"/>
        <v>#REF!</v>
      </c>
      <c r="D157" t="e">
        <f>#REF!</f>
        <v>#REF!</v>
      </c>
      <c r="E157" s="38">
        <f>'Task 2a - Mitigating the Proble'!D157</f>
        <v>6</v>
      </c>
      <c r="F157" t="e">
        <f>#REF!</f>
        <v>#REF!</v>
      </c>
      <c r="G157" t="e">
        <f>#REF!</f>
        <v>#REF!</v>
      </c>
      <c r="H157" t="e">
        <f>#REF!</f>
        <v>#REF!</v>
      </c>
    </row>
    <row r="158" spans="1:8">
      <c r="A158" t="e">
        <f>#REF!</f>
        <v>#REF!</v>
      </c>
      <c r="B158" s="114" t="e">
        <f>#REF!</f>
        <v>#REF!</v>
      </c>
      <c r="C158" s="75" t="e">
        <f t="shared" si="3"/>
        <v>#REF!</v>
      </c>
      <c r="D158" t="e">
        <f>#REF!</f>
        <v>#REF!</v>
      </c>
      <c r="E158" s="38">
        <f>'Task 2a - Mitigating the Proble'!D158</f>
        <v>6</v>
      </c>
      <c r="F158" s="113" t="e">
        <f>#REF!</f>
        <v>#REF!</v>
      </c>
      <c r="G158" t="e">
        <f>#REF!</f>
        <v>#REF!</v>
      </c>
      <c r="H158" t="e">
        <f>#REF!</f>
        <v>#REF!</v>
      </c>
    </row>
    <row r="159" spans="1:8">
      <c r="A159" t="e">
        <f>#REF!</f>
        <v>#REF!</v>
      </c>
      <c r="B159" s="25" t="e">
        <f>#REF!</f>
        <v>#REF!</v>
      </c>
      <c r="C159" t="e">
        <f t="shared" si="3"/>
        <v>#REF!</v>
      </c>
      <c r="D159" t="e">
        <f>#REF!</f>
        <v>#REF!</v>
      </c>
      <c r="E159" s="38">
        <f>'Task 2a - Mitigating the Proble'!D159</f>
        <v>6</v>
      </c>
      <c r="F159" t="e">
        <f>#REF!</f>
        <v>#REF!</v>
      </c>
      <c r="G159" t="e">
        <f>#REF!</f>
        <v>#REF!</v>
      </c>
      <c r="H159" t="e">
        <f>#REF!</f>
        <v>#REF!</v>
      </c>
    </row>
    <row r="160" spans="1:8">
      <c r="A160" t="e">
        <f>#REF!</f>
        <v>#REF!</v>
      </c>
      <c r="B160" s="25" t="e">
        <f>#REF!</f>
        <v>#REF!</v>
      </c>
      <c r="C160" t="e">
        <f t="shared" si="3"/>
        <v>#REF!</v>
      </c>
      <c r="D160" t="e">
        <f>#REF!</f>
        <v>#REF!</v>
      </c>
      <c r="E160" s="38">
        <f>'Task 2a - Mitigating the Proble'!D160</f>
        <v>6</v>
      </c>
      <c r="F160" t="e">
        <f>#REF!</f>
        <v>#REF!</v>
      </c>
      <c r="G160" t="e">
        <f>#REF!</f>
        <v>#REF!</v>
      </c>
      <c r="H160" t="e">
        <f>#REF!</f>
        <v>#REF!</v>
      </c>
    </row>
    <row r="161" spans="1:8">
      <c r="A161" t="e">
        <f>#REF!</f>
        <v>#REF!</v>
      </c>
      <c r="B161" s="25" t="e">
        <f>#REF!</f>
        <v>#REF!</v>
      </c>
      <c r="C161" s="75" t="e">
        <f t="shared" si="3"/>
        <v>#REF!</v>
      </c>
      <c r="D161" t="e">
        <f>#REF!</f>
        <v>#REF!</v>
      </c>
      <c r="E161" s="38">
        <f>'Task 2a - Mitigating the Proble'!D161</f>
        <v>5</v>
      </c>
      <c r="F161" t="e">
        <f>#REF!</f>
        <v>#REF!</v>
      </c>
      <c r="G161" t="e">
        <f>#REF!</f>
        <v>#REF!</v>
      </c>
      <c r="H161" t="e">
        <f>#REF!</f>
        <v>#REF!</v>
      </c>
    </row>
    <row r="162" spans="1:8">
      <c r="A162" t="e">
        <f>#REF!</f>
        <v>#REF!</v>
      </c>
      <c r="B162" s="25" t="e">
        <f>#REF!</f>
        <v>#REF!</v>
      </c>
      <c r="C162" t="e">
        <f t="shared" si="3"/>
        <v>#REF!</v>
      </c>
      <c r="D162" t="e">
        <f>#REF!</f>
        <v>#REF!</v>
      </c>
      <c r="E162" s="38">
        <f>'Task 2a - Mitigating the Proble'!D162</f>
        <v>5</v>
      </c>
      <c r="F162" t="e">
        <f>#REF!</f>
        <v>#REF!</v>
      </c>
      <c r="G162" t="e">
        <f>#REF!</f>
        <v>#REF!</v>
      </c>
      <c r="H162" t="e">
        <f>#REF!</f>
        <v>#REF!</v>
      </c>
    </row>
    <row r="163" spans="1:8">
      <c r="A163" t="e">
        <f>#REF!</f>
        <v>#REF!</v>
      </c>
      <c r="B163" s="25" t="e">
        <f>#REF!</f>
        <v>#REF!</v>
      </c>
      <c r="C163" t="e">
        <f t="shared" si="3"/>
        <v>#REF!</v>
      </c>
      <c r="D163" t="e">
        <f>#REF!</f>
        <v>#REF!</v>
      </c>
      <c r="E163" s="38">
        <f>'Task 2a - Mitigating the Proble'!D163</f>
        <v>7</v>
      </c>
      <c r="F163" t="e">
        <f>#REF!</f>
        <v>#REF!</v>
      </c>
      <c r="G163" t="e">
        <f>#REF!</f>
        <v>#REF!</v>
      </c>
      <c r="H163" t="e">
        <f>#REF!</f>
        <v>#REF!</v>
      </c>
    </row>
    <row r="164" spans="1:8">
      <c r="A164" t="e">
        <f>#REF!</f>
        <v>#REF!</v>
      </c>
      <c r="B164" s="25" t="e">
        <f>#REF!</f>
        <v>#REF!</v>
      </c>
      <c r="C164" t="e">
        <f t="shared" si="3"/>
        <v>#REF!</v>
      </c>
      <c r="D164" t="e">
        <f>#REF!</f>
        <v>#REF!</v>
      </c>
      <c r="E164" s="38">
        <f>'Task 2a - Mitigating the Proble'!D164</f>
        <v>7</v>
      </c>
      <c r="F164" t="e">
        <f>#REF!</f>
        <v>#REF!</v>
      </c>
      <c r="G164" t="e">
        <f>#REF!</f>
        <v>#REF!</v>
      </c>
      <c r="H164" t="e">
        <f>#REF!</f>
        <v>#REF!</v>
      </c>
    </row>
    <row r="165" spans="1:8">
      <c r="A165" t="e">
        <f>#REF!</f>
        <v>#REF!</v>
      </c>
      <c r="B165" s="114" t="e">
        <f>#REF!</f>
        <v>#REF!</v>
      </c>
      <c r="C165" s="113" t="e">
        <f t="shared" si="3"/>
        <v>#REF!</v>
      </c>
      <c r="D165" t="e">
        <f>#REF!</f>
        <v>#REF!</v>
      </c>
      <c r="E165" s="38">
        <f>'Task 2a - Mitigating the Proble'!D165</f>
        <v>6</v>
      </c>
      <c r="F165" s="113" t="e">
        <f>#REF!</f>
        <v>#REF!</v>
      </c>
      <c r="G165" t="e">
        <f>#REF!</f>
        <v>#REF!</v>
      </c>
      <c r="H165" t="e">
        <f>#REF!</f>
        <v>#REF!</v>
      </c>
    </row>
    <row r="166" spans="1:8">
      <c r="A166" t="e">
        <f>#REF!</f>
        <v>#REF!</v>
      </c>
      <c r="B166" s="25" t="e">
        <f>#REF!</f>
        <v>#REF!</v>
      </c>
      <c r="C166" t="e">
        <f t="shared" si="3"/>
        <v>#REF!</v>
      </c>
      <c r="D166" t="e">
        <f>#REF!</f>
        <v>#REF!</v>
      </c>
      <c r="E166" s="38">
        <f>'Task 2a - Mitigating the Proble'!D166</f>
        <v>9</v>
      </c>
      <c r="F166" t="e">
        <f>#REF!</f>
        <v>#REF!</v>
      </c>
      <c r="G166" t="e">
        <f>#REF!</f>
        <v>#REF!</v>
      </c>
      <c r="H166" t="e">
        <f>#REF!</f>
        <v>#REF!</v>
      </c>
    </row>
    <row r="167" spans="1:8">
      <c r="A167" t="e">
        <f>#REF!</f>
        <v>#REF!</v>
      </c>
      <c r="B167" s="25" t="e">
        <f>#REF!</f>
        <v>#REF!</v>
      </c>
      <c r="C167" t="e">
        <f t="shared" si="3"/>
        <v>#REF!</v>
      </c>
      <c r="D167" t="e">
        <f>#REF!</f>
        <v>#REF!</v>
      </c>
      <c r="E167" s="38">
        <f>'Task 2a - Mitigating the Proble'!D167</f>
        <v>6</v>
      </c>
      <c r="F167" t="e">
        <f>#REF!</f>
        <v>#REF!</v>
      </c>
      <c r="G167" t="e">
        <f>#REF!</f>
        <v>#REF!</v>
      </c>
      <c r="H167" t="e">
        <f>#REF!</f>
        <v>#REF!</v>
      </c>
    </row>
    <row r="168" spans="1:8">
      <c r="A168" t="e">
        <f>#REF!</f>
        <v>#REF!</v>
      </c>
      <c r="B168" s="25" t="e">
        <f>#REF!</f>
        <v>#REF!</v>
      </c>
      <c r="C168" t="e">
        <f t="shared" si="3"/>
        <v>#REF!</v>
      </c>
      <c r="D168" t="e">
        <f>#REF!</f>
        <v>#REF!</v>
      </c>
      <c r="E168" s="38">
        <f>'Task 2a - Mitigating the Proble'!D168</f>
        <v>7</v>
      </c>
      <c r="F168" t="e">
        <f>#REF!</f>
        <v>#REF!</v>
      </c>
      <c r="G168" t="e">
        <f>#REF!</f>
        <v>#REF!</v>
      </c>
      <c r="H168" t="e">
        <f>#REF!</f>
        <v>#REF!</v>
      </c>
    </row>
    <row r="169" spans="1:8">
      <c r="A169" t="e">
        <f>#REF!</f>
        <v>#REF!</v>
      </c>
      <c r="B169" s="25" t="e">
        <f>#REF!</f>
        <v>#REF!</v>
      </c>
      <c r="C169" t="e">
        <f t="shared" si="3"/>
        <v>#REF!</v>
      </c>
      <c r="D169" t="e">
        <f>#REF!</f>
        <v>#REF!</v>
      </c>
      <c r="E169" s="38">
        <f>'Task 2a - Mitigating the Proble'!D169</f>
        <v>6</v>
      </c>
      <c r="F169" t="e">
        <f>#REF!</f>
        <v>#REF!</v>
      </c>
      <c r="G169" t="e">
        <f>#REF!</f>
        <v>#REF!</v>
      </c>
      <c r="H169" t="e">
        <f>#REF!</f>
        <v>#REF!</v>
      </c>
    </row>
    <row r="170" spans="1:8">
      <c r="A170" t="e">
        <f>#REF!</f>
        <v>#REF!</v>
      </c>
      <c r="B170" s="25" t="e">
        <f>#REF!</f>
        <v>#REF!</v>
      </c>
      <c r="C170" t="e">
        <f t="shared" si="3"/>
        <v>#REF!</v>
      </c>
      <c r="D170" t="e">
        <f>#REF!</f>
        <v>#REF!</v>
      </c>
      <c r="E170" s="38">
        <f>'Task 2a - Mitigating the Proble'!D170</f>
        <v>5</v>
      </c>
      <c r="F170" t="e">
        <f>#REF!</f>
        <v>#REF!</v>
      </c>
      <c r="G170" t="e">
        <f>#REF!</f>
        <v>#REF!</v>
      </c>
      <c r="H170" t="e">
        <f>#REF!</f>
        <v>#REF!</v>
      </c>
    </row>
    <row r="171" spans="1:8">
      <c r="A171" t="e">
        <f>#REF!</f>
        <v>#REF!</v>
      </c>
      <c r="B171" s="25" t="e">
        <f>#REF!</f>
        <v>#REF!</v>
      </c>
      <c r="C171" t="e">
        <f t="shared" si="3"/>
        <v>#REF!</v>
      </c>
      <c r="D171" t="e">
        <f>#REF!</f>
        <v>#REF!</v>
      </c>
      <c r="E171" s="38">
        <f>'Task 2a - Mitigating the Proble'!D171</f>
        <v>5</v>
      </c>
      <c r="F171" t="e">
        <f>#REF!</f>
        <v>#REF!</v>
      </c>
      <c r="G171" t="e">
        <f>#REF!</f>
        <v>#REF!</v>
      </c>
      <c r="H171" t="e">
        <f>#REF!</f>
        <v>#REF!</v>
      </c>
    </row>
    <row r="172" spans="1:8">
      <c r="A172" t="e">
        <f>#REF!</f>
        <v>#REF!</v>
      </c>
      <c r="B172" s="25" t="e">
        <f>#REF!</f>
        <v>#REF!</v>
      </c>
      <c r="C172" t="e">
        <f t="shared" si="3"/>
        <v>#REF!</v>
      </c>
      <c r="D172" t="e">
        <f>#REF!</f>
        <v>#REF!</v>
      </c>
      <c r="E172" s="38">
        <f>'Task 2a - Mitigating the Proble'!D172</f>
        <v>5</v>
      </c>
      <c r="F172" t="e">
        <f>#REF!</f>
        <v>#REF!</v>
      </c>
      <c r="G172" t="e">
        <f>#REF!</f>
        <v>#REF!</v>
      </c>
      <c r="H172" t="e">
        <f>#REF!</f>
        <v>#REF!</v>
      </c>
    </row>
    <row r="173" spans="1:8">
      <c r="A173" t="e">
        <f>#REF!</f>
        <v>#REF!</v>
      </c>
      <c r="B173" s="25" t="e">
        <f>#REF!</f>
        <v>#REF!</v>
      </c>
      <c r="C173" t="e">
        <f t="shared" si="3"/>
        <v>#REF!</v>
      </c>
      <c r="D173" t="e">
        <f>#REF!</f>
        <v>#REF!</v>
      </c>
      <c r="E173" s="38">
        <f>'Task 2a - Mitigating the Proble'!D173</f>
        <v>6</v>
      </c>
      <c r="F173" t="e">
        <f>#REF!</f>
        <v>#REF!</v>
      </c>
      <c r="G173" t="e">
        <f>#REF!</f>
        <v>#REF!</v>
      </c>
      <c r="H173" t="e">
        <f>#REF!</f>
        <v>#REF!</v>
      </c>
    </row>
    <row r="174" spans="1:8">
      <c r="A174" t="e">
        <f>#REF!</f>
        <v>#REF!</v>
      </c>
      <c r="B174" s="25" t="e">
        <f>#REF!</f>
        <v>#REF!</v>
      </c>
      <c r="C174" t="e">
        <f t="shared" si="3"/>
        <v>#REF!</v>
      </c>
      <c r="D174" t="e">
        <f>#REF!</f>
        <v>#REF!</v>
      </c>
      <c r="E174" s="38">
        <f>'Task 2a - Mitigating the Proble'!D174</f>
        <v>5</v>
      </c>
      <c r="F174" t="e">
        <f>#REF!</f>
        <v>#REF!</v>
      </c>
      <c r="G174" t="e">
        <f>#REF!</f>
        <v>#REF!</v>
      </c>
      <c r="H174" t="e">
        <f>#REF!</f>
        <v>#REF!</v>
      </c>
    </row>
    <row r="175" spans="1:8">
      <c r="A175" t="e">
        <f>#REF!</f>
        <v>#REF!</v>
      </c>
      <c r="B175" s="114" t="e">
        <f>#REF!</f>
        <v>#REF!</v>
      </c>
      <c r="C175" s="75" t="e">
        <f t="shared" si="3"/>
        <v>#REF!</v>
      </c>
      <c r="D175" t="e">
        <f>#REF!</f>
        <v>#REF!</v>
      </c>
      <c r="E175" s="38">
        <f>'Task 2a - Mitigating the Proble'!D175</f>
        <v>5</v>
      </c>
      <c r="F175" s="113" t="e">
        <f>#REF!</f>
        <v>#REF!</v>
      </c>
      <c r="G175" t="e">
        <f>#REF!</f>
        <v>#REF!</v>
      </c>
      <c r="H175" t="e">
        <f>#REF!</f>
        <v>#REF!</v>
      </c>
    </row>
    <row r="176" spans="1:8">
      <c r="A176" t="e">
        <f>#REF!</f>
        <v>#REF!</v>
      </c>
      <c r="B176" s="25" t="e">
        <f>#REF!</f>
        <v>#REF!</v>
      </c>
      <c r="C176" t="e">
        <f t="shared" si="3"/>
        <v>#REF!</v>
      </c>
      <c r="D176" t="e">
        <f>#REF!</f>
        <v>#REF!</v>
      </c>
      <c r="E176" s="38">
        <f>'Task 2a - Mitigating the Proble'!D176</f>
        <v>6</v>
      </c>
      <c r="F176" t="e">
        <f>#REF!</f>
        <v>#REF!</v>
      </c>
      <c r="G176" t="e">
        <f>#REF!</f>
        <v>#REF!</v>
      </c>
      <c r="H176" t="e">
        <f>#REF!</f>
        <v>#REF!</v>
      </c>
    </row>
    <row r="177" spans="1:10">
      <c r="A177" t="e">
        <f>#REF!</f>
        <v>#REF!</v>
      </c>
      <c r="B177" s="25" t="e">
        <f>#REF!</f>
        <v>#REF!</v>
      </c>
      <c r="C177" t="e">
        <f t="shared" si="3"/>
        <v>#REF!</v>
      </c>
      <c r="D177" t="e">
        <f>#REF!</f>
        <v>#REF!</v>
      </c>
      <c r="E177" s="38">
        <f>'Task 2a - Mitigating the Proble'!D177</f>
        <v>5</v>
      </c>
      <c r="F177" t="e">
        <f>#REF!</f>
        <v>#REF!</v>
      </c>
      <c r="G177" t="e">
        <f>#REF!</f>
        <v>#REF!</v>
      </c>
      <c r="H177" t="e">
        <f>#REF!</f>
        <v>#REF!</v>
      </c>
    </row>
    <row r="178" spans="1:10">
      <c r="A178" t="e">
        <f>#REF!</f>
        <v>#REF!</v>
      </c>
      <c r="B178" s="25" t="e">
        <f>#REF!</f>
        <v>#REF!</v>
      </c>
      <c r="C178" t="e">
        <f t="shared" si="3"/>
        <v>#REF!</v>
      </c>
      <c r="D178" t="e">
        <f>#REF!</f>
        <v>#REF!</v>
      </c>
      <c r="E178" s="38">
        <f>'Task 2a - Mitigating the Proble'!D178</f>
        <v>7</v>
      </c>
      <c r="F178" t="e">
        <f>#REF!</f>
        <v>#REF!</v>
      </c>
      <c r="G178" t="e">
        <f>#REF!</f>
        <v>#REF!</v>
      </c>
      <c r="H178" t="e">
        <f>#REF!</f>
        <v>#REF!</v>
      </c>
    </row>
    <row r="179" spans="1:10">
      <c r="A179" t="e">
        <f>#REF!</f>
        <v>#REF!</v>
      </c>
      <c r="B179" s="25" t="e">
        <f>#REF!</f>
        <v>#REF!</v>
      </c>
      <c r="C179" t="e">
        <f t="shared" si="3"/>
        <v>#REF!</v>
      </c>
      <c r="D179" t="e">
        <f>#REF!</f>
        <v>#REF!</v>
      </c>
      <c r="E179" s="38">
        <f>'Task 2a - Mitigating the Proble'!D179</f>
        <v>7</v>
      </c>
      <c r="F179" t="e">
        <f>#REF!</f>
        <v>#REF!</v>
      </c>
      <c r="G179" t="e">
        <f>#REF!</f>
        <v>#REF!</v>
      </c>
      <c r="H179" t="e">
        <f>#REF!</f>
        <v>#REF!</v>
      </c>
    </row>
    <row r="180" spans="1:10">
      <c r="A180" t="e">
        <f>#REF!</f>
        <v>#REF!</v>
      </c>
      <c r="B180" s="25" t="e">
        <f>#REF!</f>
        <v>#REF!</v>
      </c>
      <c r="C180" t="e">
        <f t="shared" si="3"/>
        <v>#REF!</v>
      </c>
      <c r="D180" t="e">
        <f>#REF!</f>
        <v>#REF!</v>
      </c>
      <c r="E180" s="38">
        <f>'Task 2a - Mitigating the Proble'!D180</f>
        <v>6</v>
      </c>
      <c r="F180" t="e">
        <f>#REF!</f>
        <v>#REF!</v>
      </c>
      <c r="G180" t="e">
        <f>#REF!</f>
        <v>#REF!</v>
      </c>
      <c r="H180" t="e">
        <f>#REF!</f>
        <v>#REF!</v>
      </c>
    </row>
    <row r="181" spans="1:10">
      <c r="A181" t="e">
        <f>#REF!</f>
        <v>#REF!</v>
      </c>
      <c r="B181" s="25" t="e">
        <f>#REF!</f>
        <v>#REF!</v>
      </c>
      <c r="C181" t="e">
        <f t="shared" si="3"/>
        <v>#REF!</v>
      </c>
      <c r="D181" t="e">
        <f>#REF!</f>
        <v>#REF!</v>
      </c>
      <c r="E181" s="38">
        <f>'Task 2a - Mitigating the Proble'!D181</f>
        <v>5</v>
      </c>
      <c r="F181" t="e">
        <f>#REF!</f>
        <v>#REF!</v>
      </c>
      <c r="G181" t="e">
        <f>#REF!</f>
        <v>#REF!</v>
      </c>
      <c r="H181" t="e">
        <f>#REF!</f>
        <v>#REF!</v>
      </c>
    </row>
    <row r="182" spans="1:10">
      <c r="A182" t="e">
        <f>#REF!</f>
        <v>#REF!</v>
      </c>
      <c r="B182" s="25" t="e">
        <f>#REF!</f>
        <v>#REF!</v>
      </c>
      <c r="C182" t="e">
        <f t="shared" si="3"/>
        <v>#REF!</v>
      </c>
      <c r="D182" t="e">
        <f>#REF!</f>
        <v>#REF!</v>
      </c>
      <c r="E182" s="38">
        <f>'Task 2a - Mitigating the Proble'!D182</f>
        <v>5</v>
      </c>
      <c r="F182" t="e">
        <f>#REF!</f>
        <v>#REF!</v>
      </c>
      <c r="G182" t="e">
        <f>#REF!</f>
        <v>#REF!</v>
      </c>
      <c r="H182" t="e">
        <f>#REF!</f>
        <v>#REF!</v>
      </c>
    </row>
    <row r="183" spans="1:10">
      <c r="A183" t="e">
        <f>#REF!</f>
        <v>#REF!</v>
      </c>
      <c r="B183" s="25" t="e">
        <f>#REF!</f>
        <v>#REF!</v>
      </c>
      <c r="C183" t="e">
        <f t="shared" si="3"/>
        <v>#REF!</v>
      </c>
      <c r="D183" t="e">
        <f>#REF!</f>
        <v>#REF!</v>
      </c>
      <c r="E183" s="38">
        <f>'Task 2a - Mitigating the Proble'!D183</f>
        <v>6</v>
      </c>
      <c r="F183" t="e">
        <f>#REF!</f>
        <v>#REF!</v>
      </c>
      <c r="G183" t="e">
        <f>#REF!</f>
        <v>#REF!</v>
      </c>
      <c r="H183" t="e">
        <f>#REF!</f>
        <v>#REF!</v>
      </c>
    </row>
    <row r="184" spans="1:10">
      <c r="A184" t="e">
        <f>#REF!</f>
        <v>#REF!</v>
      </c>
      <c r="B184" s="25" t="e">
        <f>#REF!</f>
        <v>#REF!</v>
      </c>
      <c r="C184" t="e">
        <f t="shared" si="3"/>
        <v>#REF!</v>
      </c>
      <c r="D184" t="e">
        <f>#REF!</f>
        <v>#REF!</v>
      </c>
      <c r="E184" s="38">
        <f>'Task 2a - Mitigating the Proble'!D184</f>
        <v>5</v>
      </c>
      <c r="F184" t="e">
        <f>#REF!</f>
        <v>#REF!</v>
      </c>
      <c r="G184" t="e">
        <f>#REF!</f>
        <v>#REF!</v>
      </c>
      <c r="H184" t="e">
        <f>#REF!</f>
        <v>#REF!</v>
      </c>
    </row>
    <row r="185" spans="1:10">
      <c r="A185" t="e">
        <f>#REF!</f>
        <v>#REF!</v>
      </c>
      <c r="B185" s="25" t="e">
        <f>#REF!</f>
        <v>#REF!</v>
      </c>
      <c r="C185" t="e">
        <f t="shared" si="3"/>
        <v>#REF!</v>
      </c>
      <c r="D185" t="e">
        <f>#REF!</f>
        <v>#REF!</v>
      </c>
      <c r="E185" s="38">
        <f>'Task 2a - Mitigating the Proble'!D185</f>
        <v>5</v>
      </c>
      <c r="F185" t="e">
        <f>#REF!</f>
        <v>#REF!</v>
      </c>
      <c r="G185" t="e">
        <f>#REF!</f>
        <v>#REF!</v>
      </c>
      <c r="H185" t="e">
        <f>#REF!</f>
        <v>#REF!</v>
      </c>
    </row>
    <row r="186" spans="1:10">
      <c r="A186" t="e">
        <f>#REF!</f>
        <v>#REF!</v>
      </c>
      <c r="B186" s="25" t="e">
        <f>#REF!</f>
        <v>#REF!</v>
      </c>
      <c r="C186" t="e">
        <f t="shared" si="3"/>
        <v>#REF!</v>
      </c>
      <c r="D186" t="e">
        <f>#REF!</f>
        <v>#REF!</v>
      </c>
      <c r="E186" s="38">
        <f>'Task 2a - Mitigating the Proble'!D186</f>
        <v>5</v>
      </c>
      <c r="F186" t="e">
        <f>#REF!</f>
        <v>#REF!</v>
      </c>
      <c r="G186" t="e">
        <f>#REF!</f>
        <v>#REF!</v>
      </c>
      <c r="H186" t="e">
        <f>#REF!</f>
        <v>#REF!</v>
      </c>
    </row>
    <row r="187" spans="1:10">
      <c r="A187" t="e">
        <f>#REF!</f>
        <v>#REF!</v>
      </c>
      <c r="B187" s="25" t="e">
        <f>#REF!</f>
        <v>#REF!</v>
      </c>
      <c r="C187" t="e">
        <f t="shared" si="3"/>
        <v>#REF!</v>
      </c>
      <c r="D187" t="e">
        <f>#REF!</f>
        <v>#REF!</v>
      </c>
      <c r="E187" s="38">
        <f>'Task 2a - Mitigating the Proble'!D187</f>
        <v>7</v>
      </c>
      <c r="F187" t="e">
        <f>#REF!</f>
        <v>#REF!</v>
      </c>
      <c r="G187" t="e">
        <f>#REF!</f>
        <v>#REF!</v>
      </c>
      <c r="H187" t="e">
        <f>#REF!</f>
        <v>#REF!</v>
      </c>
    </row>
    <row r="188" spans="1:10">
      <c r="A188" t="e">
        <f>#REF!</f>
        <v>#REF!</v>
      </c>
      <c r="B188" s="25" t="e">
        <f>#REF!</f>
        <v>#REF!</v>
      </c>
      <c r="C188" t="e">
        <f t="shared" si="3"/>
        <v>#REF!</v>
      </c>
      <c r="D188" t="e">
        <f>#REF!</f>
        <v>#REF!</v>
      </c>
      <c r="E188" s="38">
        <f>'Task 2a - Mitigating the Proble'!D188</f>
        <v>5</v>
      </c>
      <c r="F188" t="e">
        <f>#REF!</f>
        <v>#REF!</v>
      </c>
      <c r="G188" t="e">
        <f>#REF!</f>
        <v>#REF!</v>
      </c>
      <c r="H188" t="e">
        <f>#REF!</f>
        <v>#REF!</v>
      </c>
    </row>
    <row r="189" spans="1:10" ht="16.5" customHeight="1">
      <c r="A189" t="e">
        <f>#REF!</f>
        <v>#REF!</v>
      </c>
      <c r="B189" s="25" t="e">
        <f>#REF!</f>
        <v>#REF!</v>
      </c>
      <c r="C189" s="97" t="e">
        <f t="shared" si="3"/>
        <v>#REF!</v>
      </c>
      <c r="D189" t="e">
        <f>#REF!</f>
        <v>#REF!</v>
      </c>
      <c r="E189" s="38">
        <f>'Task 2a - Mitigating the Proble'!D189</f>
        <v>5</v>
      </c>
      <c r="F189" t="e">
        <f>#REF!</f>
        <v>#REF!</v>
      </c>
      <c r="G189" t="e">
        <f>#REF!</f>
        <v>#REF!</v>
      </c>
      <c r="H189" t="e">
        <f>#REF!</f>
        <v>#REF!</v>
      </c>
      <c r="J189" s="98" t="s">
        <v>219</v>
      </c>
    </row>
    <row r="190" spans="1:10">
      <c r="A190" t="e">
        <f>#REF!</f>
        <v>#REF!</v>
      </c>
      <c r="B190" s="25" t="e">
        <f>#REF!</f>
        <v>#REF!</v>
      </c>
      <c r="C190" t="e">
        <f t="shared" si="3"/>
        <v>#REF!</v>
      </c>
      <c r="D190" t="e">
        <f>#REF!</f>
        <v>#REF!</v>
      </c>
      <c r="E190" s="38">
        <f>'Task 2a - Mitigating the Proble'!D190</f>
        <v>7</v>
      </c>
      <c r="F190" t="e">
        <f>#REF!</f>
        <v>#REF!</v>
      </c>
      <c r="G190" t="e">
        <f>#REF!</f>
        <v>#REF!</v>
      </c>
      <c r="H190" t="e">
        <f>#REF!</f>
        <v>#REF!</v>
      </c>
    </row>
    <row r="191" spans="1:10">
      <c r="A191" t="e">
        <f>#REF!</f>
        <v>#REF!</v>
      </c>
      <c r="B191" s="25" t="e">
        <f>#REF!</f>
        <v>#REF!</v>
      </c>
      <c r="C191" t="e">
        <f t="shared" si="3"/>
        <v>#REF!</v>
      </c>
      <c r="D191" t="e">
        <f>#REF!</f>
        <v>#REF!</v>
      </c>
      <c r="E191" s="38">
        <f>'Task 2a - Mitigating the Proble'!D191</f>
        <v>5</v>
      </c>
      <c r="F191" t="e">
        <f>#REF!</f>
        <v>#REF!</v>
      </c>
      <c r="G191" t="e">
        <f>#REF!</f>
        <v>#REF!</v>
      </c>
      <c r="H191" t="e">
        <f>#REF!</f>
        <v>#REF!</v>
      </c>
    </row>
    <row r="192" spans="1:10">
      <c r="A192" t="e">
        <f>#REF!</f>
        <v>#REF!</v>
      </c>
      <c r="B192" s="25" t="e">
        <f>#REF!</f>
        <v>#REF!</v>
      </c>
      <c r="C192" t="e">
        <f t="shared" si="3"/>
        <v>#REF!</v>
      </c>
      <c r="D192" t="e">
        <f>#REF!</f>
        <v>#REF!</v>
      </c>
      <c r="E192" s="38">
        <f>'Task 2a - Mitigating the Proble'!D192</f>
        <v>5</v>
      </c>
      <c r="F192" t="e">
        <f>#REF!</f>
        <v>#REF!</v>
      </c>
      <c r="G192" t="e">
        <f>#REF!</f>
        <v>#REF!</v>
      </c>
      <c r="H192" t="e">
        <f>#REF!</f>
        <v>#REF!</v>
      </c>
    </row>
    <row r="193" spans="1:9">
      <c r="A193" t="e">
        <f>#REF!</f>
        <v>#REF!</v>
      </c>
      <c r="B193" s="25" t="e">
        <f>#REF!</f>
        <v>#REF!</v>
      </c>
      <c r="C193" t="e">
        <f t="shared" si="3"/>
        <v>#REF!</v>
      </c>
      <c r="D193" t="e">
        <f>#REF!</f>
        <v>#REF!</v>
      </c>
      <c r="E193" s="38">
        <f>'Task 2a - Mitigating the Proble'!D193</f>
        <v>7</v>
      </c>
      <c r="F193" t="e">
        <f>#REF!</f>
        <v>#REF!</v>
      </c>
      <c r="G193" t="e">
        <f>#REF!</f>
        <v>#REF!</v>
      </c>
      <c r="H193" t="e">
        <f>#REF!</f>
        <v>#REF!</v>
      </c>
    </row>
    <row r="194" spans="1:9">
      <c r="A194" t="e">
        <f>#REF!</f>
        <v>#REF!</v>
      </c>
      <c r="B194" s="25" t="e">
        <f>#REF!</f>
        <v>#REF!</v>
      </c>
      <c r="C194" t="e">
        <f t="shared" si="3"/>
        <v>#REF!</v>
      </c>
      <c r="D194" t="e">
        <f>#REF!</f>
        <v>#REF!</v>
      </c>
      <c r="E194" s="38">
        <f>'Task 2a - Mitigating the Proble'!D194</f>
        <v>5</v>
      </c>
      <c r="F194" t="e">
        <f>#REF!</f>
        <v>#REF!</v>
      </c>
      <c r="G194" t="e">
        <f>#REF!</f>
        <v>#REF!</v>
      </c>
      <c r="H194" t="e">
        <f>#REF!</f>
        <v>#REF!</v>
      </c>
    </row>
    <row r="195" spans="1:9">
      <c r="A195" t="e">
        <f>#REF!</f>
        <v>#REF!</v>
      </c>
      <c r="B195" s="25" t="e">
        <f>#REF!</f>
        <v>#REF!</v>
      </c>
      <c r="C195" t="e">
        <f t="shared" si="3"/>
        <v>#REF!</v>
      </c>
      <c r="D195" t="e">
        <f>#REF!</f>
        <v>#REF!</v>
      </c>
      <c r="E195" s="38">
        <f>'Task 2a - Mitigating the Proble'!D195</f>
        <v>5</v>
      </c>
      <c r="F195" t="e">
        <f>#REF!</f>
        <v>#REF!</v>
      </c>
      <c r="G195" t="e">
        <f>#REF!</f>
        <v>#REF!</v>
      </c>
      <c r="H195" t="e">
        <f>#REF!</f>
        <v>#REF!</v>
      </c>
    </row>
    <row r="196" spans="1:9">
      <c r="A196" t="e">
        <f>#REF!</f>
        <v>#REF!</v>
      </c>
      <c r="B196" s="25" t="e">
        <f>#REF!</f>
        <v>#REF!</v>
      </c>
      <c r="C196" t="e">
        <f t="shared" si="3"/>
        <v>#REF!</v>
      </c>
      <c r="D196" t="e">
        <f>#REF!</f>
        <v>#REF!</v>
      </c>
      <c r="E196" s="38">
        <f>'Task 2a - Mitigating the Proble'!D196</f>
        <v>6</v>
      </c>
      <c r="F196" t="e">
        <f>#REF!</f>
        <v>#REF!</v>
      </c>
      <c r="G196" t="e">
        <f>#REF!</f>
        <v>#REF!</v>
      </c>
      <c r="H196" t="e">
        <f>#REF!</f>
        <v>#REF!</v>
      </c>
    </row>
    <row r="197" spans="1:9">
      <c r="A197" t="e">
        <f>#REF!</f>
        <v>#REF!</v>
      </c>
      <c r="B197" s="25" t="e">
        <f>#REF!</f>
        <v>#REF!</v>
      </c>
      <c r="C197" t="e">
        <f t="shared" si="3"/>
        <v>#REF!</v>
      </c>
      <c r="D197" t="e">
        <f>#REF!</f>
        <v>#REF!</v>
      </c>
      <c r="E197" s="38">
        <f>'Task 2a - Mitigating the Proble'!D197</f>
        <v>6</v>
      </c>
      <c r="F197" t="e">
        <f>#REF!</f>
        <v>#REF!</v>
      </c>
      <c r="G197" t="e">
        <f>#REF!</f>
        <v>#REF!</v>
      </c>
      <c r="H197" t="e">
        <f>#REF!</f>
        <v>#REF!</v>
      </c>
    </row>
    <row r="198" spans="1:9">
      <c r="A198" t="e">
        <f>#REF!</f>
        <v>#REF!</v>
      </c>
      <c r="B198" s="25" t="e">
        <f>#REF!</f>
        <v>#REF!</v>
      </c>
      <c r="C198" t="e">
        <f t="shared" si="3"/>
        <v>#REF!</v>
      </c>
      <c r="D198" t="e">
        <f>#REF!</f>
        <v>#REF!</v>
      </c>
      <c r="E198" s="38">
        <f>'Task 2a - Mitigating the Proble'!D198</f>
        <v>4</v>
      </c>
      <c r="F198" t="e">
        <f>#REF!</f>
        <v>#REF!</v>
      </c>
      <c r="G198" t="e">
        <f>#REF!</f>
        <v>#REF!</v>
      </c>
      <c r="H198" t="e">
        <f>#REF!</f>
        <v>#REF!</v>
      </c>
    </row>
    <row r="199" spans="1:9">
      <c r="A199" t="e">
        <f>#REF!</f>
        <v>#REF!</v>
      </c>
      <c r="B199" s="25" t="e">
        <f>#REF!</f>
        <v>#REF!</v>
      </c>
      <c r="C199" t="e">
        <f t="shared" si="3"/>
        <v>#REF!</v>
      </c>
      <c r="D199" t="e">
        <f>#REF!</f>
        <v>#REF!</v>
      </c>
      <c r="E199" s="38">
        <f>'Task 2a - Mitigating the Proble'!D199</f>
        <v>4</v>
      </c>
      <c r="F199" t="e">
        <f>#REF!</f>
        <v>#REF!</v>
      </c>
      <c r="G199" t="e">
        <f>#REF!</f>
        <v>#REF!</v>
      </c>
      <c r="H199" t="e">
        <f>#REF!</f>
        <v>#REF!</v>
      </c>
    </row>
    <row r="200" spans="1:9">
      <c r="A200" t="e">
        <f>#REF!</f>
        <v>#REF!</v>
      </c>
      <c r="B200" s="25" t="e">
        <f>#REF!</f>
        <v>#REF!</v>
      </c>
      <c r="C200" t="e">
        <f t="shared" ref="C200:C204" si="4">SUM(D200:H200)</f>
        <v>#REF!</v>
      </c>
      <c r="D200" t="e">
        <f>#REF!</f>
        <v>#REF!</v>
      </c>
      <c r="E200" s="38">
        <f>'Task 2a - Mitigating the Proble'!D200</f>
        <v>6</v>
      </c>
      <c r="F200" t="e">
        <f>#REF!</f>
        <v>#REF!</v>
      </c>
      <c r="G200" t="e">
        <f>#REF!</f>
        <v>#REF!</v>
      </c>
      <c r="H200" t="e">
        <f>#REF!</f>
        <v>#REF!</v>
      </c>
    </row>
    <row r="201" spans="1:9">
      <c r="A201" t="e">
        <f>#REF!</f>
        <v>#REF!</v>
      </c>
      <c r="B201" s="25" t="e">
        <f>#REF!</f>
        <v>#REF!</v>
      </c>
      <c r="C201" t="e">
        <f t="shared" si="4"/>
        <v>#REF!</v>
      </c>
      <c r="D201" t="e">
        <f>#REF!</f>
        <v>#REF!</v>
      </c>
      <c r="E201" s="38">
        <f>'Task 2a - Mitigating the Proble'!D201</f>
        <v>8</v>
      </c>
      <c r="F201" t="e">
        <f>#REF!</f>
        <v>#REF!</v>
      </c>
      <c r="G201" t="e">
        <f>#REF!</f>
        <v>#REF!</v>
      </c>
      <c r="H201" t="e">
        <f>#REF!</f>
        <v>#REF!</v>
      </c>
    </row>
    <row r="202" spans="1:9">
      <c r="A202" t="e">
        <f>#REF!</f>
        <v>#REF!</v>
      </c>
      <c r="B202" s="25" t="e">
        <f>#REF!</f>
        <v>#REF!</v>
      </c>
      <c r="C202" t="e">
        <f t="shared" si="4"/>
        <v>#REF!</v>
      </c>
      <c r="D202" t="e">
        <f>#REF!</f>
        <v>#REF!</v>
      </c>
      <c r="E202" s="38">
        <f>'Task 2a - Mitigating the Proble'!D202</f>
        <v>6</v>
      </c>
      <c r="F202" t="e">
        <f>#REF!</f>
        <v>#REF!</v>
      </c>
      <c r="G202" t="e">
        <f>#REF!</f>
        <v>#REF!</v>
      </c>
      <c r="H202" t="e">
        <f>#REF!</f>
        <v>#REF!</v>
      </c>
    </row>
    <row r="203" spans="1:9">
      <c r="A203" t="e">
        <f>#REF!</f>
        <v>#REF!</v>
      </c>
      <c r="B203" s="25" t="e">
        <f>#REF!</f>
        <v>#REF!</v>
      </c>
      <c r="C203" t="e">
        <f t="shared" si="4"/>
        <v>#REF!</v>
      </c>
      <c r="D203" t="e">
        <f>#REF!</f>
        <v>#REF!</v>
      </c>
      <c r="E203" s="38">
        <f>'Task 2a - Mitigating the Proble'!D203</f>
        <v>6</v>
      </c>
      <c r="F203" t="e">
        <f>#REF!</f>
        <v>#REF!</v>
      </c>
      <c r="G203" t="e">
        <f>#REF!</f>
        <v>#REF!</v>
      </c>
      <c r="H203" t="e">
        <f>#REF!</f>
        <v>#REF!</v>
      </c>
    </row>
    <row r="204" spans="1:9">
      <c r="A204" t="e">
        <f>#REF!</f>
        <v>#REF!</v>
      </c>
      <c r="B204" s="25" t="e">
        <f>#REF!</f>
        <v>#REF!</v>
      </c>
      <c r="C204" t="e">
        <f t="shared" si="4"/>
        <v>#REF!</v>
      </c>
      <c r="D204" t="e">
        <f>#REF!</f>
        <v>#REF!</v>
      </c>
      <c r="E204" s="38">
        <f>'Task 2a - Mitigating the Proble'!D204</f>
        <v>5</v>
      </c>
      <c r="F204" t="e">
        <f>#REF!</f>
        <v>#REF!</v>
      </c>
      <c r="G204" t="e">
        <f>#REF!</f>
        <v>#REF!</v>
      </c>
      <c r="H204" t="e">
        <f>#REF!</f>
        <v>#REF!</v>
      </c>
    </row>
    <row r="205" spans="1:9">
      <c r="A205" s="110" t="e">
        <f>#REF!</f>
        <v>#REF!</v>
      </c>
      <c r="B205" s="108" t="e">
        <f>#REF!</f>
        <v>#REF!</v>
      </c>
      <c r="C205" s="99" t="e">
        <f t="shared" ref="C205:C212" si="5">SUM(D205:H205)</f>
        <v>#REF!</v>
      </c>
      <c r="D205" s="99" t="e">
        <f>#REF!</f>
        <v>#REF!</v>
      </c>
      <c r="E205" s="100">
        <f>'Task 2a - Mitigating the Proble'!D205</f>
        <v>7</v>
      </c>
      <c r="F205" s="99" t="e">
        <f>#REF!</f>
        <v>#REF!</v>
      </c>
      <c r="G205" s="99" t="e">
        <f>#REF!</f>
        <v>#REF!</v>
      </c>
      <c r="H205" s="101" t="e">
        <f>#REF!</f>
        <v>#REF!</v>
      </c>
      <c r="I205" s="107" t="s">
        <v>220</v>
      </c>
    </row>
    <row r="206" spans="1:9">
      <c r="A206" s="111" t="e">
        <f>#REF!</f>
        <v>#REF!</v>
      </c>
      <c r="B206" s="106" t="e">
        <f>#REF!</f>
        <v>#REF!</v>
      </c>
      <c r="C206" t="e">
        <f t="shared" si="5"/>
        <v>#REF!</v>
      </c>
      <c r="D206" t="e">
        <f>#REF!</f>
        <v>#REF!</v>
      </c>
      <c r="E206" s="38">
        <f>'Task 2a - Mitigating the Proble'!D206</f>
        <v>9</v>
      </c>
      <c r="F206" t="e">
        <f>#REF!</f>
        <v>#REF!</v>
      </c>
      <c r="G206" t="e">
        <f>#REF!</f>
        <v>#REF!</v>
      </c>
      <c r="H206" s="102" t="e">
        <f>#REF!</f>
        <v>#REF!</v>
      </c>
    </row>
    <row r="207" spans="1:9">
      <c r="A207" s="111" t="e">
        <f>#REF!</f>
        <v>#REF!</v>
      </c>
      <c r="B207" s="106" t="e">
        <f>#REF!</f>
        <v>#REF!</v>
      </c>
      <c r="C207" t="e">
        <f t="shared" si="5"/>
        <v>#REF!</v>
      </c>
      <c r="D207" t="e">
        <f>#REF!</f>
        <v>#REF!</v>
      </c>
      <c r="E207" s="38">
        <f>'Task 2a - Mitigating the Proble'!D207</f>
        <v>9</v>
      </c>
      <c r="F207" t="e">
        <f>#REF!</f>
        <v>#REF!</v>
      </c>
      <c r="G207" t="e">
        <f>#REF!</f>
        <v>#REF!</v>
      </c>
      <c r="H207" s="102" t="e">
        <f>#REF!</f>
        <v>#REF!</v>
      </c>
    </row>
    <row r="208" spans="1:9">
      <c r="A208" s="111" t="e">
        <f>#REF!</f>
        <v>#REF!</v>
      </c>
      <c r="B208" s="106" t="e">
        <f>#REF!</f>
        <v>#REF!</v>
      </c>
      <c r="C208" t="e">
        <f t="shared" si="5"/>
        <v>#REF!</v>
      </c>
      <c r="D208" t="e">
        <f>#REF!</f>
        <v>#REF!</v>
      </c>
      <c r="E208" s="38">
        <f>'Task 2a - Mitigating the Proble'!D208</f>
        <v>5</v>
      </c>
      <c r="F208" t="e">
        <f>#REF!</f>
        <v>#REF!</v>
      </c>
      <c r="G208" t="e">
        <f>#REF!</f>
        <v>#REF!</v>
      </c>
      <c r="H208" s="102" t="e">
        <f>#REF!</f>
        <v>#REF!</v>
      </c>
    </row>
    <row r="209" spans="1:8">
      <c r="A209" s="111" t="e">
        <f>#REF!</f>
        <v>#REF!</v>
      </c>
      <c r="B209" s="106" t="e">
        <f>#REF!</f>
        <v>#REF!</v>
      </c>
      <c r="C209" t="e">
        <f t="shared" si="5"/>
        <v>#REF!</v>
      </c>
      <c r="D209" t="e">
        <f>#REF!</f>
        <v>#REF!</v>
      </c>
      <c r="E209" s="38">
        <f>'Task 2a - Mitigating the Proble'!D209</f>
        <v>6</v>
      </c>
      <c r="F209" t="e">
        <f>#REF!</f>
        <v>#REF!</v>
      </c>
      <c r="G209" t="e">
        <f>#REF!</f>
        <v>#REF!</v>
      </c>
      <c r="H209" s="102" t="e">
        <f>#REF!</f>
        <v>#REF!</v>
      </c>
    </row>
    <row r="210" spans="1:8">
      <c r="A210" s="111" t="e">
        <f>#REF!</f>
        <v>#REF!</v>
      </c>
      <c r="B210" s="106" t="e">
        <f>#REF!</f>
        <v>#REF!</v>
      </c>
      <c r="C210" t="e">
        <f t="shared" si="5"/>
        <v>#REF!</v>
      </c>
      <c r="D210" t="e">
        <f>#REF!</f>
        <v>#REF!</v>
      </c>
      <c r="E210" s="38">
        <f>'Task 2a - Mitigating the Proble'!D210</f>
        <v>5</v>
      </c>
      <c r="F210" t="e">
        <f>#REF!</f>
        <v>#REF!</v>
      </c>
      <c r="G210" t="e">
        <f>#REF!</f>
        <v>#REF!</v>
      </c>
      <c r="H210" s="102" t="e">
        <f>#REF!</f>
        <v>#REF!</v>
      </c>
    </row>
    <row r="211" spans="1:8">
      <c r="A211" s="111" t="e">
        <f>#REF!</f>
        <v>#REF!</v>
      </c>
      <c r="B211" s="106" t="e">
        <f>#REF!</f>
        <v>#REF!</v>
      </c>
      <c r="C211" t="e">
        <f t="shared" si="5"/>
        <v>#REF!</v>
      </c>
      <c r="D211" t="e">
        <f>#REF!</f>
        <v>#REF!</v>
      </c>
      <c r="E211" s="38">
        <f>'Task 2a - Mitigating the Proble'!D211</f>
        <v>5</v>
      </c>
      <c r="F211" t="e">
        <f>#REF!</f>
        <v>#REF!</v>
      </c>
      <c r="G211" t="e">
        <f>#REF!</f>
        <v>#REF!</v>
      </c>
      <c r="H211" s="102" t="e">
        <f>#REF!</f>
        <v>#REF!</v>
      </c>
    </row>
    <row r="212" spans="1:8">
      <c r="A212" s="111" t="e">
        <f>#REF!</f>
        <v>#REF!</v>
      </c>
      <c r="B212" s="106" t="e">
        <f>#REF!</f>
        <v>#REF!</v>
      </c>
      <c r="C212" t="e">
        <f t="shared" si="5"/>
        <v>#REF!</v>
      </c>
      <c r="D212" t="e">
        <f>#REF!</f>
        <v>#REF!</v>
      </c>
      <c r="E212" s="38">
        <f>'Task 2a - Mitigating the Proble'!D212</f>
        <v>6</v>
      </c>
      <c r="F212" t="e">
        <f>#REF!</f>
        <v>#REF!</v>
      </c>
      <c r="G212" t="e">
        <f>#REF!</f>
        <v>#REF!</v>
      </c>
      <c r="H212" s="102" t="e">
        <f>#REF!</f>
        <v>#REF!</v>
      </c>
    </row>
    <row r="213" spans="1:8">
      <c r="A213" s="112" t="e">
        <f>#REF!</f>
        <v>#REF!</v>
      </c>
      <c r="B213" s="109" t="e">
        <f>#REF!</f>
        <v>#REF!</v>
      </c>
      <c r="C213" s="103">
        <v>0</v>
      </c>
      <c r="D213" s="103">
        <v>0</v>
      </c>
      <c r="E213" s="104">
        <v>0</v>
      </c>
      <c r="F213" s="103">
        <v>0</v>
      </c>
      <c r="G213" s="103">
        <v>0</v>
      </c>
      <c r="H213" s="105">
        <v>0</v>
      </c>
    </row>
    <row r="215" spans="1:8">
      <c r="B215" s="28" t="s">
        <v>128</v>
      </c>
      <c r="C215" s="39" t="e">
        <f>AVERAGE(C7:C204)</f>
        <v>#REF!</v>
      </c>
      <c r="D215" s="57" t="e">
        <f t="shared" ref="D215:H215" si="6">AVERAGE(D7:D204)</f>
        <v>#REF!</v>
      </c>
      <c r="E215" s="57">
        <f t="shared" si="6"/>
        <v>6.0858585858585856</v>
      </c>
      <c r="F215" s="57" t="e">
        <f t="shared" si="6"/>
        <v>#REF!</v>
      </c>
      <c r="G215" s="57" t="e">
        <f t="shared" si="6"/>
        <v>#REF!</v>
      </c>
      <c r="H215" s="57" t="e">
        <f t="shared" si="6"/>
        <v>#REF!</v>
      </c>
    </row>
    <row r="216" spans="1:8">
      <c r="B216" s="32" t="s">
        <v>129</v>
      </c>
      <c r="C216" s="39" t="e">
        <f>STDEV(C7:C204)</f>
        <v>#REF!</v>
      </c>
      <c r="D216" s="57" t="e">
        <f t="shared" ref="D216:H216" si="7">STDEV(D7:D204)</f>
        <v>#REF!</v>
      </c>
      <c r="E216" s="57">
        <f t="shared" si="7"/>
        <v>1.1609999279467698</v>
      </c>
      <c r="F216" s="57" t="e">
        <f t="shared" si="7"/>
        <v>#REF!</v>
      </c>
      <c r="G216" s="57" t="e">
        <f t="shared" si="7"/>
        <v>#REF!</v>
      </c>
      <c r="H216" s="57" t="e">
        <f t="shared" si="7"/>
        <v>#REF!</v>
      </c>
    </row>
    <row r="217" spans="1:8">
      <c r="B217" s="32" t="s">
        <v>221</v>
      </c>
      <c r="C217" s="39" t="e">
        <f>MIN(C7:C204)</f>
        <v>#REF!</v>
      </c>
      <c r="D217" s="57" t="e">
        <f t="shared" ref="D217:H217" si="8">MIN(D7:D204)</f>
        <v>#REF!</v>
      </c>
      <c r="E217" s="57">
        <f t="shared" si="8"/>
        <v>0</v>
      </c>
      <c r="F217" s="57" t="e">
        <f t="shared" si="8"/>
        <v>#REF!</v>
      </c>
      <c r="G217" s="57" t="e">
        <f t="shared" si="8"/>
        <v>#REF!</v>
      </c>
      <c r="H217" s="57" t="e">
        <f t="shared" si="8"/>
        <v>#REF!</v>
      </c>
    </row>
    <row r="218" spans="1:8">
      <c r="B218" s="32" t="s">
        <v>222</v>
      </c>
      <c r="C218" s="39" t="e">
        <f>MAX(C7:C204)</f>
        <v>#REF!</v>
      </c>
      <c r="D218" s="57" t="e">
        <f t="shared" ref="D218:H218" si="9">MAX(D7:D204)</f>
        <v>#REF!</v>
      </c>
      <c r="E218" s="57">
        <f t="shared" si="9"/>
        <v>10</v>
      </c>
      <c r="F218" s="57" t="e">
        <f t="shared" si="9"/>
        <v>#REF!</v>
      </c>
      <c r="G218" s="57" t="e">
        <f t="shared" si="9"/>
        <v>#REF!</v>
      </c>
      <c r="H218" s="57" t="e">
        <f t="shared" si="9"/>
        <v>#REF!</v>
      </c>
    </row>
    <row r="222" spans="1:8">
      <c r="B222" s="33" t="s">
        <v>223</v>
      </c>
      <c r="C222" s="40">
        <f>COUNTIFS(C7:C204, "&gt;= 0", C7:C204, "&lt; 10")</f>
        <v>0</v>
      </c>
    </row>
    <row r="223" spans="1:8">
      <c r="B223" s="33" t="s">
        <v>224</v>
      </c>
      <c r="C223" s="82">
        <f>COUNTIFS(C7:C204, "&gt;= 10", C7:C204, "&lt; 20")</f>
        <v>0</v>
      </c>
    </row>
    <row r="224" spans="1:8">
      <c r="B224" s="33" t="s">
        <v>225</v>
      </c>
      <c r="C224" s="88">
        <f>COUNTIFS(C7:C204, "&gt;= 20", C7:C204, "&lt; 30")</f>
        <v>0</v>
      </c>
    </row>
    <row r="225" spans="2:3">
      <c r="B225" s="33" t="s">
        <v>226</v>
      </c>
      <c r="C225" s="81">
        <f>COUNTIFS(C7:C204, "&gt;= 30", C7:C204, "&lt; 40")</f>
        <v>1</v>
      </c>
    </row>
    <row r="226" spans="2:3">
      <c r="B226" s="33" t="s">
        <v>227</v>
      </c>
      <c r="C226" s="83">
        <f>COUNTIFS(C7:C204, "&gt;= 40", C7:C204, "&lt; 50")</f>
        <v>3</v>
      </c>
    </row>
    <row r="227" spans="2:3">
      <c r="B227" s="33" t="s">
        <v>228</v>
      </c>
      <c r="C227" s="84">
        <f>COUNTIFS(C7:C204, "&gt;= 50", C7:C204, "&lt; 60")</f>
        <v>3</v>
      </c>
    </row>
    <row r="228" spans="2:3">
      <c r="B228" s="33" t="s">
        <v>229</v>
      </c>
      <c r="C228" s="40">
        <f>COUNTIFS(C7:C204, "&gt;= 60", C7:C204, "&lt; 70")</f>
        <v>0</v>
      </c>
    </row>
    <row r="229" spans="2:3">
      <c r="B229" s="33" t="s">
        <v>230</v>
      </c>
      <c r="C229" s="40">
        <f>COUNTIFS(C7:C204, "&gt;= 70", C7:C204, "&lt; 80")</f>
        <v>0</v>
      </c>
    </row>
    <row r="230" spans="2:3">
      <c r="B230" s="33" t="s">
        <v>231</v>
      </c>
      <c r="C230" s="40">
        <f>COUNTIFS(C7:C204, "&gt;= 80", C7:C204, "&lt; 90")</f>
        <v>0</v>
      </c>
    </row>
    <row r="231" spans="2:3">
      <c r="B231" s="33" t="s">
        <v>232</v>
      </c>
      <c r="C231" s="40">
        <f>COUNTIFS(C7:C204, "&gt;= 90", C7:C204, "&lt; 100")</f>
        <v>0</v>
      </c>
    </row>
  </sheetData>
  <pageMargins left="0.7" right="0.7" top="0.75" bottom="0.75" header="0.51180555555555496" footer="0.51180555555555496"/>
  <pageSetup paperSize="9"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CE44-32D5-4E5C-9D76-2E66EB814177}">
  <dimension ref="A1:DN232"/>
  <sheetViews>
    <sheetView topLeftCell="A113" workbookViewId="0">
      <selection activeCell="F118" sqref="F118"/>
    </sheetView>
  </sheetViews>
  <sheetFormatPr baseColWidth="10" defaultColWidth="8.83203125" defaultRowHeight="15"/>
  <cols>
    <col min="1" max="1" width="12.33203125" bestFit="1" customWidth="1"/>
    <col min="2" max="2" width="12.5" customWidth="1"/>
    <col min="3" max="3" width="12.33203125" bestFit="1" customWidth="1"/>
    <col min="5" max="5" width="10.1640625" customWidth="1"/>
    <col min="6" max="6" width="9.83203125" bestFit="1" customWidth="1"/>
    <col min="7" max="7" width="11.5" customWidth="1"/>
    <col min="8" max="8" width="11.6640625" bestFit="1" customWidth="1"/>
    <col min="9" max="9" width="13.1640625" customWidth="1"/>
    <col min="10" max="10" width="12.5" bestFit="1" customWidth="1"/>
    <col min="12" max="12" width="12.6640625" bestFit="1" customWidth="1"/>
    <col min="14" max="14" width="12.5" bestFit="1" customWidth="1"/>
    <col min="16" max="16" width="11.6640625" bestFit="1" customWidth="1"/>
    <col min="18" max="18" width="15.1640625" customWidth="1"/>
    <col min="19" max="19" width="15.83203125" bestFit="1" customWidth="1"/>
    <col min="20" max="20" width="6.6640625" bestFit="1" customWidth="1"/>
    <col min="21" max="21" width="11.1640625" bestFit="1" customWidth="1"/>
    <col min="22" max="22" width="22.5" style="26" customWidth="1"/>
    <col min="23" max="23" width="6.6640625" bestFit="1" customWidth="1"/>
    <col min="24" max="24" width="11.1640625" bestFit="1" customWidth="1"/>
    <col min="25" max="25" width="25" style="26" customWidth="1"/>
    <col min="26" max="26" width="6.6640625" bestFit="1" customWidth="1"/>
    <col min="27" max="27" width="11.1640625" bestFit="1" customWidth="1"/>
    <col min="28" max="28" width="24" style="26" customWidth="1"/>
    <col min="29" max="29" width="6.6640625" bestFit="1" customWidth="1"/>
    <col min="30" max="30" width="11.1640625" bestFit="1" customWidth="1"/>
    <col min="31" max="31" width="26.1640625" style="26" customWidth="1"/>
    <col min="32" max="32" width="6.6640625" bestFit="1" customWidth="1"/>
    <col min="33" max="33" width="11.1640625" bestFit="1" customWidth="1"/>
    <col min="34" max="34" width="25.83203125" customWidth="1"/>
    <col min="35" max="35" width="6.6640625" bestFit="1" customWidth="1"/>
    <col min="36" max="36" width="16.5" bestFit="1" customWidth="1"/>
    <col min="37" max="37" width="15.33203125" bestFit="1" customWidth="1"/>
    <col min="38" max="38" width="6.6640625" bestFit="1" customWidth="1"/>
    <col min="39" max="39" width="17.1640625" bestFit="1" customWidth="1"/>
    <col min="40" max="40" width="15.83203125" bestFit="1" customWidth="1"/>
    <col min="41" max="41" width="6.6640625" bestFit="1" customWidth="1"/>
    <col min="42" max="42" width="11.1640625" bestFit="1" customWidth="1"/>
    <col min="43" max="43" width="21.5" style="26" customWidth="1"/>
    <col min="44" max="44" width="6.6640625" bestFit="1" customWidth="1"/>
    <col min="45" max="45" width="11.1640625" bestFit="1" customWidth="1"/>
    <col min="46" max="46" width="20.1640625" style="26" customWidth="1"/>
    <col min="47" max="47" width="6.6640625" bestFit="1" customWidth="1"/>
    <col min="48" max="48" width="16.5" bestFit="1" customWidth="1"/>
    <col min="49" max="49" width="15.33203125" bestFit="1" customWidth="1"/>
    <col min="50" max="50" width="6.6640625" bestFit="1" customWidth="1"/>
    <col min="51" max="51" width="17.1640625" bestFit="1" customWidth="1"/>
    <col min="52" max="52" width="15.83203125" style="26" bestFit="1" customWidth="1"/>
    <col min="53" max="53" width="6.6640625" bestFit="1" customWidth="1"/>
    <col min="54" max="54" width="12.1640625" bestFit="1" customWidth="1"/>
    <col min="55" max="55" width="22.33203125" style="26" customWidth="1"/>
    <col min="56" max="56" width="6.6640625" bestFit="1" customWidth="1"/>
    <col min="57" max="57" width="12.1640625" bestFit="1" customWidth="1"/>
    <col min="58" max="58" width="20.1640625" style="26" customWidth="1"/>
    <col min="59" max="59" width="7.5" bestFit="1" customWidth="1"/>
    <col min="60" max="60" width="36.83203125" customWidth="1"/>
    <col min="61" max="61" width="16.83203125" bestFit="1" customWidth="1"/>
    <col min="62" max="62" width="6.6640625" bestFit="1" customWidth="1"/>
    <col min="63" max="63" width="12.1640625" bestFit="1" customWidth="1"/>
    <col min="64" max="64" width="22.5" style="26" customWidth="1"/>
    <col min="65" max="65" width="7.5" bestFit="1" customWidth="1"/>
    <col min="66" max="66" width="36.5" style="26" customWidth="1"/>
    <col min="67" max="67" width="16.83203125" bestFit="1" customWidth="1"/>
    <col min="69" max="69" width="27.5" bestFit="1" customWidth="1"/>
    <col min="70" max="70" width="25.5" bestFit="1" customWidth="1"/>
    <col min="72" max="72" width="27.5" bestFit="1" customWidth="1"/>
    <col min="73" max="73" width="25.6640625" bestFit="1" customWidth="1"/>
    <col min="75" max="75" width="21.1640625" bestFit="1" customWidth="1"/>
    <col min="76" max="76" width="19.5" bestFit="1" customWidth="1"/>
    <col min="78" max="78" width="23.5" bestFit="1" customWidth="1"/>
    <col min="79" max="79" width="21.5" bestFit="1" customWidth="1"/>
    <col min="81" max="81" width="21.1640625" bestFit="1" customWidth="1"/>
    <col min="82" max="82" width="19.5" bestFit="1" customWidth="1"/>
    <col min="84" max="84" width="23.5" bestFit="1" customWidth="1"/>
    <col min="85" max="85" width="21.5" bestFit="1" customWidth="1"/>
    <col min="87" max="87" width="27.6640625" customWidth="1"/>
    <col min="90" max="90" width="34.5" customWidth="1"/>
    <col min="91" max="91" width="16.6640625" bestFit="1" customWidth="1"/>
    <col min="92" max="92" width="6.6640625" bestFit="1" customWidth="1"/>
    <col min="93" max="93" width="16.5" bestFit="1" customWidth="1"/>
    <col min="94" max="94" width="15.33203125" bestFit="1" customWidth="1"/>
    <col min="95" max="95" width="6.6640625" bestFit="1" customWidth="1"/>
    <col min="96" max="96" width="17.1640625" bestFit="1" customWidth="1"/>
    <col min="97" max="97" width="15.83203125" bestFit="1" customWidth="1"/>
    <col min="98" max="98" width="6.6640625" bestFit="1" customWidth="1"/>
    <col min="99" max="99" width="12.1640625" bestFit="1" customWidth="1"/>
    <col min="100" max="100" width="39.5" style="26" customWidth="1"/>
    <col min="101" max="101" width="6.6640625" bestFit="1" customWidth="1"/>
    <col min="102" max="102" width="12.1640625" bestFit="1" customWidth="1"/>
    <col min="103" max="103" width="40.5" style="26" customWidth="1"/>
    <col min="104" max="104" width="6.6640625" bestFit="1" customWidth="1"/>
    <col min="105" max="105" width="11.1640625" bestFit="1" customWidth="1"/>
    <col min="106" max="106" width="10.5" bestFit="1" customWidth="1"/>
    <col min="107" max="107" width="7.5" bestFit="1" customWidth="1"/>
    <col min="108" max="108" width="33.5" customWidth="1"/>
    <col min="109" max="109" width="15.83203125" bestFit="1" customWidth="1"/>
    <col min="110" max="110" width="6.6640625" bestFit="1" customWidth="1"/>
    <col min="111" max="111" width="12.1640625" bestFit="1" customWidth="1"/>
    <col min="112" max="112" width="23.5" style="26" customWidth="1"/>
    <col min="113" max="113" width="6.6640625" bestFit="1" customWidth="1"/>
    <col min="114" max="114" width="11.1640625" bestFit="1" customWidth="1"/>
    <col min="115" max="115" width="10.5" bestFit="1" customWidth="1"/>
    <col min="116" max="116" width="7.5" bestFit="1" customWidth="1"/>
    <col min="117" max="117" width="36.33203125" customWidth="1"/>
    <col min="118" max="118" width="245.1640625" customWidth="1"/>
  </cols>
  <sheetData>
    <row r="1" spans="1:118">
      <c r="A1" s="122"/>
      <c r="B1" s="122"/>
      <c r="C1" s="122"/>
      <c r="D1" s="122"/>
      <c r="E1" s="122"/>
      <c r="F1" s="122"/>
      <c r="G1" s="122"/>
      <c r="H1" s="122"/>
      <c r="I1" s="122"/>
      <c r="J1" s="122"/>
      <c r="K1" s="122"/>
      <c r="L1" s="122"/>
      <c r="M1" s="122"/>
      <c r="N1" s="122"/>
      <c r="O1" s="122"/>
      <c r="P1" s="122"/>
      <c r="Q1" s="122"/>
      <c r="R1" s="123"/>
      <c r="S1" s="122"/>
      <c r="T1" s="122"/>
      <c r="U1" s="122"/>
      <c r="V1" s="124"/>
      <c r="W1" s="122"/>
      <c r="X1" s="122"/>
      <c r="Y1" s="124"/>
      <c r="Z1" s="122"/>
      <c r="AA1" s="122"/>
      <c r="AB1" s="124"/>
      <c r="AC1" s="122"/>
      <c r="AD1" s="122"/>
      <c r="AE1" s="124"/>
      <c r="AF1" s="122"/>
      <c r="AG1" s="122"/>
      <c r="AH1" s="122"/>
      <c r="AI1" s="122"/>
      <c r="AJ1" s="122"/>
      <c r="AK1" s="122"/>
      <c r="AL1" s="122"/>
      <c r="AM1" s="122"/>
      <c r="AN1" s="122"/>
      <c r="AO1" s="122"/>
      <c r="AP1" s="122"/>
      <c r="AQ1" s="124"/>
      <c r="AR1" s="122"/>
      <c r="AS1" s="122"/>
      <c r="AT1" s="124"/>
      <c r="AU1" s="122"/>
      <c r="AV1" s="122"/>
      <c r="AW1" s="122"/>
      <c r="AX1" s="122"/>
      <c r="AY1" s="122"/>
      <c r="AZ1" s="124"/>
      <c r="BA1" s="122"/>
      <c r="BB1" s="122"/>
      <c r="BC1" s="124"/>
      <c r="BD1" s="122"/>
      <c r="BE1" s="122"/>
      <c r="BF1" s="124"/>
      <c r="BG1" s="122"/>
      <c r="BH1" s="123"/>
      <c r="BI1" s="122"/>
      <c r="BJ1" s="122"/>
      <c r="BK1" s="122"/>
      <c r="BL1" s="124"/>
      <c r="BM1" s="122"/>
      <c r="BN1" s="125"/>
      <c r="BO1" s="122"/>
      <c r="BP1" s="122"/>
      <c r="BQ1" s="122"/>
      <c r="BR1" s="122"/>
      <c r="BS1" s="122"/>
      <c r="BT1" s="122"/>
      <c r="BU1" s="122"/>
      <c r="BV1" s="122"/>
      <c r="BW1" s="122"/>
      <c r="BX1" s="122"/>
      <c r="BY1" s="122"/>
      <c r="BZ1" s="122"/>
      <c r="CA1" s="122"/>
      <c r="CB1" s="122"/>
      <c r="CC1" s="122"/>
      <c r="CD1" s="122"/>
      <c r="CE1" s="122"/>
      <c r="CF1" s="122"/>
      <c r="CG1" s="122"/>
      <c r="CH1" s="122"/>
      <c r="CI1" s="122"/>
      <c r="CJ1" s="122"/>
      <c r="CK1" s="122"/>
      <c r="CL1" s="123"/>
      <c r="CM1" s="122"/>
      <c r="CN1" s="122"/>
      <c r="CO1" s="122"/>
      <c r="CP1" s="122"/>
      <c r="CQ1" s="122"/>
      <c r="CR1" s="122"/>
      <c r="CS1" s="122"/>
      <c r="CT1" s="122"/>
      <c r="CU1" s="122"/>
      <c r="CV1" s="124"/>
      <c r="CW1" s="122"/>
      <c r="CX1" s="122"/>
      <c r="CY1" s="124"/>
      <c r="CZ1" s="122"/>
      <c r="DA1" s="122"/>
      <c r="DB1" s="122"/>
      <c r="DC1" s="122"/>
      <c r="DD1" s="123"/>
      <c r="DE1" s="122"/>
      <c r="DF1" s="122"/>
      <c r="DG1" s="122"/>
      <c r="DH1" s="124"/>
      <c r="DI1" s="122"/>
      <c r="DJ1" s="122"/>
      <c r="DK1" s="122"/>
      <c r="DL1" s="122"/>
      <c r="DM1" s="123"/>
      <c r="DN1" s="123"/>
    </row>
    <row r="2" spans="1:118">
      <c r="A2" s="122"/>
      <c r="B2" s="122"/>
      <c r="C2" s="122"/>
      <c r="D2" s="122"/>
      <c r="E2" s="122"/>
      <c r="F2" s="122"/>
      <c r="G2" s="122"/>
      <c r="H2" s="122"/>
      <c r="I2" s="122"/>
      <c r="J2" s="122"/>
      <c r="K2" s="122"/>
      <c r="L2" s="122"/>
      <c r="M2" s="122"/>
      <c r="N2" s="122"/>
      <c r="O2" s="122"/>
      <c r="P2" s="122"/>
      <c r="Q2" s="122"/>
      <c r="R2" s="123"/>
      <c r="S2" s="122"/>
      <c r="T2" s="122"/>
      <c r="U2" s="122"/>
      <c r="V2" s="124"/>
      <c r="W2" s="122"/>
      <c r="X2" s="122"/>
      <c r="Y2" s="124"/>
      <c r="Z2" s="122"/>
      <c r="AA2" s="122"/>
      <c r="AB2" s="124"/>
      <c r="AC2" s="122"/>
      <c r="AD2" s="122"/>
      <c r="AE2" s="124"/>
      <c r="AF2" s="122"/>
      <c r="AG2" s="122"/>
      <c r="AH2" s="122"/>
      <c r="AI2" s="122"/>
      <c r="AJ2" s="122"/>
      <c r="AK2" s="122"/>
      <c r="AL2" s="122"/>
      <c r="AM2" s="122"/>
      <c r="AN2" s="122"/>
      <c r="AO2" s="122"/>
      <c r="AP2" s="122"/>
      <c r="AQ2" s="124"/>
      <c r="AR2" s="122"/>
      <c r="AS2" s="122"/>
      <c r="AT2" s="124"/>
      <c r="AU2" s="122"/>
      <c r="AV2" s="122"/>
      <c r="AW2" s="122"/>
      <c r="AX2" s="122"/>
      <c r="AY2" s="122"/>
      <c r="AZ2" s="124"/>
      <c r="BA2" s="122"/>
      <c r="BB2" s="122"/>
      <c r="BC2" s="124"/>
      <c r="BD2" s="122"/>
      <c r="BE2" s="122"/>
      <c r="BF2" s="124"/>
      <c r="BG2" s="122"/>
      <c r="BH2" s="123"/>
      <c r="BI2" s="122"/>
      <c r="BJ2" s="122"/>
      <c r="BK2" s="122"/>
      <c r="BL2" s="124"/>
      <c r="BM2" s="122"/>
      <c r="BN2" s="125"/>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3"/>
      <c r="CM2" s="122"/>
      <c r="CN2" s="122"/>
      <c r="CO2" s="122"/>
      <c r="CP2" s="122"/>
      <c r="CQ2" s="122"/>
      <c r="CR2" s="122"/>
      <c r="CS2" s="122"/>
      <c r="CT2" s="122"/>
      <c r="CU2" s="122"/>
      <c r="CV2" s="124"/>
      <c r="CW2" s="122"/>
      <c r="CX2" s="122"/>
      <c r="CY2" s="124"/>
      <c r="CZ2" s="122"/>
      <c r="DA2" s="122"/>
      <c r="DB2" s="122"/>
      <c r="DC2" s="122"/>
      <c r="DD2" s="123"/>
      <c r="DE2" s="122"/>
      <c r="DF2" s="122"/>
      <c r="DG2" s="122"/>
      <c r="DH2" s="124"/>
      <c r="DI2" s="122"/>
      <c r="DJ2" s="122"/>
      <c r="DK2" s="122"/>
      <c r="DL2" s="122"/>
      <c r="DM2" s="123"/>
      <c r="DN2" s="123"/>
    </row>
    <row r="3" spans="1:118">
      <c r="A3" s="122"/>
      <c r="B3" s="122"/>
      <c r="C3" s="122"/>
      <c r="D3" s="122"/>
      <c r="E3" s="122"/>
      <c r="F3" s="122"/>
      <c r="G3" s="122"/>
      <c r="H3" s="122"/>
      <c r="I3" s="122"/>
      <c r="J3" s="122"/>
      <c r="K3" s="122"/>
      <c r="L3" s="122"/>
      <c r="M3" s="122"/>
      <c r="N3" s="122"/>
      <c r="O3" s="122"/>
      <c r="P3" s="122"/>
      <c r="Q3" s="122"/>
      <c r="R3" s="123"/>
      <c r="S3" s="122"/>
      <c r="T3" s="122"/>
      <c r="U3" s="122"/>
      <c r="V3" s="124"/>
      <c r="W3" s="122"/>
      <c r="X3" s="122"/>
      <c r="Y3" s="124"/>
      <c r="Z3" s="122"/>
      <c r="AA3" s="122"/>
      <c r="AB3" s="124"/>
      <c r="AC3" s="122"/>
      <c r="AD3" s="122"/>
      <c r="AE3" s="124"/>
      <c r="AF3" s="122"/>
      <c r="AG3" s="122"/>
      <c r="AH3" s="122"/>
      <c r="AI3" s="122"/>
      <c r="AJ3" s="122"/>
      <c r="AK3" s="122"/>
      <c r="AL3" s="122"/>
      <c r="AM3" s="122"/>
      <c r="AN3" s="122"/>
      <c r="AO3" s="122"/>
      <c r="AP3" s="122"/>
      <c r="AQ3" s="124"/>
      <c r="AR3" s="122"/>
      <c r="AS3" s="122"/>
      <c r="AT3" s="124"/>
      <c r="AU3" s="122"/>
      <c r="AV3" s="122"/>
      <c r="AW3" s="122"/>
      <c r="AX3" s="122"/>
      <c r="AY3" s="122"/>
      <c r="AZ3" s="124"/>
      <c r="BA3" s="122"/>
      <c r="BB3" s="122"/>
      <c r="BC3" s="124"/>
      <c r="BD3" s="122"/>
      <c r="BE3" s="122"/>
      <c r="BF3" s="124"/>
      <c r="BG3" s="122"/>
      <c r="BH3" s="123"/>
      <c r="BI3" s="122"/>
      <c r="BJ3" s="122"/>
      <c r="BK3" s="122"/>
      <c r="BL3" s="124"/>
      <c r="BM3" s="122"/>
      <c r="BN3" s="125"/>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3"/>
      <c r="CM3" s="122"/>
      <c r="CN3" s="122"/>
      <c r="CO3" s="122"/>
      <c r="CP3" s="122"/>
      <c r="CQ3" s="122"/>
      <c r="CR3" s="122"/>
      <c r="CS3" s="122"/>
      <c r="CT3" s="122"/>
      <c r="CU3" s="122"/>
      <c r="CV3" s="124"/>
      <c r="CW3" s="122"/>
      <c r="CX3" s="122"/>
      <c r="CY3" s="124"/>
      <c r="CZ3" s="122"/>
      <c r="DA3" s="122"/>
      <c r="DB3" s="122"/>
      <c r="DC3" s="122"/>
      <c r="DD3" s="123"/>
      <c r="DE3" s="122"/>
      <c r="DF3" s="122"/>
      <c r="DG3" s="122"/>
      <c r="DH3" s="124"/>
      <c r="DI3" s="122"/>
      <c r="DJ3" s="122"/>
      <c r="DK3" s="122"/>
      <c r="DL3" s="122"/>
      <c r="DM3" s="123"/>
      <c r="DN3" s="123"/>
    </row>
    <row r="4" spans="1:118">
      <c r="A4" s="122"/>
      <c r="B4" s="122"/>
      <c r="C4" s="122"/>
      <c r="D4" s="122"/>
      <c r="E4" s="122"/>
      <c r="F4" s="122"/>
      <c r="G4" s="122"/>
      <c r="H4" s="122"/>
      <c r="I4" s="122"/>
      <c r="J4" s="122"/>
      <c r="K4" s="122"/>
      <c r="L4" s="122"/>
      <c r="M4" s="122"/>
      <c r="N4" s="122"/>
      <c r="O4" s="122"/>
      <c r="P4" s="122"/>
      <c r="Q4" s="122"/>
      <c r="R4" s="123"/>
      <c r="S4" s="122"/>
      <c r="T4" s="122"/>
      <c r="U4" s="122"/>
      <c r="V4" s="124"/>
      <c r="W4" s="122"/>
      <c r="X4" s="122"/>
      <c r="Y4" s="124"/>
      <c r="Z4" s="122"/>
      <c r="AA4" s="122"/>
      <c r="AB4" s="124"/>
      <c r="AC4" s="122"/>
      <c r="AD4" s="122"/>
      <c r="AE4" s="124"/>
      <c r="AF4" s="122"/>
      <c r="AG4" s="122"/>
      <c r="AH4" s="122"/>
      <c r="AI4" s="122"/>
      <c r="AJ4" s="122"/>
      <c r="AK4" s="122"/>
      <c r="AL4" s="122"/>
      <c r="AM4" s="122"/>
      <c r="AN4" s="122"/>
      <c r="AO4" s="122"/>
      <c r="AP4" s="122"/>
      <c r="AQ4" s="124"/>
      <c r="AR4" s="122"/>
      <c r="AS4" s="122"/>
      <c r="AT4" s="124"/>
      <c r="AU4" s="122"/>
      <c r="AV4" s="122"/>
      <c r="AW4" s="122"/>
      <c r="AX4" s="122"/>
      <c r="AY4" s="122"/>
      <c r="AZ4" s="124"/>
      <c r="BA4" s="122"/>
      <c r="BB4" s="122"/>
      <c r="BC4" s="124"/>
      <c r="BD4" s="122"/>
      <c r="BE4" s="122"/>
      <c r="BF4" s="124"/>
      <c r="BG4" s="122"/>
      <c r="BH4" s="123"/>
      <c r="BI4" s="122"/>
      <c r="BJ4" s="122"/>
      <c r="BK4" s="122"/>
      <c r="BL4" s="124"/>
      <c r="BM4" s="122"/>
      <c r="BN4" s="125"/>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3"/>
      <c r="CM4" s="122"/>
      <c r="CN4" s="122"/>
      <c r="CO4" s="122"/>
      <c r="CP4" s="122"/>
      <c r="CQ4" s="122"/>
      <c r="CR4" s="122"/>
      <c r="CS4" s="122"/>
      <c r="CT4" s="122"/>
      <c r="CU4" s="122"/>
      <c r="CV4" s="124"/>
      <c r="CW4" s="122"/>
      <c r="CX4" s="122"/>
      <c r="CY4" s="124"/>
      <c r="CZ4" s="122"/>
      <c r="DA4" s="122"/>
      <c r="DB4" s="122"/>
      <c r="DC4" s="122"/>
      <c r="DD4" s="123"/>
      <c r="DE4" s="122"/>
      <c r="DF4" s="122"/>
      <c r="DG4" s="122"/>
      <c r="DH4" s="124"/>
      <c r="DI4" s="122"/>
      <c r="DJ4" s="122"/>
      <c r="DK4" s="122"/>
      <c r="DL4" s="122"/>
      <c r="DM4" s="123"/>
      <c r="DN4" s="123"/>
    </row>
    <row r="5" spans="1:118">
      <c r="A5" s="122"/>
      <c r="B5" s="122"/>
      <c r="C5" s="122"/>
      <c r="D5" s="122"/>
      <c r="E5" s="122"/>
      <c r="F5" s="122"/>
      <c r="G5" s="122"/>
      <c r="H5" s="122"/>
      <c r="I5" s="122"/>
      <c r="J5" s="122"/>
      <c r="K5" s="122"/>
      <c r="L5" s="122"/>
      <c r="M5" s="122"/>
      <c r="N5" s="122"/>
      <c r="O5" s="122"/>
      <c r="P5" s="122"/>
      <c r="Q5" s="122"/>
      <c r="R5" s="123"/>
      <c r="S5" s="122"/>
      <c r="T5" s="122"/>
      <c r="U5" s="122"/>
      <c r="V5" s="124"/>
      <c r="W5" s="122"/>
      <c r="X5" s="122"/>
      <c r="Y5" s="124"/>
      <c r="Z5" s="122"/>
      <c r="AA5" s="122"/>
      <c r="AB5" s="124"/>
      <c r="AC5" s="122"/>
      <c r="AD5" s="122"/>
      <c r="AE5" s="124"/>
      <c r="AF5" s="122"/>
      <c r="AG5" s="122"/>
      <c r="AH5" s="122"/>
      <c r="AI5" s="122"/>
      <c r="AJ5" s="122"/>
      <c r="AK5" s="122"/>
      <c r="AL5" s="122"/>
      <c r="AM5" s="122"/>
      <c r="AN5" s="122"/>
      <c r="AO5" s="122"/>
      <c r="AP5" s="122"/>
      <c r="AQ5" s="124"/>
      <c r="AR5" s="122"/>
      <c r="AS5" s="122"/>
      <c r="AT5" s="124"/>
      <c r="AU5" s="122"/>
      <c r="AV5" s="122"/>
      <c r="AW5" s="122"/>
      <c r="AX5" s="122"/>
      <c r="AY5" s="122"/>
      <c r="AZ5" s="124"/>
      <c r="BA5" s="122"/>
      <c r="BB5" s="122"/>
      <c r="BC5" s="124"/>
      <c r="BD5" s="122"/>
      <c r="BE5" s="122"/>
      <c r="BF5" s="124"/>
      <c r="BG5" s="122"/>
      <c r="BH5" s="123"/>
      <c r="BI5" s="122"/>
      <c r="BJ5" s="122"/>
      <c r="BK5" s="122"/>
      <c r="BL5" s="124"/>
      <c r="BM5" s="122"/>
      <c r="BN5" s="125"/>
      <c r="BO5" s="122"/>
      <c r="BP5" s="122"/>
      <c r="BQ5" s="122"/>
      <c r="BR5" s="122"/>
      <c r="BS5" s="122"/>
      <c r="BT5" s="122"/>
      <c r="BU5" s="122"/>
      <c r="BV5" s="122"/>
      <c r="BW5" s="122"/>
      <c r="BX5" s="122"/>
      <c r="BY5" s="122"/>
      <c r="BZ5" s="122"/>
      <c r="CA5" s="122"/>
      <c r="CB5" s="122"/>
      <c r="CC5" s="122"/>
      <c r="CD5" s="122"/>
      <c r="CE5" s="122"/>
      <c r="CF5" s="122"/>
      <c r="CG5" s="122"/>
      <c r="CH5" s="122"/>
      <c r="CI5" s="122"/>
      <c r="CJ5" s="122"/>
      <c r="CK5" s="122"/>
      <c r="CL5" s="123"/>
      <c r="CM5" s="122"/>
      <c r="CN5" s="122"/>
      <c r="CO5" s="122"/>
      <c r="CP5" s="122"/>
      <c r="CQ5" s="122"/>
      <c r="CR5" s="122"/>
      <c r="CS5" s="122"/>
      <c r="CT5" s="122"/>
      <c r="CU5" s="122"/>
      <c r="CV5" s="124"/>
      <c r="CW5" s="122"/>
      <c r="CX5" s="122"/>
      <c r="CY5" s="124"/>
      <c r="CZ5" s="122"/>
      <c r="DA5" s="122"/>
      <c r="DB5" s="122"/>
      <c r="DC5" s="122"/>
      <c r="DD5" s="123"/>
      <c r="DE5" s="122"/>
      <c r="DF5" s="122"/>
      <c r="DG5" s="122"/>
      <c r="DH5" s="124"/>
      <c r="DI5" s="122"/>
      <c r="DJ5" s="122"/>
      <c r="DK5" s="122"/>
      <c r="DL5" s="122"/>
      <c r="DM5" s="123"/>
      <c r="DN5" s="123"/>
    </row>
    <row r="6" spans="1:118">
      <c r="A6" s="126" t="s">
        <v>109</v>
      </c>
      <c r="B6" s="126"/>
      <c r="C6" s="127" t="s">
        <v>233</v>
      </c>
      <c r="D6" s="63" t="s">
        <v>234</v>
      </c>
      <c r="E6" s="128"/>
      <c r="F6" s="128" t="s">
        <v>235</v>
      </c>
      <c r="G6" s="128"/>
      <c r="H6" s="127" t="s">
        <v>236</v>
      </c>
      <c r="I6" s="128"/>
      <c r="J6" s="127" t="s">
        <v>237</v>
      </c>
      <c r="K6" s="128"/>
      <c r="L6" s="127" t="s">
        <v>238</v>
      </c>
      <c r="M6" s="128"/>
      <c r="N6" s="127" t="s">
        <v>239</v>
      </c>
      <c r="O6" s="128"/>
      <c r="P6" s="127" t="s">
        <v>240</v>
      </c>
      <c r="Q6" s="63" t="s">
        <v>241</v>
      </c>
      <c r="R6" s="129" t="s">
        <v>242</v>
      </c>
      <c r="S6" s="128" t="s">
        <v>243</v>
      </c>
      <c r="T6" s="63" t="s">
        <v>234</v>
      </c>
      <c r="U6" s="128"/>
      <c r="V6" s="130" t="s">
        <v>244</v>
      </c>
      <c r="W6" s="63" t="s">
        <v>234</v>
      </c>
      <c r="X6" s="128"/>
      <c r="Y6" s="130" t="s">
        <v>245</v>
      </c>
      <c r="Z6" s="63" t="s">
        <v>234</v>
      </c>
      <c r="AA6" s="128"/>
      <c r="AB6" s="130" t="s">
        <v>246</v>
      </c>
      <c r="AC6" s="63" t="s">
        <v>234</v>
      </c>
      <c r="AD6" s="128"/>
      <c r="AE6" s="130" t="s">
        <v>247</v>
      </c>
      <c r="AF6" s="63" t="s">
        <v>234</v>
      </c>
      <c r="AG6" s="128"/>
      <c r="AH6" s="128" t="s">
        <v>248</v>
      </c>
      <c r="AI6" s="63" t="s">
        <v>234</v>
      </c>
      <c r="AJ6" s="128"/>
      <c r="AK6" s="128" t="s">
        <v>249</v>
      </c>
      <c r="AL6" s="63" t="s">
        <v>234</v>
      </c>
      <c r="AM6" s="128"/>
      <c r="AN6" s="128" t="s">
        <v>250</v>
      </c>
      <c r="AO6" s="63" t="s">
        <v>234</v>
      </c>
      <c r="AP6" s="128"/>
      <c r="AQ6" s="130" t="s">
        <v>251</v>
      </c>
      <c r="AR6" s="63" t="s">
        <v>234</v>
      </c>
      <c r="AS6" s="128"/>
      <c r="AT6" s="130" t="s">
        <v>252</v>
      </c>
      <c r="AU6" s="63" t="s">
        <v>234</v>
      </c>
      <c r="AV6" s="128"/>
      <c r="AW6" s="128" t="s">
        <v>253</v>
      </c>
      <c r="AX6" s="63" t="s">
        <v>234</v>
      </c>
      <c r="AY6" s="128"/>
      <c r="AZ6" s="130" t="s">
        <v>254</v>
      </c>
      <c r="BA6" s="63" t="s">
        <v>234</v>
      </c>
      <c r="BB6" s="128"/>
      <c r="BC6" s="130" t="s">
        <v>255</v>
      </c>
      <c r="BD6" s="63" t="s">
        <v>234</v>
      </c>
      <c r="BE6" s="128"/>
      <c r="BF6" s="130" t="s">
        <v>256</v>
      </c>
      <c r="BG6" s="63" t="s">
        <v>241</v>
      </c>
      <c r="BH6" s="129" t="s">
        <v>242</v>
      </c>
      <c r="BI6" s="128" t="s">
        <v>257</v>
      </c>
      <c r="BJ6" s="63" t="s">
        <v>234</v>
      </c>
      <c r="BK6" s="128"/>
      <c r="BL6" s="130" t="s">
        <v>258</v>
      </c>
      <c r="BM6" s="63" t="s">
        <v>241</v>
      </c>
      <c r="BN6" s="131" t="s">
        <v>242</v>
      </c>
      <c r="BO6" s="128" t="s">
        <v>259</v>
      </c>
      <c r="BP6" s="63" t="s">
        <v>234</v>
      </c>
      <c r="BQ6" s="128"/>
      <c r="BR6" s="128" t="s">
        <v>260</v>
      </c>
      <c r="BS6" s="63" t="s">
        <v>234</v>
      </c>
      <c r="BT6" s="128"/>
      <c r="BU6" s="128" t="s">
        <v>261</v>
      </c>
      <c r="BV6" s="63" t="s">
        <v>234</v>
      </c>
      <c r="BW6" s="128"/>
      <c r="BX6" s="128" t="s">
        <v>262</v>
      </c>
      <c r="BY6" s="63" t="s">
        <v>234</v>
      </c>
      <c r="BZ6" s="128"/>
      <c r="CA6" s="128" t="s">
        <v>263</v>
      </c>
      <c r="CB6" s="63" t="s">
        <v>234</v>
      </c>
      <c r="CC6" s="128"/>
      <c r="CD6" s="128" t="s">
        <v>264</v>
      </c>
      <c r="CE6" s="63" t="s">
        <v>234</v>
      </c>
      <c r="CF6" s="128"/>
      <c r="CG6" s="128" t="s">
        <v>265</v>
      </c>
      <c r="CH6" s="63" t="s">
        <v>234</v>
      </c>
      <c r="CI6" s="128"/>
      <c r="CJ6" s="128" t="s">
        <v>266</v>
      </c>
      <c r="CK6" s="63" t="s">
        <v>241</v>
      </c>
      <c r="CL6" s="129" t="s">
        <v>242</v>
      </c>
      <c r="CM6" s="128" t="s">
        <v>267</v>
      </c>
      <c r="CN6" s="63" t="s">
        <v>234</v>
      </c>
      <c r="CO6" s="128"/>
      <c r="CP6" s="128" t="s">
        <v>268</v>
      </c>
      <c r="CQ6" s="63" t="s">
        <v>234</v>
      </c>
      <c r="CR6" s="128"/>
      <c r="CS6" s="128" t="s">
        <v>269</v>
      </c>
      <c r="CT6" s="63" t="s">
        <v>234</v>
      </c>
      <c r="CU6" s="128"/>
      <c r="CV6" s="130" t="s">
        <v>270</v>
      </c>
      <c r="CW6" s="63" t="s">
        <v>234</v>
      </c>
      <c r="CX6" s="128"/>
      <c r="CY6" s="130" t="s">
        <v>271</v>
      </c>
      <c r="CZ6" s="63" t="s">
        <v>234</v>
      </c>
      <c r="DA6" s="128"/>
      <c r="DB6" s="128" t="s">
        <v>272</v>
      </c>
      <c r="DC6" s="63" t="s">
        <v>241</v>
      </c>
      <c r="DD6" s="129" t="s">
        <v>242</v>
      </c>
      <c r="DE6" s="128" t="s">
        <v>273</v>
      </c>
      <c r="DF6" s="63" t="s">
        <v>234</v>
      </c>
      <c r="DG6" s="128"/>
      <c r="DH6" s="130" t="s">
        <v>274</v>
      </c>
      <c r="DI6" s="63" t="s">
        <v>234</v>
      </c>
      <c r="DJ6" s="128"/>
      <c r="DK6" s="128" t="s">
        <v>275</v>
      </c>
      <c r="DL6" s="63" t="s">
        <v>241</v>
      </c>
      <c r="DM6" s="129" t="s">
        <v>242</v>
      </c>
      <c r="DN6" s="129" t="s">
        <v>276</v>
      </c>
    </row>
    <row r="7" spans="1:118" ht="108" customHeight="1">
      <c r="A7" s="122" t="e">
        <f>Summary!A7</f>
        <v>#REF!</v>
      </c>
      <c r="B7" s="64" t="s">
        <v>233</v>
      </c>
      <c r="C7" s="65" t="e">
        <f>Summary!B7</f>
        <v>#REF!</v>
      </c>
      <c r="D7" s="122"/>
      <c r="E7" s="64" t="s">
        <v>235</v>
      </c>
      <c r="F7" s="132" t="e">
        <f>Summary!C7</f>
        <v>#REF!</v>
      </c>
      <c r="G7" s="64" t="s">
        <v>236</v>
      </c>
      <c r="H7" s="132" t="e">
        <f>Summary!D7</f>
        <v>#REF!</v>
      </c>
      <c r="I7" s="64" t="s">
        <v>237</v>
      </c>
      <c r="J7" s="66">
        <f>Summary!E7</f>
        <v>7</v>
      </c>
      <c r="K7" s="64" t="s">
        <v>238</v>
      </c>
      <c r="L7" s="132" t="e">
        <f>Summary!F7</f>
        <v>#REF!</v>
      </c>
      <c r="M7" s="64" t="s">
        <v>239</v>
      </c>
      <c r="N7" s="132" t="e">
        <f>Summary!G7</f>
        <v>#REF!</v>
      </c>
      <c r="O7" s="64" t="s">
        <v>240</v>
      </c>
      <c r="P7" s="132" t="e">
        <f>Summary!H7</f>
        <v>#REF!</v>
      </c>
      <c r="Q7" s="65" t="s">
        <v>277</v>
      </c>
      <c r="R7" s="70" t="e">
        <f>_xlfn.TEXTJOIN(" ", FALSE, B7:Q7)</f>
        <v>#REF!</v>
      </c>
      <c r="S7" s="64" t="s">
        <v>243</v>
      </c>
      <c r="T7" s="122"/>
      <c r="U7" s="71" t="s">
        <v>244</v>
      </c>
      <c r="V7" s="72" t="e">
        <f xml:space="preserve"> _xlfn.TEXTJOIN(" ", FALSE,#REF!)</f>
        <v>#REF!</v>
      </c>
      <c r="W7" s="122"/>
      <c r="X7" s="71" t="s">
        <v>245</v>
      </c>
      <c r="Y7" s="72" t="e">
        <f xml:space="preserve"> _xlfn.TEXTJOIN(" ", FALSE,#REF!)</f>
        <v>#REF!</v>
      </c>
      <c r="Z7" s="122"/>
      <c r="AA7" s="71" t="s">
        <v>246</v>
      </c>
      <c r="AB7" s="72" t="e">
        <f xml:space="preserve"> _xlfn.TEXTJOIN(" ", FALSE,#REF!)</f>
        <v>#REF!</v>
      </c>
      <c r="AC7" s="122"/>
      <c r="AD7" s="71" t="s">
        <v>247</v>
      </c>
      <c r="AE7" s="72" t="e">
        <f xml:space="preserve"> _xlfn.TEXTJOIN(" ", FALSE,#REF!)</f>
        <v>#REF!</v>
      </c>
      <c r="AF7" s="122"/>
      <c r="AG7" s="71" t="s">
        <v>248</v>
      </c>
      <c r="AH7" s="73" t="e">
        <f xml:space="preserve"> _xlfn.TEXTJOIN(" ", FALSE,#REF!)</f>
        <v>#REF!</v>
      </c>
      <c r="AI7" s="122"/>
      <c r="AJ7" s="71" t="s">
        <v>249</v>
      </c>
      <c r="AK7" s="73" t="e">
        <f xml:space="preserve"> _xlfn.TEXTJOIN(" ", FALSE,#REF!)</f>
        <v>#REF!</v>
      </c>
      <c r="AL7" s="122"/>
      <c r="AM7" s="71" t="s">
        <v>250</v>
      </c>
      <c r="AN7" s="73" t="e">
        <f xml:space="preserve"> _xlfn.TEXTJOIN(" ", FALSE,#REF!)</f>
        <v>#REF!</v>
      </c>
      <c r="AO7" s="122"/>
      <c r="AP7" s="71" t="s">
        <v>251</v>
      </c>
      <c r="AQ7" s="72" t="e">
        <f xml:space="preserve"> _xlfn.TEXTJOIN(" ", FALSE,#REF!)</f>
        <v>#REF!</v>
      </c>
      <c r="AR7" s="122"/>
      <c r="AS7" s="71" t="s">
        <v>252</v>
      </c>
      <c r="AT7" s="72" t="e">
        <f xml:space="preserve"> _xlfn.TEXTJOIN(" ", FALSE,#REF!)</f>
        <v>#REF!</v>
      </c>
      <c r="AU7" s="122"/>
      <c r="AV7" s="71" t="s">
        <v>253</v>
      </c>
      <c r="AW7" s="73" t="e">
        <f xml:space="preserve"> _xlfn.TEXTJOIN(" ", FALSE,#REF!)</f>
        <v>#REF!</v>
      </c>
      <c r="AX7" s="122"/>
      <c r="AY7" s="71" t="s">
        <v>254</v>
      </c>
      <c r="AZ7" s="72" t="e">
        <f xml:space="preserve"> _xlfn.TEXTJOIN(" ", FALSE,#REF!)</f>
        <v>#REF!</v>
      </c>
      <c r="BA7" s="122"/>
      <c r="BB7" s="71" t="s">
        <v>255</v>
      </c>
      <c r="BC7" s="72" t="e">
        <f xml:space="preserve"> _xlfn.TEXTJOIN(" ", FALSE,#REF!)</f>
        <v>#REF!</v>
      </c>
      <c r="BD7" s="122"/>
      <c r="BE7" s="71" t="s">
        <v>256</v>
      </c>
      <c r="BF7" s="72" t="e">
        <f xml:space="preserve"> _xlfn.TEXTJOIN(" ", FALSE,#REF!)</f>
        <v>#REF!</v>
      </c>
      <c r="BG7" s="65" t="s">
        <v>277</v>
      </c>
      <c r="BH7" s="70" t="e">
        <f>_xlfn.TEXTJOIN(" ", FALSE, S7:BG7)</f>
        <v>#REF!</v>
      </c>
      <c r="BI7" s="64" t="s">
        <v>257</v>
      </c>
      <c r="BJ7" s="122"/>
      <c r="BK7" s="71" t="s">
        <v>258</v>
      </c>
      <c r="BL7" s="74" t="str">
        <f>_xlfn.TEXTJOIN(" ", FALSE, 'Task 2a - Mitigating the Proble'!U7:AC7)</f>
        <v xml:space="preserve">1 1 0 0 1 1 1 0 </v>
      </c>
      <c r="BM7" s="65" t="s">
        <v>277</v>
      </c>
      <c r="BN7" s="70" t="str">
        <f>_xlfn.TEXTJOIN(" ", FALSE, BI7:BM7)</f>
        <v>[Details for Task 2a:]  /Question 12: 1 1 0 0 1 1 1 0  .</v>
      </c>
      <c r="BO7" s="64" t="s">
        <v>259</v>
      </c>
      <c r="BP7" s="122"/>
      <c r="BQ7" s="71" t="s">
        <v>260</v>
      </c>
      <c r="BR7" s="73" t="e">
        <f xml:space="preserve"> _xlfn.TEXTJOIN(" ", FALSE,#REF!)</f>
        <v>#REF!</v>
      </c>
      <c r="BS7" s="122"/>
      <c r="BT7" s="71" t="s">
        <v>261</v>
      </c>
      <c r="BU7" s="73" t="e">
        <f xml:space="preserve"> _xlfn.TEXTJOIN(" ", FALSE,#REF!)</f>
        <v>#REF!</v>
      </c>
      <c r="BV7" s="122"/>
      <c r="BW7" s="71" t="s">
        <v>262</v>
      </c>
      <c r="BX7" s="73" t="e">
        <f xml:space="preserve"> _xlfn.TEXTJOIN(" ", FALSE,#REF!)</f>
        <v>#REF!</v>
      </c>
      <c r="BY7" s="122"/>
      <c r="BZ7" s="71" t="s">
        <v>263</v>
      </c>
      <c r="CA7" s="73" t="e">
        <f xml:space="preserve"> _xlfn.TEXTJOIN(" ", FALSE,#REF!)</f>
        <v>#REF!</v>
      </c>
      <c r="CB7" s="122"/>
      <c r="CC7" s="71" t="s">
        <v>264</v>
      </c>
      <c r="CD7" s="73" t="e">
        <f xml:space="preserve"> _xlfn.TEXTJOIN(" ", FALSE,#REF!)</f>
        <v>#REF!</v>
      </c>
      <c r="CE7" s="122"/>
      <c r="CF7" s="71" t="s">
        <v>265</v>
      </c>
      <c r="CG7" s="73" t="e">
        <f xml:space="preserve"> _xlfn.TEXTJOIN(" ", FALSE,#REF!)</f>
        <v>#REF!</v>
      </c>
      <c r="CH7" s="122"/>
      <c r="CI7" s="74" t="s">
        <v>278</v>
      </c>
      <c r="CJ7" s="73" t="e">
        <f xml:space="preserve"> _xlfn.TEXTJOIN(" ", FALSE,#REF!)</f>
        <v>#REF!</v>
      </c>
      <c r="CK7" s="65" t="s">
        <v>277</v>
      </c>
      <c r="CL7" s="70" t="e">
        <f>_xlfn.TEXTJOIN(" ", FALSE, BO7:CK7)</f>
        <v>#REF!</v>
      </c>
      <c r="CM7" s="64" t="s">
        <v>267</v>
      </c>
      <c r="CN7" s="122"/>
      <c r="CO7" s="71" t="s">
        <v>268</v>
      </c>
      <c r="CP7" s="73" t="e">
        <f xml:space="preserve"> _xlfn.TEXTJOIN(" ", FALSE,#REF!)</f>
        <v>#REF!</v>
      </c>
      <c r="CQ7" s="122"/>
      <c r="CR7" s="71" t="s">
        <v>269</v>
      </c>
      <c r="CS7" s="73" t="e">
        <f xml:space="preserve"> _xlfn.TEXTJOIN(" ", FALSE,#REF!)</f>
        <v>#REF!</v>
      </c>
      <c r="CT7" s="122"/>
      <c r="CU7" s="71" t="s">
        <v>270</v>
      </c>
      <c r="CV7" s="72" t="e">
        <f xml:space="preserve"> _xlfn.TEXTJOIN(" ", FALSE,#REF!)</f>
        <v>#REF!</v>
      </c>
      <c r="CW7" s="122"/>
      <c r="CX7" s="71" t="s">
        <v>271</v>
      </c>
      <c r="CY7" s="72" t="e">
        <f xml:space="preserve"> _xlfn.TEXTJOIN(" ", FALSE,#REF!)</f>
        <v>#REF!</v>
      </c>
      <c r="CZ7" s="122"/>
      <c r="DA7" s="71" t="s">
        <v>272</v>
      </c>
      <c r="DB7" s="73" t="e">
        <f xml:space="preserve"> _xlfn.TEXTJOIN(" ", FALSE,#REF!)</f>
        <v>#REF!</v>
      </c>
      <c r="DC7" s="65" t="s">
        <v>277</v>
      </c>
      <c r="DD7" s="70" t="e">
        <f>_xlfn.TEXTJOIN(" ", FALSE, CM7:DC7)</f>
        <v>#REF!</v>
      </c>
      <c r="DE7" s="64" t="s">
        <v>273</v>
      </c>
      <c r="DF7" s="122"/>
      <c r="DG7" s="71" t="s">
        <v>274</v>
      </c>
      <c r="DH7" s="72" t="e">
        <f xml:space="preserve"> _xlfn.TEXTJOIN(" ", FALSE,#REF!)</f>
        <v>#REF!</v>
      </c>
      <c r="DI7" s="122"/>
      <c r="DJ7" s="71" t="s">
        <v>275</v>
      </c>
      <c r="DK7" s="73" t="e">
        <f xml:space="preserve"> _xlfn.TEXTJOIN(" ", FALSE,#REF!)</f>
        <v>#REF!</v>
      </c>
      <c r="DL7" s="65" t="s">
        <v>277</v>
      </c>
      <c r="DM7" s="70" t="e">
        <f>_xlfn.TEXTJOIN(" ", FALSE, DE7:DL7)</f>
        <v>#REF!</v>
      </c>
      <c r="DN7" s="70" t="e">
        <f>_xlfn.TEXTJOIN(CHAR(10), FALSE, R7,BH7,BN7,CL7,DD7,DM7)</f>
        <v>#REF!</v>
      </c>
    </row>
    <row r="8" spans="1:118" ht="108" customHeight="1">
      <c r="A8" s="122" t="e">
        <f>Summary!A8</f>
        <v>#REF!</v>
      </c>
      <c r="B8" s="64" t="s">
        <v>233</v>
      </c>
      <c r="C8" s="65" t="e">
        <f>Summary!B8</f>
        <v>#REF!</v>
      </c>
      <c r="D8" s="122"/>
      <c r="E8" s="64" t="s">
        <v>235</v>
      </c>
      <c r="F8" s="132">
        <f>Summary!C8</f>
        <v>50</v>
      </c>
      <c r="G8" s="64" t="s">
        <v>236</v>
      </c>
      <c r="H8" s="132" t="e">
        <f>Summary!D8</f>
        <v>#REF!</v>
      </c>
      <c r="I8" s="64" t="s">
        <v>237</v>
      </c>
      <c r="J8" s="66">
        <f>Summary!E8</f>
        <v>5</v>
      </c>
      <c r="K8" s="64" t="s">
        <v>238</v>
      </c>
      <c r="L8" s="132" t="e">
        <f>Summary!F8</f>
        <v>#REF!</v>
      </c>
      <c r="M8" s="64" t="s">
        <v>239</v>
      </c>
      <c r="N8" s="132" t="e">
        <f>Summary!G8</f>
        <v>#REF!</v>
      </c>
      <c r="O8" s="64" t="s">
        <v>240</v>
      </c>
      <c r="P8" s="132" t="e">
        <f>Summary!H8</f>
        <v>#REF!</v>
      </c>
      <c r="Q8" s="65" t="s">
        <v>277</v>
      </c>
      <c r="R8" s="70" t="e">
        <f t="shared" ref="R8:R71" si="0">_xlfn.TEXTJOIN(" ", FALSE, B8:Q8)</f>
        <v>#REF!</v>
      </c>
      <c r="S8" s="64" t="s">
        <v>243</v>
      </c>
      <c r="T8" s="122"/>
      <c r="U8" s="71" t="s">
        <v>244</v>
      </c>
      <c r="V8" s="72" t="e">
        <f xml:space="preserve"> _xlfn.TEXTJOIN(" ", FALSE,#REF!)</f>
        <v>#REF!</v>
      </c>
      <c r="W8" s="122"/>
      <c r="X8" s="71" t="s">
        <v>245</v>
      </c>
      <c r="Y8" s="72" t="e">
        <f xml:space="preserve"> _xlfn.TEXTJOIN(" ", FALSE,#REF!)</f>
        <v>#REF!</v>
      </c>
      <c r="Z8" s="122"/>
      <c r="AA8" s="71" t="s">
        <v>246</v>
      </c>
      <c r="AB8" s="72" t="e">
        <f xml:space="preserve"> _xlfn.TEXTJOIN(" ", FALSE,#REF!)</f>
        <v>#REF!</v>
      </c>
      <c r="AC8" s="122"/>
      <c r="AD8" s="71" t="s">
        <v>247</v>
      </c>
      <c r="AE8" s="72" t="e">
        <f xml:space="preserve"> _xlfn.TEXTJOIN(" ", FALSE,#REF!)</f>
        <v>#REF!</v>
      </c>
      <c r="AF8" s="122"/>
      <c r="AG8" s="71" t="s">
        <v>248</v>
      </c>
      <c r="AH8" s="73" t="e">
        <f xml:space="preserve"> _xlfn.TEXTJOIN(" ", FALSE,#REF!)</f>
        <v>#REF!</v>
      </c>
      <c r="AI8" s="122"/>
      <c r="AJ8" s="71" t="s">
        <v>249</v>
      </c>
      <c r="AK8" s="73" t="e">
        <f xml:space="preserve"> _xlfn.TEXTJOIN(" ", FALSE,#REF!)</f>
        <v>#REF!</v>
      </c>
      <c r="AL8" s="122"/>
      <c r="AM8" s="71" t="s">
        <v>250</v>
      </c>
      <c r="AN8" s="73" t="e">
        <f xml:space="preserve"> _xlfn.TEXTJOIN(" ", FALSE,#REF!)</f>
        <v>#REF!</v>
      </c>
      <c r="AO8" s="122"/>
      <c r="AP8" s="71" t="s">
        <v>251</v>
      </c>
      <c r="AQ8" s="72" t="e">
        <f xml:space="preserve"> _xlfn.TEXTJOIN(" ", FALSE,#REF!)</f>
        <v>#REF!</v>
      </c>
      <c r="AR8" s="122"/>
      <c r="AS8" s="71" t="s">
        <v>252</v>
      </c>
      <c r="AT8" s="72" t="e">
        <f xml:space="preserve"> _xlfn.TEXTJOIN(" ", FALSE,#REF!)</f>
        <v>#REF!</v>
      </c>
      <c r="AU8" s="122"/>
      <c r="AV8" s="71" t="s">
        <v>253</v>
      </c>
      <c r="AW8" s="73" t="e">
        <f xml:space="preserve"> _xlfn.TEXTJOIN(" ", FALSE,#REF!)</f>
        <v>#REF!</v>
      </c>
      <c r="AX8" s="122"/>
      <c r="AY8" s="71" t="s">
        <v>254</v>
      </c>
      <c r="AZ8" s="72" t="e">
        <f xml:space="preserve"> _xlfn.TEXTJOIN(" ", FALSE,#REF!)</f>
        <v>#REF!</v>
      </c>
      <c r="BA8" s="122"/>
      <c r="BB8" s="71" t="s">
        <v>255</v>
      </c>
      <c r="BC8" s="72" t="e">
        <f xml:space="preserve"> _xlfn.TEXTJOIN(" ", FALSE,#REF!)</f>
        <v>#REF!</v>
      </c>
      <c r="BD8" s="122"/>
      <c r="BE8" s="71" t="s">
        <v>256</v>
      </c>
      <c r="BF8" s="72" t="e">
        <f xml:space="preserve"> _xlfn.TEXTJOIN(" ", FALSE,#REF!)</f>
        <v>#REF!</v>
      </c>
      <c r="BG8" s="65" t="s">
        <v>277</v>
      </c>
      <c r="BH8" s="70" t="e">
        <f t="shared" ref="BH8:BH71" si="1">_xlfn.TEXTJOIN(" ", FALSE, S8:BG8)</f>
        <v>#REF!</v>
      </c>
      <c r="BI8" s="64" t="s">
        <v>257</v>
      </c>
      <c r="BJ8" s="122"/>
      <c r="BK8" s="71" t="s">
        <v>258</v>
      </c>
      <c r="BL8" s="74" t="str">
        <f>_xlfn.TEXTJOIN(" ", FALSE, 'Task 2a - Mitigating the Proble'!U8:AC8)</f>
        <v xml:space="preserve">0 0 1 0 0 1 0 0 </v>
      </c>
      <c r="BM8" s="65" t="s">
        <v>277</v>
      </c>
      <c r="BN8" s="70" t="str">
        <f t="shared" ref="BN8:BN71" si="2">_xlfn.TEXTJOIN(" ", FALSE, BI8:BM8)</f>
        <v>[Details for Task 2a:]  /Question 12: 0 0 1 0 0 1 0 0  .</v>
      </c>
      <c r="BO8" s="64" t="s">
        <v>259</v>
      </c>
      <c r="BP8" s="122"/>
      <c r="BQ8" s="71" t="s">
        <v>260</v>
      </c>
      <c r="BR8" s="73" t="e">
        <f xml:space="preserve"> _xlfn.TEXTJOIN(" ", FALSE,#REF!)</f>
        <v>#REF!</v>
      </c>
      <c r="BS8" s="122"/>
      <c r="BT8" s="71" t="s">
        <v>261</v>
      </c>
      <c r="BU8" s="73" t="e">
        <f xml:space="preserve"> _xlfn.TEXTJOIN(" ", FALSE,#REF!)</f>
        <v>#REF!</v>
      </c>
      <c r="BV8" s="122"/>
      <c r="BW8" s="71" t="s">
        <v>262</v>
      </c>
      <c r="BX8" s="73" t="e">
        <f xml:space="preserve"> _xlfn.TEXTJOIN(" ", FALSE,#REF!)</f>
        <v>#REF!</v>
      </c>
      <c r="BY8" s="122"/>
      <c r="BZ8" s="71" t="s">
        <v>263</v>
      </c>
      <c r="CA8" s="73" t="e">
        <f xml:space="preserve"> _xlfn.TEXTJOIN(" ", FALSE,#REF!)</f>
        <v>#REF!</v>
      </c>
      <c r="CB8" s="122"/>
      <c r="CC8" s="71" t="s">
        <v>264</v>
      </c>
      <c r="CD8" s="73" t="e">
        <f xml:space="preserve"> _xlfn.TEXTJOIN(" ", FALSE,#REF!)</f>
        <v>#REF!</v>
      </c>
      <c r="CE8" s="122"/>
      <c r="CF8" s="71" t="s">
        <v>265</v>
      </c>
      <c r="CG8" s="73" t="e">
        <f xml:space="preserve"> _xlfn.TEXTJOIN(" ", FALSE,#REF!)</f>
        <v>#REF!</v>
      </c>
      <c r="CH8" s="122"/>
      <c r="CI8" s="74" t="s">
        <v>278</v>
      </c>
      <c r="CJ8" s="73" t="e">
        <f xml:space="preserve"> _xlfn.TEXTJOIN(" ", FALSE,#REF!)</f>
        <v>#REF!</v>
      </c>
      <c r="CK8" s="65" t="s">
        <v>277</v>
      </c>
      <c r="CL8" s="70" t="e">
        <f t="shared" ref="CL8:CL71" si="3">_xlfn.TEXTJOIN(" ", FALSE, BO8:CK8)</f>
        <v>#REF!</v>
      </c>
      <c r="CM8" s="64" t="s">
        <v>267</v>
      </c>
      <c r="CN8" s="122"/>
      <c r="CO8" s="71" t="s">
        <v>268</v>
      </c>
      <c r="CP8" s="73" t="e">
        <f xml:space="preserve"> _xlfn.TEXTJOIN(" ", FALSE,#REF!)</f>
        <v>#REF!</v>
      </c>
      <c r="CQ8" s="122"/>
      <c r="CR8" s="71" t="s">
        <v>269</v>
      </c>
      <c r="CS8" s="73" t="e">
        <f xml:space="preserve"> _xlfn.TEXTJOIN(" ", FALSE,#REF!)</f>
        <v>#REF!</v>
      </c>
      <c r="CT8" s="122"/>
      <c r="CU8" s="71" t="s">
        <v>270</v>
      </c>
      <c r="CV8" s="72" t="e">
        <f xml:space="preserve"> _xlfn.TEXTJOIN(" ", FALSE,#REF!)</f>
        <v>#REF!</v>
      </c>
      <c r="CW8" s="122"/>
      <c r="CX8" s="71" t="s">
        <v>271</v>
      </c>
      <c r="CY8" s="72" t="e">
        <f xml:space="preserve"> _xlfn.TEXTJOIN(" ", FALSE,#REF!)</f>
        <v>#REF!</v>
      </c>
      <c r="CZ8" s="122"/>
      <c r="DA8" s="71" t="s">
        <v>272</v>
      </c>
      <c r="DB8" s="73" t="e">
        <f xml:space="preserve"> _xlfn.TEXTJOIN(" ", FALSE,#REF!)</f>
        <v>#REF!</v>
      </c>
      <c r="DC8" s="65" t="s">
        <v>277</v>
      </c>
      <c r="DD8" s="70" t="e">
        <f t="shared" ref="DD8:DD71" si="4">_xlfn.TEXTJOIN(" ", FALSE, CM8:DC8)</f>
        <v>#REF!</v>
      </c>
      <c r="DE8" s="64" t="s">
        <v>273</v>
      </c>
      <c r="DF8" s="122"/>
      <c r="DG8" s="71" t="s">
        <v>274</v>
      </c>
      <c r="DH8" s="72" t="e">
        <f xml:space="preserve"> _xlfn.TEXTJOIN(" ", FALSE,#REF!)</f>
        <v>#REF!</v>
      </c>
      <c r="DI8" s="122"/>
      <c r="DJ8" s="71" t="s">
        <v>275</v>
      </c>
      <c r="DK8" s="73" t="e">
        <f xml:space="preserve"> _xlfn.TEXTJOIN(" ", FALSE,#REF!)</f>
        <v>#REF!</v>
      </c>
      <c r="DL8" s="65" t="s">
        <v>277</v>
      </c>
      <c r="DM8" s="70" t="e">
        <f t="shared" ref="DM8:DM71" si="5">_xlfn.TEXTJOIN(" ", FALSE, DE8:DL8)</f>
        <v>#REF!</v>
      </c>
      <c r="DN8" s="70" t="e">
        <f t="shared" ref="DN8:DN71" si="6">_xlfn.TEXTJOIN(CHAR(10), FALSE, R8,BH8,BN8,CL8,DD8,DM8)</f>
        <v>#REF!</v>
      </c>
    </row>
    <row r="9" spans="1:118" ht="108" customHeight="1">
      <c r="A9" s="122" t="e">
        <f>Summary!A9</f>
        <v>#REF!</v>
      </c>
      <c r="B9" s="64" t="s">
        <v>233</v>
      </c>
      <c r="C9" s="65" t="e">
        <f>Summary!B9</f>
        <v>#REF!</v>
      </c>
      <c r="D9" s="122"/>
      <c r="E9" s="64" t="s">
        <v>235</v>
      </c>
      <c r="F9" s="132" t="e">
        <f>Summary!C9</f>
        <v>#REF!</v>
      </c>
      <c r="G9" s="64" t="s">
        <v>236</v>
      </c>
      <c r="H9" s="132" t="e">
        <f>Summary!D9</f>
        <v>#REF!</v>
      </c>
      <c r="I9" s="64" t="s">
        <v>237</v>
      </c>
      <c r="J9" s="66">
        <f>Summary!E9</f>
        <v>6</v>
      </c>
      <c r="K9" s="64" t="s">
        <v>238</v>
      </c>
      <c r="L9" s="132" t="e">
        <f>Summary!F9</f>
        <v>#REF!</v>
      </c>
      <c r="M9" s="64" t="s">
        <v>239</v>
      </c>
      <c r="N9" s="132" t="e">
        <f>Summary!G9</f>
        <v>#REF!</v>
      </c>
      <c r="O9" s="64" t="s">
        <v>240</v>
      </c>
      <c r="P9" s="132" t="e">
        <f>Summary!H9</f>
        <v>#REF!</v>
      </c>
      <c r="Q9" s="65" t="s">
        <v>277</v>
      </c>
      <c r="R9" s="70" t="e">
        <f t="shared" si="0"/>
        <v>#REF!</v>
      </c>
      <c r="S9" s="64" t="s">
        <v>243</v>
      </c>
      <c r="T9" s="122"/>
      <c r="U9" s="71" t="s">
        <v>244</v>
      </c>
      <c r="V9" s="72" t="e">
        <f xml:space="preserve"> _xlfn.TEXTJOIN(" ", FALSE,#REF!)</f>
        <v>#REF!</v>
      </c>
      <c r="W9" s="122"/>
      <c r="X9" s="71" t="s">
        <v>245</v>
      </c>
      <c r="Y9" s="72" t="e">
        <f xml:space="preserve"> _xlfn.TEXTJOIN(" ", FALSE,#REF!)</f>
        <v>#REF!</v>
      </c>
      <c r="Z9" s="122"/>
      <c r="AA9" s="71" t="s">
        <v>246</v>
      </c>
      <c r="AB9" s="72" t="e">
        <f xml:space="preserve"> _xlfn.TEXTJOIN(" ", FALSE,#REF!)</f>
        <v>#REF!</v>
      </c>
      <c r="AC9" s="122"/>
      <c r="AD9" s="71" t="s">
        <v>247</v>
      </c>
      <c r="AE9" s="72" t="e">
        <f xml:space="preserve"> _xlfn.TEXTJOIN(" ", FALSE,#REF!)</f>
        <v>#REF!</v>
      </c>
      <c r="AF9" s="122"/>
      <c r="AG9" s="71" t="s">
        <v>248</v>
      </c>
      <c r="AH9" s="73" t="e">
        <f xml:space="preserve"> _xlfn.TEXTJOIN(" ", FALSE,#REF!)</f>
        <v>#REF!</v>
      </c>
      <c r="AI9" s="122"/>
      <c r="AJ9" s="71" t="s">
        <v>249</v>
      </c>
      <c r="AK9" s="73" t="e">
        <f xml:space="preserve"> _xlfn.TEXTJOIN(" ", FALSE,#REF!)</f>
        <v>#REF!</v>
      </c>
      <c r="AL9" s="122"/>
      <c r="AM9" s="71" t="s">
        <v>250</v>
      </c>
      <c r="AN9" s="73" t="e">
        <f xml:space="preserve"> _xlfn.TEXTJOIN(" ", FALSE,#REF!)</f>
        <v>#REF!</v>
      </c>
      <c r="AO9" s="122"/>
      <c r="AP9" s="71" t="s">
        <v>251</v>
      </c>
      <c r="AQ9" s="72" t="e">
        <f xml:space="preserve"> _xlfn.TEXTJOIN(" ", FALSE,#REF!)</f>
        <v>#REF!</v>
      </c>
      <c r="AR9" s="122"/>
      <c r="AS9" s="71" t="s">
        <v>252</v>
      </c>
      <c r="AT9" s="72" t="e">
        <f xml:space="preserve"> _xlfn.TEXTJOIN(" ", FALSE,#REF!)</f>
        <v>#REF!</v>
      </c>
      <c r="AU9" s="122"/>
      <c r="AV9" s="71" t="s">
        <v>253</v>
      </c>
      <c r="AW9" s="73" t="e">
        <f xml:space="preserve"> _xlfn.TEXTJOIN(" ", FALSE,#REF!)</f>
        <v>#REF!</v>
      </c>
      <c r="AX9" s="122"/>
      <c r="AY9" s="71" t="s">
        <v>254</v>
      </c>
      <c r="AZ9" s="72" t="e">
        <f xml:space="preserve"> _xlfn.TEXTJOIN(" ", FALSE,#REF!)</f>
        <v>#REF!</v>
      </c>
      <c r="BA9" s="122"/>
      <c r="BB9" s="71" t="s">
        <v>255</v>
      </c>
      <c r="BC9" s="72" t="e">
        <f xml:space="preserve"> _xlfn.TEXTJOIN(" ", FALSE,#REF!)</f>
        <v>#REF!</v>
      </c>
      <c r="BD9" s="122"/>
      <c r="BE9" s="71" t="s">
        <v>256</v>
      </c>
      <c r="BF9" s="72" t="e">
        <f xml:space="preserve"> _xlfn.TEXTJOIN(" ", FALSE,#REF!)</f>
        <v>#REF!</v>
      </c>
      <c r="BG9" s="65" t="s">
        <v>277</v>
      </c>
      <c r="BH9" s="70" t="e">
        <f t="shared" si="1"/>
        <v>#REF!</v>
      </c>
      <c r="BI9" s="64" t="s">
        <v>257</v>
      </c>
      <c r="BJ9" s="122"/>
      <c r="BK9" s="71" t="s">
        <v>258</v>
      </c>
      <c r="BL9" s="74" t="str">
        <f>_xlfn.TEXTJOIN(" ", FALSE, 'Task 2a - Mitigating the Proble'!U9:AC9)</f>
        <v xml:space="preserve">1 0 1 0 0 1 0 0 </v>
      </c>
      <c r="BM9" s="65" t="s">
        <v>277</v>
      </c>
      <c r="BN9" s="70" t="str">
        <f t="shared" si="2"/>
        <v>[Details for Task 2a:]  /Question 12: 1 0 1 0 0 1 0 0  .</v>
      </c>
      <c r="BO9" s="64" t="s">
        <v>259</v>
      </c>
      <c r="BP9" s="122"/>
      <c r="BQ9" s="71" t="s">
        <v>260</v>
      </c>
      <c r="BR9" s="73" t="e">
        <f xml:space="preserve"> _xlfn.TEXTJOIN(" ", FALSE,#REF!)</f>
        <v>#REF!</v>
      </c>
      <c r="BS9" s="122"/>
      <c r="BT9" s="71" t="s">
        <v>261</v>
      </c>
      <c r="BU9" s="73" t="e">
        <f xml:space="preserve"> _xlfn.TEXTJOIN(" ", FALSE,#REF!)</f>
        <v>#REF!</v>
      </c>
      <c r="BV9" s="122"/>
      <c r="BW9" s="71" t="s">
        <v>262</v>
      </c>
      <c r="BX9" s="73" t="e">
        <f xml:space="preserve"> _xlfn.TEXTJOIN(" ", FALSE,#REF!)</f>
        <v>#REF!</v>
      </c>
      <c r="BY9" s="122"/>
      <c r="BZ9" s="71" t="s">
        <v>263</v>
      </c>
      <c r="CA9" s="73" t="e">
        <f xml:space="preserve"> _xlfn.TEXTJOIN(" ", FALSE,#REF!)</f>
        <v>#REF!</v>
      </c>
      <c r="CB9" s="122"/>
      <c r="CC9" s="71" t="s">
        <v>264</v>
      </c>
      <c r="CD9" s="73" t="e">
        <f xml:space="preserve"> _xlfn.TEXTJOIN(" ", FALSE,#REF!)</f>
        <v>#REF!</v>
      </c>
      <c r="CE9" s="122"/>
      <c r="CF9" s="71" t="s">
        <v>265</v>
      </c>
      <c r="CG9" s="73" t="e">
        <f xml:space="preserve"> _xlfn.TEXTJOIN(" ", FALSE,#REF!)</f>
        <v>#REF!</v>
      </c>
      <c r="CH9" s="122"/>
      <c r="CI9" s="74" t="s">
        <v>278</v>
      </c>
      <c r="CJ9" s="73" t="e">
        <f xml:space="preserve"> _xlfn.TEXTJOIN(" ", FALSE,#REF!)</f>
        <v>#REF!</v>
      </c>
      <c r="CK9" s="65" t="s">
        <v>277</v>
      </c>
      <c r="CL9" s="70" t="e">
        <f t="shared" si="3"/>
        <v>#REF!</v>
      </c>
      <c r="CM9" s="64" t="s">
        <v>267</v>
      </c>
      <c r="CN9" s="122"/>
      <c r="CO9" s="71" t="s">
        <v>268</v>
      </c>
      <c r="CP9" s="73" t="e">
        <f xml:space="preserve"> _xlfn.TEXTJOIN(" ", FALSE,#REF!)</f>
        <v>#REF!</v>
      </c>
      <c r="CQ9" s="122"/>
      <c r="CR9" s="71" t="s">
        <v>269</v>
      </c>
      <c r="CS9" s="73" t="e">
        <f xml:space="preserve"> _xlfn.TEXTJOIN(" ", FALSE,#REF!)</f>
        <v>#REF!</v>
      </c>
      <c r="CT9" s="122"/>
      <c r="CU9" s="71" t="s">
        <v>270</v>
      </c>
      <c r="CV9" s="72" t="e">
        <f xml:space="preserve"> _xlfn.TEXTJOIN(" ", FALSE,#REF!)</f>
        <v>#REF!</v>
      </c>
      <c r="CW9" s="122"/>
      <c r="CX9" s="71" t="s">
        <v>271</v>
      </c>
      <c r="CY9" s="72" t="e">
        <f xml:space="preserve"> _xlfn.TEXTJOIN(" ", FALSE,#REF!)</f>
        <v>#REF!</v>
      </c>
      <c r="CZ9" s="122"/>
      <c r="DA9" s="71" t="s">
        <v>272</v>
      </c>
      <c r="DB9" s="73" t="e">
        <f xml:space="preserve"> _xlfn.TEXTJOIN(" ", FALSE,#REF!)</f>
        <v>#REF!</v>
      </c>
      <c r="DC9" s="65" t="s">
        <v>277</v>
      </c>
      <c r="DD9" s="70" t="e">
        <f t="shared" si="4"/>
        <v>#REF!</v>
      </c>
      <c r="DE9" s="64" t="s">
        <v>273</v>
      </c>
      <c r="DF9" s="122"/>
      <c r="DG9" s="71" t="s">
        <v>274</v>
      </c>
      <c r="DH9" s="72" t="e">
        <f xml:space="preserve"> _xlfn.TEXTJOIN(" ", FALSE,#REF!)</f>
        <v>#REF!</v>
      </c>
      <c r="DI9" s="122"/>
      <c r="DJ9" s="71" t="s">
        <v>275</v>
      </c>
      <c r="DK9" s="73" t="e">
        <f xml:space="preserve"> _xlfn.TEXTJOIN(" ", FALSE,#REF!)</f>
        <v>#REF!</v>
      </c>
      <c r="DL9" s="65" t="s">
        <v>277</v>
      </c>
      <c r="DM9" s="70" t="e">
        <f t="shared" si="5"/>
        <v>#REF!</v>
      </c>
      <c r="DN9" s="70" t="e">
        <f t="shared" si="6"/>
        <v>#REF!</v>
      </c>
    </row>
    <row r="10" spans="1:118" ht="108" customHeight="1">
      <c r="A10" s="122" t="e">
        <f>Summary!A10</f>
        <v>#REF!</v>
      </c>
      <c r="B10" s="64" t="s">
        <v>233</v>
      </c>
      <c r="C10" s="65" t="e">
        <f>Summary!B10</f>
        <v>#REF!</v>
      </c>
      <c r="D10" s="122"/>
      <c r="E10" s="64" t="s">
        <v>235</v>
      </c>
      <c r="F10" s="132" t="e">
        <f>Summary!C10</f>
        <v>#REF!</v>
      </c>
      <c r="G10" s="64" t="s">
        <v>236</v>
      </c>
      <c r="H10" s="132" t="e">
        <f>Summary!D10</f>
        <v>#REF!</v>
      </c>
      <c r="I10" s="64" t="s">
        <v>237</v>
      </c>
      <c r="J10" s="66">
        <f>Summary!E10</f>
        <v>5</v>
      </c>
      <c r="K10" s="64" t="s">
        <v>238</v>
      </c>
      <c r="L10" s="132" t="e">
        <f>Summary!F10</f>
        <v>#REF!</v>
      </c>
      <c r="M10" s="64" t="s">
        <v>239</v>
      </c>
      <c r="N10" s="132" t="e">
        <f>Summary!G10</f>
        <v>#REF!</v>
      </c>
      <c r="O10" s="64" t="s">
        <v>240</v>
      </c>
      <c r="P10" s="132" t="e">
        <f>Summary!H10</f>
        <v>#REF!</v>
      </c>
      <c r="Q10" s="65" t="s">
        <v>277</v>
      </c>
      <c r="R10" s="70" t="e">
        <f t="shared" si="0"/>
        <v>#REF!</v>
      </c>
      <c r="S10" s="64" t="s">
        <v>243</v>
      </c>
      <c r="T10" s="122"/>
      <c r="U10" s="71" t="s">
        <v>244</v>
      </c>
      <c r="V10" s="72" t="e">
        <f xml:space="preserve"> _xlfn.TEXTJOIN(" ", FALSE,#REF!)</f>
        <v>#REF!</v>
      </c>
      <c r="W10" s="122"/>
      <c r="X10" s="71" t="s">
        <v>245</v>
      </c>
      <c r="Y10" s="72" t="e">
        <f xml:space="preserve"> _xlfn.TEXTJOIN(" ", FALSE,#REF!)</f>
        <v>#REF!</v>
      </c>
      <c r="Z10" s="122"/>
      <c r="AA10" s="71" t="s">
        <v>246</v>
      </c>
      <c r="AB10" s="72" t="e">
        <f xml:space="preserve"> _xlfn.TEXTJOIN(" ", FALSE,#REF!)</f>
        <v>#REF!</v>
      </c>
      <c r="AC10" s="122"/>
      <c r="AD10" s="71" t="s">
        <v>247</v>
      </c>
      <c r="AE10" s="72" t="e">
        <f xml:space="preserve"> _xlfn.TEXTJOIN(" ", FALSE,#REF!)</f>
        <v>#REF!</v>
      </c>
      <c r="AF10" s="122"/>
      <c r="AG10" s="71" t="s">
        <v>248</v>
      </c>
      <c r="AH10" s="73" t="e">
        <f xml:space="preserve"> _xlfn.TEXTJOIN(" ", FALSE,#REF!)</f>
        <v>#REF!</v>
      </c>
      <c r="AI10" s="122"/>
      <c r="AJ10" s="71" t="s">
        <v>249</v>
      </c>
      <c r="AK10" s="73" t="e">
        <f xml:space="preserve"> _xlfn.TEXTJOIN(" ", FALSE,#REF!)</f>
        <v>#REF!</v>
      </c>
      <c r="AL10" s="122"/>
      <c r="AM10" s="71" t="s">
        <v>250</v>
      </c>
      <c r="AN10" s="73" t="e">
        <f xml:space="preserve"> _xlfn.TEXTJOIN(" ", FALSE,#REF!)</f>
        <v>#REF!</v>
      </c>
      <c r="AO10" s="122"/>
      <c r="AP10" s="71" t="s">
        <v>251</v>
      </c>
      <c r="AQ10" s="72" t="e">
        <f xml:space="preserve"> _xlfn.TEXTJOIN(" ", FALSE,#REF!)</f>
        <v>#REF!</v>
      </c>
      <c r="AR10" s="122"/>
      <c r="AS10" s="71" t="s">
        <v>252</v>
      </c>
      <c r="AT10" s="72" t="e">
        <f xml:space="preserve"> _xlfn.TEXTJOIN(" ", FALSE,#REF!)</f>
        <v>#REF!</v>
      </c>
      <c r="AU10" s="122"/>
      <c r="AV10" s="71" t="s">
        <v>253</v>
      </c>
      <c r="AW10" s="73" t="e">
        <f xml:space="preserve"> _xlfn.TEXTJOIN(" ", FALSE,#REF!)</f>
        <v>#REF!</v>
      </c>
      <c r="AX10" s="122"/>
      <c r="AY10" s="71" t="s">
        <v>254</v>
      </c>
      <c r="AZ10" s="72" t="e">
        <f xml:space="preserve"> _xlfn.TEXTJOIN(" ", FALSE,#REF!)</f>
        <v>#REF!</v>
      </c>
      <c r="BA10" s="122"/>
      <c r="BB10" s="71" t="s">
        <v>255</v>
      </c>
      <c r="BC10" s="72" t="e">
        <f xml:space="preserve"> _xlfn.TEXTJOIN(" ", FALSE,#REF!)</f>
        <v>#REF!</v>
      </c>
      <c r="BD10" s="122"/>
      <c r="BE10" s="71" t="s">
        <v>256</v>
      </c>
      <c r="BF10" s="72" t="e">
        <f xml:space="preserve"> _xlfn.TEXTJOIN(" ", FALSE,#REF!)</f>
        <v>#REF!</v>
      </c>
      <c r="BG10" s="65" t="s">
        <v>277</v>
      </c>
      <c r="BH10" s="70" t="e">
        <f t="shared" si="1"/>
        <v>#REF!</v>
      </c>
      <c r="BI10" s="64" t="s">
        <v>257</v>
      </c>
      <c r="BJ10" s="122"/>
      <c r="BK10" s="71" t="s">
        <v>258</v>
      </c>
      <c r="BL10" s="74" t="str">
        <f>_xlfn.TEXTJOIN(" ", FALSE, 'Task 2a - Mitigating the Proble'!U10:AC10)</f>
        <v xml:space="preserve">1 0 0 0 0 1 0 0 </v>
      </c>
      <c r="BM10" s="65" t="s">
        <v>277</v>
      </c>
      <c r="BN10" s="70" t="str">
        <f t="shared" si="2"/>
        <v>[Details for Task 2a:]  /Question 12: 1 0 0 0 0 1 0 0  .</v>
      </c>
      <c r="BO10" s="64" t="s">
        <v>259</v>
      </c>
      <c r="BP10" s="122"/>
      <c r="BQ10" s="71" t="s">
        <v>260</v>
      </c>
      <c r="BR10" s="73" t="e">
        <f xml:space="preserve"> _xlfn.TEXTJOIN(" ", FALSE,#REF!)</f>
        <v>#REF!</v>
      </c>
      <c r="BS10" s="122"/>
      <c r="BT10" s="71" t="s">
        <v>261</v>
      </c>
      <c r="BU10" s="73" t="e">
        <f xml:space="preserve"> _xlfn.TEXTJOIN(" ", FALSE,#REF!)</f>
        <v>#REF!</v>
      </c>
      <c r="BV10" s="122"/>
      <c r="BW10" s="71" t="s">
        <v>262</v>
      </c>
      <c r="BX10" s="73" t="e">
        <f xml:space="preserve"> _xlfn.TEXTJOIN(" ", FALSE,#REF!)</f>
        <v>#REF!</v>
      </c>
      <c r="BY10" s="122"/>
      <c r="BZ10" s="71" t="s">
        <v>263</v>
      </c>
      <c r="CA10" s="73" t="e">
        <f xml:space="preserve"> _xlfn.TEXTJOIN(" ", FALSE,#REF!)</f>
        <v>#REF!</v>
      </c>
      <c r="CB10" s="122"/>
      <c r="CC10" s="71" t="s">
        <v>264</v>
      </c>
      <c r="CD10" s="73" t="e">
        <f xml:space="preserve"> _xlfn.TEXTJOIN(" ", FALSE,#REF!)</f>
        <v>#REF!</v>
      </c>
      <c r="CE10" s="122"/>
      <c r="CF10" s="71" t="s">
        <v>265</v>
      </c>
      <c r="CG10" s="73" t="e">
        <f xml:space="preserve"> _xlfn.TEXTJOIN(" ", FALSE,#REF!)</f>
        <v>#REF!</v>
      </c>
      <c r="CH10" s="122"/>
      <c r="CI10" s="74" t="s">
        <v>278</v>
      </c>
      <c r="CJ10" s="73" t="e">
        <f xml:space="preserve"> _xlfn.TEXTJOIN(" ", FALSE,#REF!)</f>
        <v>#REF!</v>
      </c>
      <c r="CK10" s="65" t="s">
        <v>277</v>
      </c>
      <c r="CL10" s="70" t="e">
        <f t="shared" si="3"/>
        <v>#REF!</v>
      </c>
      <c r="CM10" s="64" t="s">
        <v>267</v>
      </c>
      <c r="CN10" s="122"/>
      <c r="CO10" s="71" t="s">
        <v>268</v>
      </c>
      <c r="CP10" s="73" t="e">
        <f xml:space="preserve"> _xlfn.TEXTJOIN(" ", FALSE,#REF!)</f>
        <v>#REF!</v>
      </c>
      <c r="CQ10" s="122"/>
      <c r="CR10" s="71" t="s">
        <v>269</v>
      </c>
      <c r="CS10" s="73" t="e">
        <f xml:space="preserve"> _xlfn.TEXTJOIN(" ", FALSE,#REF!)</f>
        <v>#REF!</v>
      </c>
      <c r="CT10" s="122"/>
      <c r="CU10" s="71" t="s">
        <v>270</v>
      </c>
      <c r="CV10" s="72" t="e">
        <f xml:space="preserve"> _xlfn.TEXTJOIN(" ", FALSE,#REF!)</f>
        <v>#REF!</v>
      </c>
      <c r="CW10" s="122"/>
      <c r="CX10" s="71" t="s">
        <v>271</v>
      </c>
      <c r="CY10" s="72" t="e">
        <f xml:space="preserve"> _xlfn.TEXTJOIN(" ", FALSE,#REF!)</f>
        <v>#REF!</v>
      </c>
      <c r="CZ10" s="122"/>
      <c r="DA10" s="71" t="s">
        <v>272</v>
      </c>
      <c r="DB10" s="73" t="e">
        <f xml:space="preserve"> _xlfn.TEXTJOIN(" ", FALSE,#REF!)</f>
        <v>#REF!</v>
      </c>
      <c r="DC10" s="65" t="s">
        <v>277</v>
      </c>
      <c r="DD10" s="70" t="e">
        <f t="shared" si="4"/>
        <v>#REF!</v>
      </c>
      <c r="DE10" s="64" t="s">
        <v>273</v>
      </c>
      <c r="DF10" s="122"/>
      <c r="DG10" s="71" t="s">
        <v>274</v>
      </c>
      <c r="DH10" s="72" t="e">
        <f xml:space="preserve"> _xlfn.TEXTJOIN(" ", FALSE,#REF!)</f>
        <v>#REF!</v>
      </c>
      <c r="DI10" s="122"/>
      <c r="DJ10" s="71" t="s">
        <v>275</v>
      </c>
      <c r="DK10" s="73" t="e">
        <f xml:space="preserve"> _xlfn.TEXTJOIN(" ", FALSE,#REF!)</f>
        <v>#REF!</v>
      </c>
      <c r="DL10" s="65" t="s">
        <v>277</v>
      </c>
      <c r="DM10" s="70" t="e">
        <f t="shared" si="5"/>
        <v>#REF!</v>
      </c>
      <c r="DN10" s="70" t="e">
        <f t="shared" si="6"/>
        <v>#REF!</v>
      </c>
    </row>
    <row r="11" spans="1:118" ht="108" customHeight="1">
      <c r="A11" s="122" t="e">
        <f>Summary!A11</f>
        <v>#REF!</v>
      </c>
      <c r="B11" s="64" t="s">
        <v>233</v>
      </c>
      <c r="C11" s="65" t="e">
        <f>Summary!B11</f>
        <v>#REF!</v>
      </c>
      <c r="D11" s="122"/>
      <c r="E11" s="64" t="s">
        <v>235</v>
      </c>
      <c r="F11" s="132" t="e">
        <f>Summary!C11</f>
        <v>#REF!</v>
      </c>
      <c r="G11" s="64" t="s">
        <v>236</v>
      </c>
      <c r="H11" s="132" t="e">
        <f>Summary!D11</f>
        <v>#REF!</v>
      </c>
      <c r="I11" s="64" t="s">
        <v>237</v>
      </c>
      <c r="J11" s="66">
        <f>Summary!E11</f>
        <v>6</v>
      </c>
      <c r="K11" s="64" t="s">
        <v>238</v>
      </c>
      <c r="L11" s="132" t="e">
        <f>Summary!F11</f>
        <v>#REF!</v>
      </c>
      <c r="M11" s="64" t="s">
        <v>239</v>
      </c>
      <c r="N11" s="132" t="e">
        <f>Summary!G11</f>
        <v>#REF!</v>
      </c>
      <c r="O11" s="64" t="s">
        <v>240</v>
      </c>
      <c r="P11" s="132" t="e">
        <f>Summary!H11</f>
        <v>#REF!</v>
      </c>
      <c r="Q11" s="65" t="s">
        <v>277</v>
      </c>
      <c r="R11" s="70" t="e">
        <f t="shared" si="0"/>
        <v>#REF!</v>
      </c>
      <c r="S11" s="64" t="s">
        <v>243</v>
      </c>
      <c r="T11" s="122"/>
      <c r="U11" s="71" t="s">
        <v>244</v>
      </c>
      <c r="V11" s="72" t="e">
        <f xml:space="preserve"> _xlfn.TEXTJOIN(" ", FALSE,#REF!)</f>
        <v>#REF!</v>
      </c>
      <c r="W11" s="122"/>
      <c r="X11" s="71" t="s">
        <v>245</v>
      </c>
      <c r="Y11" s="72" t="e">
        <f xml:space="preserve"> _xlfn.TEXTJOIN(" ", FALSE,#REF!)</f>
        <v>#REF!</v>
      </c>
      <c r="Z11" s="122"/>
      <c r="AA11" s="71" t="s">
        <v>246</v>
      </c>
      <c r="AB11" s="72" t="e">
        <f xml:space="preserve"> _xlfn.TEXTJOIN(" ", FALSE,#REF!)</f>
        <v>#REF!</v>
      </c>
      <c r="AC11" s="122"/>
      <c r="AD11" s="71" t="s">
        <v>247</v>
      </c>
      <c r="AE11" s="72" t="e">
        <f xml:space="preserve"> _xlfn.TEXTJOIN(" ", FALSE,#REF!)</f>
        <v>#REF!</v>
      </c>
      <c r="AF11" s="122"/>
      <c r="AG11" s="71" t="s">
        <v>248</v>
      </c>
      <c r="AH11" s="73" t="e">
        <f xml:space="preserve"> _xlfn.TEXTJOIN(" ", FALSE,#REF!)</f>
        <v>#REF!</v>
      </c>
      <c r="AI11" s="122"/>
      <c r="AJ11" s="71" t="s">
        <v>249</v>
      </c>
      <c r="AK11" s="73" t="e">
        <f xml:space="preserve"> _xlfn.TEXTJOIN(" ", FALSE,#REF!)</f>
        <v>#REF!</v>
      </c>
      <c r="AL11" s="122"/>
      <c r="AM11" s="71" t="s">
        <v>250</v>
      </c>
      <c r="AN11" s="73" t="e">
        <f xml:space="preserve"> _xlfn.TEXTJOIN(" ", FALSE,#REF!)</f>
        <v>#REF!</v>
      </c>
      <c r="AO11" s="122"/>
      <c r="AP11" s="71" t="s">
        <v>251</v>
      </c>
      <c r="AQ11" s="72" t="e">
        <f xml:space="preserve"> _xlfn.TEXTJOIN(" ", FALSE,#REF!)</f>
        <v>#REF!</v>
      </c>
      <c r="AR11" s="122"/>
      <c r="AS11" s="71" t="s">
        <v>252</v>
      </c>
      <c r="AT11" s="72" t="e">
        <f xml:space="preserve"> _xlfn.TEXTJOIN(" ", FALSE,#REF!)</f>
        <v>#REF!</v>
      </c>
      <c r="AU11" s="122"/>
      <c r="AV11" s="71" t="s">
        <v>253</v>
      </c>
      <c r="AW11" s="73" t="e">
        <f xml:space="preserve"> _xlfn.TEXTJOIN(" ", FALSE,#REF!)</f>
        <v>#REF!</v>
      </c>
      <c r="AX11" s="122"/>
      <c r="AY11" s="71" t="s">
        <v>254</v>
      </c>
      <c r="AZ11" s="72" t="e">
        <f xml:space="preserve"> _xlfn.TEXTJOIN(" ", FALSE,#REF!)</f>
        <v>#REF!</v>
      </c>
      <c r="BA11" s="122"/>
      <c r="BB11" s="71" t="s">
        <v>255</v>
      </c>
      <c r="BC11" s="72" t="e">
        <f xml:space="preserve"> _xlfn.TEXTJOIN(" ", FALSE,#REF!)</f>
        <v>#REF!</v>
      </c>
      <c r="BD11" s="122"/>
      <c r="BE11" s="71" t="s">
        <v>256</v>
      </c>
      <c r="BF11" s="72" t="e">
        <f xml:space="preserve"> _xlfn.TEXTJOIN(" ", FALSE,#REF!)</f>
        <v>#REF!</v>
      </c>
      <c r="BG11" s="65" t="s">
        <v>277</v>
      </c>
      <c r="BH11" s="70" t="e">
        <f t="shared" si="1"/>
        <v>#REF!</v>
      </c>
      <c r="BI11" s="64" t="s">
        <v>257</v>
      </c>
      <c r="BJ11" s="122"/>
      <c r="BK11" s="71" t="s">
        <v>258</v>
      </c>
      <c r="BL11" s="74" t="str">
        <f>_xlfn.TEXTJOIN(" ", FALSE, 'Task 2a - Mitigating the Proble'!U11:AC11)</f>
        <v xml:space="preserve">1 0 1 0 0 1 0 0 </v>
      </c>
      <c r="BM11" s="65" t="s">
        <v>277</v>
      </c>
      <c r="BN11" s="70" t="str">
        <f t="shared" si="2"/>
        <v>[Details for Task 2a:]  /Question 12: 1 0 1 0 0 1 0 0  .</v>
      </c>
      <c r="BO11" s="64" t="s">
        <v>259</v>
      </c>
      <c r="BP11" s="122"/>
      <c r="BQ11" s="71" t="s">
        <v>260</v>
      </c>
      <c r="BR11" s="73" t="e">
        <f xml:space="preserve"> _xlfn.TEXTJOIN(" ", FALSE,#REF!)</f>
        <v>#REF!</v>
      </c>
      <c r="BS11" s="122"/>
      <c r="BT11" s="71" t="s">
        <v>261</v>
      </c>
      <c r="BU11" s="73" t="e">
        <f xml:space="preserve"> _xlfn.TEXTJOIN(" ", FALSE,#REF!)</f>
        <v>#REF!</v>
      </c>
      <c r="BV11" s="122"/>
      <c r="BW11" s="71" t="s">
        <v>262</v>
      </c>
      <c r="BX11" s="73" t="e">
        <f xml:space="preserve"> _xlfn.TEXTJOIN(" ", FALSE,#REF!)</f>
        <v>#REF!</v>
      </c>
      <c r="BY11" s="122"/>
      <c r="BZ11" s="71" t="s">
        <v>263</v>
      </c>
      <c r="CA11" s="73" t="e">
        <f xml:space="preserve"> _xlfn.TEXTJOIN(" ", FALSE,#REF!)</f>
        <v>#REF!</v>
      </c>
      <c r="CB11" s="122"/>
      <c r="CC11" s="71" t="s">
        <v>264</v>
      </c>
      <c r="CD11" s="73" t="e">
        <f xml:space="preserve"> _xlfn.TEXTJOIN(" ", FALSE,#REF!)</f>
        <v>#REF!</v>
      </c>
      <c r="CE11" s="122"/>
      <c r="CF11" s="71" t="s">
        <v>265</v>
      </c>
      <c r="CG11" s="73" t="e">
        <f xml:space="preserve"> _xlfn.TEXTJOIN(" ", FALSE,#REF!)</f>
        <v>#REF!</v>
      </c>
      <c r="CH11" s="122"/>
      <c r="CI11" s="74" t="s">
        <v>278</v>
      </c>
      <c r="CJ11" s="73" t="e">
        <f xml:space="preserve"> _xlfn.TEXTJOIN(" ", FALSE,#REF!)</f>
        <v>#REF!</v>
      </c>
      <c r="CK11" s="65" t="s">
        <v>277</v>
      </c>
      <c r="CL11" s="70" t="e">
        <f t="shared" si="3"/>
        <v>#REF!</v>
      </c>
      <c r="CM11" s="64" t="s">
        <v>267</v>
      </c>
      <c r="CN11" s="122"/>
      <c r="CO11" s="71" t="s">
        <v>268</v>
      </c>
      <c r="CP11" s="73" t="e">
        <f xml:space="preserve"> _xlfn.TEXTJOIN(" ", FALSE,#REF!)</f>
        <v>#REF!</v>
      </c>
      <c r="CQ11" s="122"/>
      <c r="CR11" s="71" t="s">
        <v>269</v>
      </c>
      <c r="CS11" s="73" t="e">
        <f xml:space="preserve"> _xlfn.TEXTJOIN(" ", FALSE,#REF!)</f>
        <v>#REF!</v>
      </c>
      <c r="CT11" s="122"/>
      <c r="CU11" s="71" t="s">
        <v>270</v>
      </c>
      <c r="CV11" s="72" t="e">
        <f xml:space="preserve"> _xlfn.TEXTJOIN(" ", FALSE,#REF!)</f>
        <v>#REF!</v>
      </c>
      <c r="CW11" s="122"/>
      <c r="CX11" s="71" t="s">
        <v>271</v>
      </c>
      <c r="CY11" s="72" t="e">
        <f xml:space="preserve"> _xlfn.TEXTJOIN(" ", FALSE,#REF!)</f>
        <v>#REF!</v>
      </c>
      <c r="CZ11" s="122"/>
      <c r="DA11" s="71" t="s">
        <v>272</v>
      </c>
      <c r="DB11" s="73" t="e">
        <f xml:space="preserve"> _xlfn.TEXTJOIN(" ", FALSE,#REF!)</f>
        <v>#REF!</v>
      </c>
      <c r="DC11" s="65" t="s">
        <v>277</v>
      </c>
      <c r="DD11" s="70" t="e">
        <f t="shared" si="4"/>
        <v>#REF!</v>
      </c>
      <c r="DE11" s="64" t="s">
        <v>273</v>
      </c>
      <c r="DF11" s="122"/>
      <c r="DG11" s="71" t="s">
        <v>274</v>
      </c>
      <c r="DH11" s="72" t="e">
        <f xml:space="preserve"> _xlfn.TEXTJOIN(" ", FALSE,#REF!)</f>
        <v>#REF!</v>
      </c>
      <c r="DI11" s="122"/>
      <c r="DJ11" s="71" t="s">
        <v>275</v>
      </c>
      <c r="DK11" s="73" t="e">
        <f xml:space="preserve"> _xlfn.TEXTJOIN(" ", FALSE,#REF!)</f>
        <v>#REF!</v>
      </c>
      <c r="DL11" s="65" t="s">
        <v>277</v>
      </c>
      <c r="DM11" s="70" t="e">
        <f t="shared" si="5"/>
        <v>#REF!</v>
      </c>
      <c r="DN11" s="70" t="e">
        <f t="shared" si="6"/>
        <v>#REF!</v>
      </c>
    </row>
    <row r="12" spans="1:118" ht="108" customHeight="1">
      <c r="A12" s="122" t="e">
        <f>Summary!A12</f>
        <v>#REF!</v>
      </c>
      <c r="B12" s="64" t="s">
        <v>233</v>
      </c>
      <c r="C12" s="65" t="e">
        <f>Summary!B12</f>
        <v>#REF!</v>
      </c>
      <c r="D12" s="122"/>
      <c r="E12" s="64" t="s">
        <v>235</v>
      </c>
      <c r="F12" s="132" t="e">
        <f>Summary!C12</f>
        <v>#REF!</v>
      </c>
      <c r="G12" s="64" t="s">
        <v>236</v>
      </c>
      <c r="H12" s="132" t="e">
        <f>Summary!D12</f>
        <v>#REF!</v>
      </c>
      <c r="I12" s="64" t="s">
        <v>237</v>
      </c>
      <c r="J12" s="66">
        <f>Summary!E12</f>
        <v>7</v>
      </c>
      <c r="K12" s="64" t="s">
        <v>238</v>
      </c>
      <c r="L12" s="132" t="e">
        <f>Summary!F12</f>
        <v>#REF!</v>
      </c>
      <c r="M12" s="64" t="s">
        <v>239</v>
      </c>
      <c r="N12" s="132" t="e">
        <f>Summary!G12</f>
        <v>#REF!</v>
      </c>
      <c r="O12" s="64" t="s">
        <v>240</v>
      </c>
      <c r="P12" s="132" t="e">
        <f>Summary!H12</f>
        <v>#REF!</v>
      </c>
      <c r="Q12" s="65" t="s">
        <v>277</v>
      </c>
      <c r="R12" s="70" t="e">
        <f t="shared" si="0"/>
        <v>#REF!</v>
      </c>
      <c r="S12" s="64" t="s">
        <v>243</v>
      </c>
      <c r="T12" s="122"/>
      <c r="U12" s="71" t="s">
        <v>244</v>
      </c>
      <c r="V12" s="72" t="e">
        <f xml:space="preserve"> _xlfn.TEXTJOIN(" ", FALSE,#REF!)</f>
        <v>#REF!</v>
      </c>
      <c r="W12" s="122"/>
      <c r="X12" s="71" t="s">
        <v>245</v>
      </c>
      <c r="Y12" s="72" t="e">
        <f xml:space="preserve"> _xlfn.TEXTJOIN(" ", FALSE,#REF!)</f>
        <v>#REF!</v>
      </c>
      <c r="Z12" s="122"/>
      <c r="AA12" s="71" t="s">
        <v>246</v>
      </c>
      <c r="AB12" s="72" t="e">
        <f xml:space="preserve"> _xlfn.TEXTJOIN(" ", FALSE,#REF!)</f>
        <v>#REF!</v>
      </c>
      <c r="AC12" s="122"/>
      <c r="AD12" s="71" t="s">
        <v>247</v>
      </c>
      <c r="AE12" s="72" t="e">
        <f xml:space="preserve"> _xlfn.TEXTJOIN(" ", FALSE,#REF!)</f>
        <v>#REF!</v>
      </c>
      <c r="AF12" s="122"/>
      <c r="AG12" s="71" t="s">
        <v>248</v>
      </c>
      <c r="AH12" s="73" t="e">
        <f xml:space="preserve"> _xlfn.TEXTJOIN(" ", FALSE,#REF!)</f>
        <v>#REF!</v>
      </c>
      <c r="AI12" s="122"/>
      <c r="AJ12" s="71" t="s">
        <v>249</v>
      </c>
      <c r="AK12" s="73" t="e">
        <f xml:space="preserve"> _xlfn.TEXTJOIN(" ", FALSE,#REF!)</f>
        <v>#REF!</v>
      </c>
      <c r="AL12" s="122"/>
      <c r="AM12" s="71" t="s">
        <v>250</v>
      </c>
      <c r="AN12" s="73" t="e">
        <f xml:space="preserve"> _xlfn.TEXTJOIN(" ", FALSE,#REF!)</f>
        <v>#REF!</v>
      </c>
      <c r="AO12" s="122"/>
      <c r="AP12" s="71" t="s">
        <v>251</v>
      </c>
      <c r="AQ12" s="72" t="e">
        <f xml:space="preserve"> _xlfn.TEXTJOIN(" ", FALSE,#REF!)</f>
        <v>#REF!</v>
      </c>
      <c r="AR12" s="122"/>
      <c r="AS12" s="71" t="s">
        <v>252</v>
      </c>
      <c r="AT12" s="72" t="e">
        <f xml:space="preserve"> _xlfn.TEXTJOIN(" ", FALSE,#REF!)</f>
        <v>#REF!</v>
      </c>
      <c r="AU12" s="122"/>
      <c r="AV12" s="71" t="s">
        <v>253</v>
      </c>
      <c r="AW12" s="73" t="e">
        <f xml:space="preserve"> _xlfn.TEXTJOIN(" ", FALSE,#REF!)</f>
        <v>#REF!</v>
      </c>
      <c r="AX12" s="122"/>
      <c r="AY12" s="71" t="s">
        <v>254</v>
      </c>
      <c r="AZ12" s="72" t="e">
        <f xml:space="preserve"> _xlfn.TEXTJOIN(" ", FALSE,#REF!)</f>
        <v>#REF!</v>
      </c>
      <c r="BA12" s="122"/>
      <c r="BB12" s="71" t="s">
        <v>255</v>
      </c>
      <c r="BC12" s="72" t="e">
        <f xml:space="preserve"> _xlfn.TEXTJOIN(" ", FALSE,#REF!)</f>
        <v>#REF!</v>
      </c>
      <c r="BD12" s="122"/>
      <c r="BE12" s="71" t="s">
        <v>256</v>
      </c>
      <c r="BF12" s="72" t="e">
        <f xml:space="preserve"> _xlfn.TEXTJOIN(" ", FALSE,#REF!)</f>
        <v>#REF!</v>
      </c>
      <c r="BG12" s="65" t="s">
        <v>277</v>
      </c>
      <c r="BH12" s="70" t="e">
        <f t="shared" si="1"/>
        <v>#REF!</v>
      </c>
      <c r="BI12" s="64" t="s">
        <v>257</v>
      </c>
      <c r="BJ12" s="122"/>
      <c r="BK12" s="71" t="s">
        <v>258</v>
      </c>
      <c r="BL12" s="74" t="str">
        <f>_xlfn.TEXTJOIN(" ", FALSE, 'Task 2a - Mitigating the Proble'!U12:AC12)</f>
        <v xml:space="preserve">1 1 1 1 0 1 0 0 </v>
      </c>
      <c r="BM12" s="65" t="s">
        <v>277</v>
      </c>
      <c r="BN12" s="70" t="str">
        <f t="shared" si="2"/>
        <v>[Details for Task 2a:]  /Question 12: 1 1 1 1 0 1 0 0  .</v>
      </c>
      <c r="BO12" s="64" t="s">
        <v>259</v>
      </c>
      <c r="BP12" s="122"/>
      <c r="BQ12" s="71" t="s">
        <v>260</v>
      </c>
      <c r="BR12" s="73" t="e">
        <f xml:space="preserve"> _xlfn.TEXTJOIN(" ", FALSE,#REF!)</f>
        <v>#REF!</v>
      </c>
      <c r="BS12" s="122"/>
      <c r="BT12" s="71" t="s">
        <v>261</v>
      </c>
      <c r="BU12" s="73" t="e">
        <f xml:space="preserve"> _xlfn.TEXTJOIN(" ", FALSE,#REF!)</f>
        <v>#REF!</v>
      </c>
      <c r="BV12" s="122"/>
      <c r="BW12" s="71" t="s">
        <v>262</v>
      </c>
      <c r="BX12" s="73" t="e">
        <f xml:space="preserve"> _xlfn.TEXTJOIN(" ", FALSE,#REF!)</f>
        <v>#REF!</v>
      </c>
      <c r="BY12" s="122"/>
      <c r="BZ12" s="71" t="s">
        <v>263</v>
      </c>
      <c r="CA12" s="73" t="e">
        <f xml:space="preserve"> _xlfn.TEXTJOIN(" ", FALSE,#REF!)</f>
        <v>#REF!</v>
      </c>
      <c r="CB12" s="122"/>
      <c r="CC12" s="71" t="s">
        <v>264</v>
      </c>
      <c r="CD12" s="73" t="e">
        <f xml:space="preserve"> _xlfn.TEXTJOIN(" ", FALSE,#REF!)</f>
        <v>#REF!</v>
      </c>
      <c r="CE12" s="122"/>
      <c r="CF12" s="71" t="s">
        <v>265</v>
      </c>
      <c r="CG12" s="73" t="e">
        <f xml:space="preserve"> _xlfn.TEXTJOIN(" ", FALSE,#REF!)</f>
        <v>#REF!</v>
      </c>
      <c r="CH12" s="122"/>
      <c r="CI12" s="74" t="s">
        <v>278</v>
      </c>
      <c r="CJ12" s="73" t="e">
        <f xml:space="preserve"> _xlfn.TEXTJOIN(" ", FALSE,#REF!)</f>
        <v>#REF!</v>
      </c>
      <c r="CK12" s="65" t="s">
        <v>277</v>
      </c>
      <c r="CL12" s="70" t="e">
        <f t="shared" si="3"/>
        <v>#REF!</v>
      </c>
      <c r="CM12" s="64" t="s">
        <v>267</v>
      </c>
      <c r="CN12" s="122"/>
      <c r="CO12" s="71" t="s">
        <v>268</v>
      </c>
      <c r="CP12" s="73" t="e">
        <f xml:space="preserve"> _xlfn.TEXTJOIN(" ", FALSE,#REF!)</f>
        <v>#REF!</v>
      </c>
      <c r="CQ12" s="122"/>
      <c r="CR12" s="71" t="s">
        <v>269</v>
      </c>
      <c r="CS12" s="73" t="e">
        <f xml:space="preserve"> _xlfn.TEXTJOIN(" ", FALSE,#REF!)</f>
        <v>#REF!</v>
      </c>
      <c r="CT12" s="122"/>
      <c r="CU12" s="71" t="s">
        <v>270</v>
      </c>
      <c r="CV12" s="72" t="e">
        <f xml:space="preserve"> _xlfn.TEXTJOIN(" ", FALSE,#REF!)</f>
        <v>#REF!</v>
      </c>
      <c r="CW12" s="122"/>
      <c r="CX12" s="71" t="s">
        <v>271</v>
      </c>
      <c r="CY12" s="72" t="e">
        <f xml:space="preserve"> _xlfn.TEXTJOIN(" ", FALSE,#REF!)</f>
        <v>#REF!</v>
      </c>
      <c r="CZ12" s="122"/>
      <c r="DA12" s="71" t="s">
        <v>272</v>
      </c>
      <c r="DB12" s="73" t="e">
        <f xml:space="preserve"> _xlfn.TEXTJOIN(" ", FALSE,#REF!)</f>
        <v>#REF!</v>
      </c>
      <c r="DC12" s="65" t="s">
        <v>277</v>
      </c>
      <c r="DD12" s="70" t="e">
        <f t="shared" si="4"/>
        <v>#REF!</v>
      </c>
      <c r="DE12" s="64" t="s">
        <v>273</v>
      </c>
      <c r="DF12" s="122"/>
      <c r="DG12" s="71" t="s">
        <v>274</v>
      </c>
      <c r="DH12" s="72" t="e">
        <f xml:space="preserve"> _xlfn.TEXTJOIN(" ", FALSE,#REF!)</f>
        <v>#REF!</v>
      </c>
      <c r="DI12" s="122"/>
      <c r="DJ12" s="71" t="s">
        <v>275</v>
      </c>
      <c r="DK12" s="73" t="e">
        <f xml:space="preserve"> _xlfn.TEXTJOIN(" ", FALSE,#REF!)</f>
        <v>#REF!</v>
      </c>
      <c r="DL12" s="65" t="s">
        <v>277</v>
      </c>
      <c r="DM12" s="70" t="e">
        <f t="shared" si="5"/>
        <v>#REF!</v>
      </c>
      <c r="DN12" s="70" t="e">
        <f t="shared" si="6"/>
        <v>#REF!</v>
      </c>
    </row>
    <row r="13" spans="1:118" ht="108" customHeight="1">
      <c r="A13" s="122" t="e">
        <f>Summary!A13</f>
        <v>#REF!</v>
      </c>
      <c r="B13" s="64" t="s">
        <v>233</v>
      </c>
      <c r="C13" s="65" t="e">
        <f>Summary!B13</f>
        <v>#REF!</v>
      </c>
      <c r="D13" s="122"/>
      <c r="E13" s="64" t="s">
        <v>235</v>
      </c>
      <c r="F13" s="132" t="e">
        <f>Summary!C13</f>
        <v>#REF!</v>
      </c>
      <c r="G13" s="64" t="s">
        <v>236</v>
      </c>
      <c r="H13" s="132" t="e">
        <f>Summary!D13</f>
        <v>#REF!</v>
      </c>
      <c r="I13" s="64" t="s">
        <v>237</v>
      </c>
      <c r="J13" s="66">
        <f>Summary!E13</f>
        <v>7</v>
      </c>
      <c r="K13" s="64" t="s">
        <v>238</v>
      </c>
      <c r="L13" s="132" t="e">
        <f>Summary!F13</f>
        <v>#REF!</v>
      </c>
      <c r="M13" s="64" t="s">
        <v>239</v>
      </c>
      <c r="N13" s="132" t="e">
        <f>Summary!G13</f>
        <v>#REF!</v>
      </c>
      <c r="O13" s="64" t="s">
        <v>240</v>
      </c>
      <c r="P13" s="132" t="e">
        <f>Summary!H13</f>
        <v>#REF!</v>
      </c>
      <c r="Q13" s="65" t="s">
        <v>277</v>
      </c>
      <c r="R13" s="70" t="e">
        <f t="shared" si="0"/>
        <v>#REF!</v>
      </c>
      <c r="S13" s="64" t="s">
        <v>243</v>
      </c>
      <c r="T13" s="122"/>
      <c r="U13" s="71" t="s">
        <v>244</v>
      </c>
      <c r="V13" s="72" t="e">
        <f xml:space="preserve"> _xlfn.TEXTJOIN(" ", FALSE,#REF!)</f>
        <v>#REF!</v>
      </c>
      <c r="W13" s="122"/>
      <c r="X13" s="71" t="s">
        <v>245</v>
      </c>
      <c r="Y13" s="72" t="e">
        <f xml:space="preserve"> _xlfn.TEXTJOIN(" ", FALSE,#REF!)</f>
        <v>#REF!</v>
      </c>
      <c r="Z13" s="122"/>
      <c r="AA13" s="71" t="s">
        <v>246</v>
      </c>
      <c r="AB13" s="72" t="e">
        <f xml:space="preserve"> _xlfn.TEXTJOIN(" ", FALSE,#REF!)</f>
        <v>#REF!</v>
      </c>
      <c r="AC13" s="122"/>
      <c r="AD13" s="71" t="s">
        <v>247</v>
      </c>
      <c r="AE13" s="72" t="e">
        <f xml:space="preserve"> _xlfn.TEXTJOIN(" ", FALSE,#REF!)</f>
        <v>#REF!</v>
      </c>
      <c r="AF13" s="122"/>
      <c r="AG13" s="71" t="s">
        <v>248</v>
      </c>
      <c r="AH13" s="73" t="e">
        <f xml:space="preserve"> _xlfn.TEXTJOIN(" ", FALSE,#REF!)</f>
        <v>#REF!</v>
      </c>
      <c r="AI13" s="122"/>
      <c r="AJ13" s="71" t="s">
        <v>249</v>
      </c>
      <c r="AK13" s="73" t="e">
        <f xml:space="preserve"> _xlfn.TEXTJOIN(" ", FALSE,#REF!)</f>
        <v>#REF!</v>
      </c>
      <c r="AL13" s="122"/>
      <c r="AM13" s="71" t="s">
        <v>250</v>
      </c>
      <c r="AN13" s="73" t="e">
        <f xml:space="preserve"> _xlfn.TEXTJOIN(" ", FALSE,#REF!)</f>
        <v>#REF!</v>
      </c>
      <c r="AO13" s="122"/>
      <c r="AP13" s="71" t="s">
        <v>251</v>
      </c>
      <c r="AQ13" s="72" t="e">
        <f xml:space="preserve"> _xlfn.TEXTJOIN(" ", FALSE,#REF!)</f>
        <v>#REF!</v>
      </c>
      <c r="AR13" s="122"/>
      <c r="AS13" s="71" t="s">
        <v>252</v>
      </c>
      <c r="AT13" s="72" t="e">
        <f xml:space="preserve"> _xlfn.TEXTJOIN(" ", FALSE,#REF!)</f>
        <v>#REF!</v>
      </c>
      <c r="AU13" s="122"/>
      <c r="AV13" s="71" t="s">
        <v>253</v>
      </c>
      <c r="AW13" s="73" t="e">
        <f xml:space="preserve"> _xlfn.TEXTJOIN(" ", FALSE,#REF!)</f>
        <v>#REF!</v>
      </c>
      <c r="AX13" s="122"/>
      <c r="AY13" s="71" t="s">
        <v>254</v>
      </c>
      <c r="AZ13" s="72" t="e">
        <f xml:space="preserve"> _xlfn.TEXTJOIN(" ", FALSE,#REF!)</f>
        <v>#REF!</v>
      </c>
      <c r="BA13" s="122"/>
      <c r="BB13" s="71" t="s">
        <v>255</v>
      </c>
      <c r="BC13" s="72" t="e">
        <f xml:space="preserve"> _xlfn.TEXTJOIN(" ", FALSE,#REF!)</f>
        <v>#REF!</v>
      </c>
      <c r="BD13" s="122"/>
      <c r="BE13" s="71" t="s">
        <v>256</v>
      </c>
      <c r="BF13" s="72" t="e">
        <f xml:space="preserve"> _xlfn.TEXTJOIN(" ", FALSE,#REF!)</f>
        <v>#REF!</v>
      </c>
      <c r="BG13" s="65" t="s">
        <v>277</v>
      </c>
      <c r="BH13" s="70" t="e">
        <f t="shared" si="1"/>
        <v>#REF!</v>
      </c>
      <c r="BI13" s="64" t="s">
        <v>257</v>
      </c>
      <c r="BJ13" s="122"/>
      <c r="BK13" s="71" t="s">
        <v>258</v>
      </c>
      <c r="BL13" s="74" t="str">
        <f>_xlfn.TEXTJOIN(" ", FALSE, 'Task 2a - Mitigating the Proble'!U13:AC13)</f>
        <v xml:space="preserve">1 1 1 1 0 1 0 0 </v>
      </c>
      <c r="BM13" s="65" t="s">
        <v>277</v>
      </c>
      <c r="BN13" s="70" t="str">
        <f t="shared" si="2"/>
        <v>[Details for Task 2a:]  /Question 12: 1 1 1 1 0 1 0 0  .</v>
      </c>
      <c r="BO13" s="64" t="s">
        <v>259</v>
      </c>
      <c r="BP13" s="122"/>
      <c r="BQ13" s="71" t="s">
        <v>260</v>
      </c>
      <c r="BR13" s="73" t="e">
        <f xml:space="preserve"> _xlfn.TEXTJOIN(" ", FALSE,#REF!)</f>
        <v>#REF!</v>
      </c>
      <c r="BS13" s="122"/>
      <c r="BT13" s="71" t="s">
        <v>261</v>
      </c>
      <c r="BU13" s="73" t="e">
        <f xml:space="preserve"> _xlfn.TEXTJOIN(" ", FALSE,#REF!)</f>
        <v>#REF!</v>
      </c>
      <c r="BV13" s="122"/>
      <c r="BW13" s="71" t="s">
        <v>262</v>
      </c>
      <c r="BX13" s="73" t="e">
        <f xml:space="preserve"> _xlfn.TEXTJOIN(" ", FALSE,#REF!)</f>
        <v>#REF!</v>
      </c>
      <c r="BY13" s="122"/>
      <c r="BZ13" s="71" t="s">
        <v>263</v>
      </c>
      <c r="CA13" s="73" t="e">
        <f xml:space="preserve"> _xlfn.TEXTJOIN(" ", FALSE,#REF!)</f>
        <v>#REF!</v>
      </c>
      <c r="CB13" s="122"/>
      <c r="CC13" s="71" t="s">
        <v>264</v>
      </c>
      <c r="CD13" s="73" t="e">
        <f xml:space="preserve"> _xlfn.TEXTJOIN(" ", FALSE,#REF!)</f>
        <v>#REF!</v>
      </c>
      <c r="CE13" s="122"/>
      <c r="CF13" s="71" t="s">
        <v>265</v>
      </c>
      <c r="CG13" s="73" t="e">
        <f xml:space="preserve"> _xlfn.TEXTJOIN(" ", FALSE,#REF!)</f>
        <v>#REF!</v>
      </c>
      <c r="CH13" s="122"/>
      <c r="CI13" s="74" t="s">
        <v>278</v>
      </c>
      <c r="CJ13" s="73" t="e">
        <f xml:space="preserve"> _xlfn.TEXTJOIN(" ", FALSE,#REF!)</f>
        <v>#REF!</v>
      </c>
      <c r="CK13" s="65" t="s">
        <v>277</v>
      </c>
      <c r="CL13" s="70" t="e">
        <f t="shared" si="3"/>
        <v>#REF!</v>
      </c>
      <c r="CM13" s="64" t="s">
        <v>267</v>
      </c>
      <c r="CN13" s="122"/>
      <c r="CO13" s="71" t="s">
        <v>268</v>
      </c>
      <c r="CP13" s="73" t="e">
        <f xml:space="preserve"> _xlfn.TEXTJOIN(" ", FALSE,#REF!)</f>
        <v>#REF!</v>
      </c>
      <c r="CQ13" s="122"/>
      <c r="CR13" s="71" t="s">
        <v>269</v>
      </c>
      <c r="CS13" s="73" t="e">
        <f xml:space="preserve"> _xlfn.TEXTJOIN(" ", FALSE,#REF!)</f>
        <v>#REF!</v>
      </c>
      <c r="CT13" s="122"/>
      <c r="CU13" s="71" t="s">
        <v>270</v>
      </c>
      <c r="CV13" s="72" t="e">
        <f xml:space="preserve"> _xlfn.TEXTJOIN(" ", FALSE,#REF!)</f>
        <v>#REF!</v>
      </c>
      <c r="CW13" s="122"/>
      <c r="CX13" s="71" t="s">
        <v>271</v>
      </c>
      <c r="CY13" s="72" t="e">
        <f xml:space="preserve"> _xlfn.TEXTJOIN(" ", FALSE,#REF!)</f>
        <v>#REF!</v>
      </c>
      <c r="CZ13" s="122"/>
      <c r="DA13" s="71" t="s">
        <v>272</v>
      </c>
      <c r="DB13" s="73" t="e">
        <f xml:space="preserve"> _xlfn.TEXTJOIN(" ", FALSE,#REF!)</f>
        <v>#REF!</v>
      </c>
      <c r="DC13" s="65" t="s">
        <v>277</v>
      </c>
      <c r="DD13" s="70" t="e">
        <f t="shared" si="4"/>
        <v>#REF!</v>
      </c>
      <c r="DE13" s="64" t="s">
        <v>273</v>
      </c>
      <c r="DF13" s="122"/>
      <c r="DG13" s="71" t="s">
        <v>274</v>
      </c>
      <c r="DH13" s="72" t="e">
        <f xml:space="preserve"> _xlfn.TEXTJOIN(" ", FALSE,#REF!)</f>
        <v>#REF!</v>
      </c>
      <c r="DI13" s="122"/>
      <c r="DJ13" s="71" t="s">
        <v>275</v>
      </c>
      <c r="DK13" s="73" t="e">
        <f xml:space="preserve"> _xlfn.TEXTJOIN(" ", FALSE,#REF!)</f>
        <v>#REF!</v>
      </c>
      <c r="DL13" s="65" t="s">
        <v>277</v>
      </c>
      <c r="DM13" s="70" t="e">
        <f t="shared" si="5"/>
        <v>#REF!</v>
      </c>
      <c r="DN13" s="70" t="e">
        <f t="shared" si="6"/>
        <v>#REF!</v>
      </c>
    </row>
    <row r="14" spans="1:118" ht="108" customHeight="1">
      <c r="A14" s="122" t="e">
        <f>Summary!A14</f>
        <v>#REF!</v>
      </c>
      <c r="B14" s="64" t="s">
        <v>233</v>
      </c>
      <c r="C14" s="65" t="e">
        <f>Summary!B14</f>
        <v>#REF!</v>
      </c>
      <c r="D14" s="122"/>
      <c r="E14" s="64" t="s">
        <v>235</v>
      </c>
      <c r="F14" s="132" t="e">
        <f>Summary!C14</f>
        <v>#REF!</v>
      </c>
      <c r="G14" s="64" t="s">
        <v>236</v>
      </c>
      <c r="H14" s="132" t="e">
        <f>Summary!D14</f>
        <v>#REF!</v>
      </c>
      <c r="I14" s="64" t="s">
        <v>237</v>
      </c>
      <c r="J14" s="66">
        <f>Summary!E14</f>
        <v>5</v>
      </c>
      <c r="K14" s="64" t="s">
        <v>238</v>
      </c>
      <c r="L14" s="132" t="e">
        <f>Summary!F14</f>
        <v>#REF!</v>
      </c>
      <c r="M14" s="64" t="s">
        <v>239</v>
      </c>
      <c r="N14" s="132" t="e">
        <f>Summary!G14</f>
        <v>#REF!</v>
      </c>
      <c r="O14" s="64" t="s">
        <v>240</v>
      </c>
      <c r="P14" s="132" t="e">
        <f>Summary!H14</f>
        <v>#REF!</v>
      </c>
      <c r="Q14" s="65" t="s">
        <v>277</v>
      </c>
      <c r="R14" s="70" t="e">
        <f t="shared" si="0"/>
        <v>#REF!</v>
      </c>
      <c r="S14" s="64" t="s">
        <v>243</v>
      </c>
      <c r="T14" s="122"/>
      <c r="U14" s="71" t="s">
        <v>244</v>
      </c>
      <c r="V14" s="72" t="e">
        <f xml:space="preserve"> _xlfn.TEXTJOIN(" ", FALSE,#REF!)</f>
        <v>#REF!</v>
      </c>
      <c r="W14" s="122"/>
      <c r="X14" s="71" t="s">
        <v>245</v>
      </c>
      <c r="Y14" s="72" t="e">
        <f xml:space="preserve"> _xlfn.TEXTJOIN(" ", FALSE,#REF!)</f>
        <v>#REF!</v>
      </c>
      <c r="Z14" s="122"/>
      <c r="AA14" s="71" t="s">
        <v>246</v>
      </c>
      <c r="AB14" s="72" t="e">
        <f xml:space="preserve"> _xlfn.TEXTJOIN(" ", FALSE,#REF!)</f>
        <v>#REF!</v>
      </c>
      <c r="AC14" s="122"/>
      <c r="AD14" s="71" t="s">
        <v>247</v>
      </c>
      <c r="AE14" s="72" t="e">
        <f xml:space="preserve"> _xlfn.TEXTJOIN(" ", FALSE,#REF!)</f>
        <v>#REF!</v>
      </c>
      <c r="AF14" s="122"/>
      <c r="AG14" s="71" t="s">
        <v>248</v>
      </c>
      <c r="AH14" s="73" t="e">
        <f xml:space="preserve"> _xlfn.TEXTJOIN(" ", FALSE,#REF!)</f>
        <v>#REF!</v>
      </c>
      <c r="AI14" s="122"/>
      <c r="AJ14" s="71" t="s">
        <v>249</v>
      </c>
      <c r="AK14" s="73" t="e">
        <f xml:space="preserve"> _xlfn.TEXTJOIN(" ", FALSE,#REF!)</f>
        <v>#REF!</v>
      </c>
      <c r="AL14" s="122"/>
      <c r="AM14" s="71" t="s">
        <v>250</v>
      </c>
      <c r="AN14" s="73" t="e">
        <f xml:space="preserve"> _xlfn.TEXTJOIN(" ", FALSE,#REF!)</f>
        <v>#REF!</v>
      </c>
      <c r="AO14" s="122"/>
      <c r="AP14" s="71" t="s">
        <v>251</v>
      </c>
      <c r="AQ14" s="72" t="e">
        <f xml:space="preserve"> _xlfn.TEXTJOIN(" ", FALSE,#REF!)</f>
        <v>#REF!</v>
      </c>
      <c r="AR14" s="122"/>
      <c r="AS14" s="71" t="s">
        <v>252</v>
      </c>
      <c r="AT14" s="72" t="e">
        <f xml:space="preserve"> _xlfn.TEXTJOIN(" ", FALSE,#REF!)</f>
        <v>#REF!</v>
      </c>
      <c r="AU14" s="122"/>
      <c r="AV14" s="71" t="s">
        <v>253</v>
      </c>
      <c r="AW14" s="73" t="e">
        <f xml:space="preserve"> _xlfn.TEXTJOIN(" ", FALSE,#REF!)</f>
        <v>#REF!</v>
      </c>
      <c r="AX14" s="122"/>
      <c r="AY14" s="71" t="s">
        <v>254</v>
      </c>
      <c r="AZ14" s="72" t="e">
        <f xml:space="preserve"> _xlfn.TEXTJOIN(" ", FALSE,#REF!)</f>
        <v>#REF!</v>
      </c>
      <c r="BA14" s="122"/>
      <c r="BB14" s="71" t="s">
        <v>255</v>
      </c>
      <c r="BC14" s="72" t="e">
        <f xml:space="preserve"> _xlfn.TEXTJOIN(" ", FALSE,#REF!)</f>
        <v>#REF!</v>
      </c>
      <c r="BD14" s="122"/>
      <c r="BE14" s="71" t="s">
        <v>256</v>
      </c>
      <c r="BF14" s="72" t="e">
        <f xml:space="preserve"> _xlfn.TEXTJOIN(" ", FALSE,#REF!)</f>
        <v>#REF!</v>
      </c>
      <c r="BG14" s="65" t="s">
        <v>277</v>
      </c>
      <c r="BH14" s="70" t="e">
        <f t="shared" si="1"/>
        <v>#REF!</v>
      </c>
      <c r="BI14" s="64" t="s">
        <v>257</v>
      </c>
      <c r="BJ14" s="122"/>
      <c r="BK14" s="71" t="s">
        <v>258</v>
      </c>
      <c r="BL14" s="74" t="str">
        <f>_xlfn.TEXTJOIN(" ", FALSE, 'Task 2a - Mitigating the Proble'!U14:AC14)</f>
        <v xml:space="preserve">1 0 0 0 0 1 0 0 </v>
      </c>
      <c r="BM14" s="65" t="s">
        <v>277</v>
      </c>
      <c r="BN14" s="70" t="str">
        <f t="shared" si="2"/>
        <v>[Details for Task 2a:]  /Question 12: 1 0 0 0 0 1 0 0  .</v>
      </c>
      <c r="BO14" s="64" t="s">
        <v>259</v>
      </c>
      <c r="BP14" s="122"/>
      <c r="BQ14" s="71" t="s">
        <v>260</v>
      </c>
      <c r="BR14" s="73" t="e">
        <f xml:space="preserve"> _xlfn.TEXTJOIN(" ", FALSE,#REF!)</f>
        <v>#REF!</v>
      </c>
      <c r="BS14" s="122"/>
      <c r="BT14" s="71" t="s">
        <v>261</v>
      </c>
      <c r="BU14" s="73" t="e">
        <f xml:space="preserve"> _xlfn.TEXTJOIN(" ", FALSE,#REF!)</f>
        <v>#REF!</v>
      </c>
      <c r="BV14" s="122"/>
      <c r="BW14" s="71" t="s">
        <v>262</v>
      </c>
      <c r="BX14" s="73" t="e">
        <f xml:space="preserve"> _xlfn.TEXTJOIN(" ", FALSE,#REF!)</f>
        <v>#REF!</v>
      </c>
      <c r="BY14" s="122"/>
      <c r="BZ14" s="71" t="s">
        <v>263</v>
      </c>
      <c r="CA14" s="73" t="e">
        <f xml:space="preserve"> _xlfn.TEXTJOIN(" ", FALSE,#REF!)</f>
        <v>#REF!</v>
      </c>
      <c r="CB14" s="122"/>
      <c r="CC14" s="71" t="s">
        <v>264</v>
      </c>
      <c r="CD14" s="73" t="e">
        <f xml:space="preserve"> _xlfn.TEXTJOIN(" ", FALSE,#REF!)</f>
        <v>#REF!</v>
      </c>
      <c r="CE14" s="122"/>
      <c r="CF14" s="71" t="s">
        <v>265</v>
      </c>
      <c r="CG14" s="73" t="e">
        <f xml:space="preserve"> _xlfn.TEXTJOIN(" ", FALSE,#REF!)</f>
        <v>#REF!</v>
      </c>
      <c r="CH14" s="122"/>
      <c r="CI14" s="74" t="s">
        <v>278</v>
      </c>
      <c r="CJ14" s="73" t="e">
        <f xml:space="preserve"> _xlfn.TEXTJOIN(" ", FALSE,#REF!)</f>
        <v>#REF!</v>
      </c>
      <c r="CK14" s="65" t="s">
        <v>277</v>
      </c>
      <c r="CL14" s="70" t="e">
        <f t="shared" si="3"/>
        <v>#REF!</v>
      </c>
      <c r="CM14" s="64" t="s">
        <v>267</v>
      </c>
      <c r="CN14" s="122"/>
      <c r="CO14" s="71" t="s">
        <v>268</v>
      </c>
      <c r="CP14" s="73" t="e">
        <f xml:space="preserve"> _xlfn.TEXTJOIN(" ", FALSE,#REF!)</f>
        <v>#REF!</v>
      </c>
      <c r="CQ14" s="122"/>
      <c r="CR14" s="71" t="s">
        <v>269</v>
      </c>
      <c r="CS14" s="73" t="e">
        <f xml:space="preserve"> _xlfn.TEXTJOIN(" ", FALSE,#REF!)</f>
        <v>#REF!</v>
      </c>
      <c r="CT14" s="122"/>
      <c r="CU14" s="71" t="s">
        <v>270</v>
      </c>
      <c r="CV14" s="72" t="e">
        <f xml:space="preserve"> _xlfn.TEXTJOIN(" ", FALSE,#REF!)</f>
        <v>#REF!</v>
      </c>
      <c r="CW14" s="122"/>
      <c r="CX14" s="71" t="s">
        <v>271</v>
      </c>
      <c r="CY14" s="72" t="e">
        <f xml:space="preserve"> _xlfn.TEXTJOIN(" ", FALSE,#REF!)</f>
        <v>#REF!</v>
      </c>
      <c r="CZ14" s="122"/>
      <c r="DA14" s="71" t="s">
        <v>272</v>
      </c>
      <c r="DB14" s="73" t="e">
        <f xml:space="preserve"> _xlfn.TEXTJOIN(" ", FALSE,#REF!)</f>
        <v>#REF!</v>
      </c>
      <c r="DC14" s="65" t="s">
        <v>277</v>
      </c>
      <c r="DD14" s="70" t="e">
        <f t="shared" si="4"/>
        <v>#REF!</v>
      </c>
      <c r="DE14" s="64" t="s">
        <v>273</v>
      </c>
      <c r="DF14" s="122"/>
      <c r="DG14" s="71" t="s">
        <v>274</v>
      </c>
      <c r="DH14" s="72" t="e">
        <f xml:space="preserve"> _xlfn.TEXTJOIN(" ", FALSE,#REF!)</f>
        <v>#REF!</v>
      </c>
      <c r="DI14" s="122"/>
      <c r="DJ14" s="71" t="s">
        <v>275</v>
      </c>
      <c r="DK14" s="73" t="e">
        <f xml:space="preserve"> _xlfn.TEXTJOIN(" ", FALSE,#REF!)</f>
        <v>#REF!</v>
      </c>
      <c r="DL14" s="65" t="s">
        <v>277</v>
      </c>
      <c r="DM14" s="70" t="e">
        <f t="shared" si="5"/>
        <v>#REF!</v>
      </c>
      <c r="DN14" s="70" t="e">
        <f t="shared" si="6"/>
        <v>#REF!</v>
      </c>
    </row>
    <row r="15" spans="1:118" ht="108" customHeight="1">
      <c r="A15" s="122" t="e">
        <f>Summary!A15</f>
        <v>#REF!</v>
      </c>
      <c r="B15" s="64" t="s">
        <v>233</v>
      </c>
      <c r="C15" s="65" t="e">
        <f>Summary!B15</f>
        <v>#REF!</v>
      </c>
      <c r="D15" s="122"/>
      <c r="E15" s="64" t="s">
        <v>235</v>
      </c>
      <c r="F15" s="132" t="e">
        <f>Summary!C15</f>
        <v>#REF!</v>
      </c>
      <c r="G15" s="64" t="s">
        <v>236</v>
      </c>
      <c r="H15" s="132" t="e">
        <f>Summary!D15</f>
        <v>#REF!</v>
      </c>
      <c r="I15" s="64" t="s">
        <v>237</v>
      </c>
      <c r="J15" s="66">
        <f>Summary!E15</f>
        <v>5</v>
      </c>
      <c r="K15" s="64" t="s">
        <v>238</v>
      </c>
      <c r="L15" s="132" t="e">
        <f>Summary!F15</f>
        <v>#REF!</v>
      </c>
      <c r="M15" s="64" t="s">
        <v>239</v>
      </c>
      <c r="N15" s="132" t="e">
        <f>Summary!G15</f>
        <v>#REF!</v>
      </c>
      <c r="O15" s="64" t="s">
        <v>240</v>
      </c>
      <c r="P15" s="132" t="e">
        <f>Summary!H15</f>
        <v>#REF!</v>
      </c>
      <c r="Q15" s="65" t="s">
        <v>277</v>
      </c>
      <c r="R15" s="70" t="e">
        <f t="shared" si="0"/>
        <v>#REF!</v>
      </c>
      <c r="S15" s="64" t="s">
        <v>243</v>
      </c>
      <c r="T15" s="122"/>
      <c r="U15" s="71" t="s">
        <v>244</v>
      </c>
      <c r="V15" s="72" t="e">
        <f xml:space="preserve"> _xlfn.TEXTJOIN(" ", FALSE,#REF!)</f>
        <v>#REF!</v>
      </c>
      <c r="W15" s="122"/>
      <c r="X15" s="71" t="s">
        <v>245</v>
      </c>
      <c r="Y15" s="72" t="e">
        <f xml:space="preserve"> _xlfn.TEXTJOIN(" ", FALSE,#REF!)</f>
        <v>#REF!</v>
      </c>
      <c r="Z15" s="122"/>
      <c r="AA15" s="71" t="s">
        <v>246</v>
      </c>
      <c r="AB15" s="72" t="e">
        <f xml:space="preserve"> _xlfn.TEXTJOIN(" ", FALSE,#REF!)</f>
        <v>#REF!</v>
      </c>
      <c r="AC15" s="122"/>
      <c r="AD15" s="71" t="s">
        <v>247</v>
      </c>
      <c r="AE15" s="72" t="e">
        <f xml:space="preserve"> _xlfn.TEXTJOIN(" ", FALSE,#REF!)</f>
        <v>#REF!</v>
      </c>
      <c r="AF15" s="122"/>
      <c r="AG15" s="71" t="s">
        <v>248</v>
      </c>
      <c r="AH15" s="73" t="e">
        <f xml:space="preserve"> _xlfn.TEXTJOIN(" ", FALSE,#REF!)</f>
        <v>#REF!</v>
      </c>
      <c r="AI15" s="122"/>
      <c r="AJ15" s="71" t="s">
        <v>249</v>
      </c>
      <c r="AK15" s="73" t="e">
        <f xml:space="preserve"> _xlfn.TEXTJOIN(" ", FALSE,#REF!)</f>
        <v>#REF!</v>
      </c>
      <c r="AL15" s="122"/>
      <c r="AM15" s="71" t="s">
        <v>250</v>
      </c>
      <c r="AN15" s="73" t="e">
        <f xml:space="preserve"> _xlfn.TEXTJOIN(" ", FALSE,#REF!)</f>
        <v>#REF!</v>
      </c>
      <c r="AO15" s="122"/>
      <c r="AP15" s="71" t="s">
        <v>251</v>
      </c>
      <c r="AQ15" s="72" t="e">
        <f xml:space="preserve"> _xlfn.TEXTJOIN(" ", FALSE,#REF!)</f>
        <v>#REF!</v>
      </c>
      <c r="AR15" s="122"/>
      <c r="AS15" s="71" t="s">
        <v>252</v>
      </c>
      <c r="AT15" s="72" t="e">
        <f xml:space="preserve"> _xlfn.TEXTJOIN(" ", FALSE,#REF!)</f>
        <v>#REF!</v>
      </c>
      <c r="AU15" s="122"/>
      <c r="AV15" s="71" t="s">
        <v>253</v>
      </c>
      <c r="AW15" s="73" t="e">
        <f xml:space="preserve"> _xlfn.TEXTJOIN(" ", FALSE,#REF!)</f>
        <v>#REF!</v>
      </c>
      <c r="AX15" s="122"/>
      <c r="AY15" s="71" t="s">
        <v>254</v>
      </c>
      <c r="AZ15" s="72" t="e">
        <f xml:space="preserve"> _xlfn.TEXTJOIN(" ", FALSE,#REF!)</f>
        <v>#REF!</v>
      </c>
      <c r="BA15" s="122"/>
      <c r="BB15" s="71" t="s">
        <v>255</v>
      </c>
      <c r="BC15" s="72" t="e">
        <f xml:space="preserve"> _xlfn.TEXTJOIN(" ", FALSE,#REF!)</f>
        <v>#REF!</v>
      </c>
      <c r="BD15" s="122"/>
      <c r="BE15" s="71" t="s">
        <v>256</v>
      </c>
      <c r="BF15" s="72" t="e">
        <f xml:space="preserve"> _xlfn.TEXTJOIN(" ", FALSE,#REF!)</f>
        <v>#REF!</v>
      </c>
      <c r="BG15" s="65" t="s">
        <v>277</v>
      </c>
      <c r="BH15" s="70" t="e">
        <f t="shared" si="1"/>
        <v>#REF!</v>
      </c>
      <c r="BI15" s="64" t="s">
        <v>257</v>
      </c>
      <c r="BJ15" s="122"/>
      <c r="BK15" s="71" t="s">
        <v>258</v>
      </c>
      <c r="BL15" s="74" t="str">
        <f>_xlfn.TEXTJOIN(" ", FALSE, 'Task 2a - Mitigating the Proble'!U15:AC15)</f>
        <v xml:space="preserve">1 0 0 0 0 1 0 0 </v>
      </c>
      <c r="BM15" s="65" t="s">
        <v>277</v>
      </c>
      <c r="BN15" s="70" t="str">
        <f t="shared" si="2"/>
        <v>[Details for Task 2a:]  /Question 12: 1 0 0 0 0 1 0 0  .</v>
      </c>
      <c r="BO15" s="64" t="s">
        <v>259</v>
      </c>
      <c r="BP15" s="122"/>
      <c r="BQ15" s="71" t="s">
        <v>260</v>
      </c>
      <c r="BR15" s="73" t="e">
        <f xml:space="preserve"> _xlfn.TEXTJOIN(" ", FALSE,#REF!)</f>
        <v>#REF!</v>
      </c>
      <c r="BS15" s="122"/>
      <c r="BT15" s="71" t="s">
        <v>261</v>
      </c>
      <c r="BU15" s="73" t="e">
        <f xml:space="preserve"> _xlfn.TEXTJOIN(" ", FALSE,#REF!)</f>
        <v>#REF!</v>
      </c>
      <c r="BV15" s="122"/>
      <c r="BW15" s="71" t="s">
        <v>262</v>
      </c>
      <c r="BX15" s="73" t="e">
        <f xml:space="preserve"> _xlfn.TEXTJOIN(" ", FALSE,#REF!)</f>
        <v>#REF!</v>
      </c>
      <c r="BY15" s="122"/>
      <c r="BZ15" s="71" t="s">
        <v>263</v>
      </c>
      <c r="CA15" s="73" t="e">
        <f xml:space="preserve"> _xlfn.TEXTJOIN(" ", FALSE,#REF!)</f>
        <v>#REF!</v>
      </c>
      <c r="CB15" s="122"/>
      <c r="CC15" s="71" t="s">
        <v>264</v>
      </c>
      <c r="CD15" s="73" t="e">
        <f xml:space="preserve"> _xlfn.TEXTJOIN(" ", FALSE,#REF!)</f>
        <v>#REF!</v>
      </c>
      <c r="CE15" s="122"/>
      <c r="CF15" s="71" t="s">
        <v>265</v>
      </c>
      <c r="CG15" s="73" t="e">
        <f xml:space="preserve"> _xlfn.TEXTJOIN(" ", FALSE,#REF!)</f>
        <v>#REF!</v>
      </c>
      <c r="CH15" s="122"/>
      <c r="CI15" s="74" t="s">
        <v>278</v>
      </c>
      <c r="CJ15" s="73" t="e">
        <f xml:space="preserve"> _xlfn.TEXTJOIN(" ", FALSE,#REF!)</f>
        <v>#REF!</v>
      </c>
      <c r="CK15" s="65" t="s">
        <v>277</v>
      </c>
      <c r="CL15" s="70" t="e">
        <f t="shared" si="3"/>
        <v>#REF!</v>
      </c>
      <c r="CM15" s="64" t="s">
        <v>267</v>
      </c>
      <c r="CN15" s="122"/>
      <c r="CO15" s="71" t="s">
        <v>268</v>
      </c>
      <c r="CP15" s="73" t="e">
        <f xml:space="preserve"> _xlfn.TEXTJOIN(" ", FALSE,#REF!)</f>
        <v>#REF!</v>
      </c>
      <c r="CQ15" s="122"/>
      <c r="CR15" s="71" t="s">
        <v>269</v>
      </c>
      <c r="CS15" s="73" t="e">
        <f xml:space="preserve"> _xlfn.TEXTJOIN(" ", FALSE,#REF!)</f>
        <v>#REF!</v>
      </c>
      <c r="CT15" s="122"/>
      <c r="CU15" s="71" t="s">
        <v>270</v>
      </c>
      <c r="CV15" s="72" t="e">
        <f xml:space="preserve"> _xlfn.TEXTJOIN(" ", FALSE,#REF!)</f>
        <v>#REF!</v>
      </c>
      <c r="CW15" s="122"/>
      <c r="CX15" s="71" t="s">
        <v>271</v>
      </c>
      <c r="CY15" s="72" t="e">
        <f xml:space="preserve"> _xlfn.TEXTJOIN(" ", FALSE,#REF!)</f>
        <v>#REF!</v>
      </c>
      <c r="CZ15" s="122"/>
      <c r="DA15" s="71" t="s">
        <v>272</v>
      </c>
      <c r="DB15" s="73" t="e">
        <f xml:space="preserve"> _xlfn.TEXTJOIN(" ", FALSE,#REF!)</f>
        <v>#REF!</v>
      </c>
      <c r="DC15" s="65" t="s">
        <v>277</v>
      </c>
      <c r="DD15" s="70" t="e">
        <f t="shared" si="4"/>
        <v>#REF!</v>
      </c>
      <c r="DE15" s="64" t="s">
        <v>273</v>
      </c>
      <c r="DF15" s="122"/>
      <c r="DG15" s="71" t="s">
        <v>274</v>
      </c>
      <c r="DH15" s="72" t="e">
        <f xml:space="preserve"> _xlfn.TEXTJOIN(" ", FALSE,#REF!)</f>
        <v>#REF!</v>
      </c>
      <c r="DI15" s="122"/>
      <c r="DJ15" s="71" t="s">
        <v>275</v>
      </c>
      <c r="DK15" s="73" t="e">
        <f xml:space="preserve"> _xlfn.TEXTJOIN(" ", FALSE,#REF!)</f>
        <v>#REF!</v>
      </c>
      <c r="DL15" s="65" t="s">
        <v>277</v>
      </c>
      <c r="DM15" s="70" t="e">
        <f t="shared" si="5"/>
        <v>#REF!</v>
      </c>
      <c r="DN15" s="70" t="e">
        <f t="shared" si="6"/>
        <v>#REF!</v>
      </c>
    </row>
    <row r="16" spans="1:118" ht="108" customHeight="1">
      <c r="A16" s="122" t="e">
        <f>Summary!A16</f>
        <v>#REF!</v>
      </c>
      <c r="B16" s="64" t="s">
        <v>233</v>
      </c>
      <c r="C16" s="65" t="e">
        <f>Summary!B16</f>
        <v>#REF!</v>
      </c>
      <c r="D16" s="122"/>
      <c r="E16" s="64" t="s">
        <v>235</v>
      </c>
      <c r="F16" s="132" t="e">
        <f>Summary!C16</f>
        <v>#REF!</v>
      </c>
      <c r="G16" s="64" t="s">
        <v>236</v>
      </c>
      <c r="H16" s="132" t="e">
        <f>Summary!D16</f>
        <v>#REF!</v>
      </c>
      <c r="I16" s="64" t="s">
        <v>237</v>
      </c>
      <c r="J16" s="66">
        <f>Summary!E16</f>
        <v>6</v>
      </c>
      <c r="K16" s="64" t="s">
        <v>238</v>
      </c>
      <c r="L16" s="132" t="e">
        <f>Summary!F16</f>
        <v>#REF!</v>
      </c>
      <c r="M16" s="64" t="s">
        <v>239</v>
      </c>
      <c r="N16" s="132" t="e">
        <f>Summary!G16</f>
        <v>#REF!</v>
      </c>
      <c r="O16" s="64" t="s">
        <v>240</v>
      </c>
      <c r="P16" s="132" t="e">
        <f>Summary!H16</f>
        <v>#REF!</v>
      </c>
      <c r="Q16" s="65" t="s">
        <v>277</v>
      </c>
      <c r="R16" s="70" t="e">
        <f t="shared" si="0"/>
        <v>#REF!</v>
      </c>
      <c r="S16" s="64" t="s">
        <v>243</v>
      </c>
      <c r="T16" s="122"/>
      <c r="U16" s="71" t="s">
        <v>244</v>
      </c>
      <c r="V16" s="72" t="e">
        <f xml:space="preserve"> _xlfn.TEXTJOIN(" ", FALSE,#REF!)</f>
        <v>#REF!</v>
      </c>
      <c r="W16" s="122"/>
      <c r="X16" s="71" t="s">
        <v>245</v>
      </c>
      <c r="Y16" s="72" t="e">
        <f xml:space="preserve"> _xlfn.TEXTJOIN(" ", FALSE,#REF!)</f>
        <v>#REF!</v>
      </c>
      <c r="Z16" s="122"/>
      <c r="AA16" s="71" t="s">
        <v>246</v>
      </c>
      <c r="AB16" s="72" t="e">
        <f xml:space="preserve"> _xlfn.TEXTJOIN(" ", FALSE,#REF!)</f>
        <v>#REF!</v>
      </c>
      <c r="AC16" s="122"/>
      <c r="AD16" s="71" t="s">
        <v>247</v>
      </c>
      <c r="AE16" s="72" t="e">
        <f xml:space="preserve"> _xlfn.TEXTJOIN(" ", FALSE,#REF!)</f>
        <v>#REF!</v>
      </c>
      <c r="AF16" s="122"/>
      <c r="AG16" s="71" t="s">
        <v>248</v>
      </c>
      <c r="AH16" s="73" t="e">
        <f xml:space="preserve"> _xlfn.TEXTJOIN(" ", FALSE,#REF!)</f>
        <v>#REF!</v>
      </c>
      <c r="AI16" s="122"/>
      <c r="AJ16" s="71" t="s">
        <v>249</v>
      </c>
      <c r="AK16" s="73" t="e">
        <f xml:space="preserve"> _xlfn.TEXTJOIN(" ", FALSE,#REF!)</f>
        <v>#REF!</v>
      </c>
      <c r="AL16" s="122"/>
      <c r="AM16" s="71" t="s">
        <v>250</v>
      </c>
      <c r="AN16" s="73" t="e">
        <f xml:space="preserve"> _xlfn.TEXTJOIN(" ", FALSE,#REF!)</f>
        <v>#REF!</v>
      </c>
      <c r="AO16" s="122"/>
      <c r="AP16" s="71" t="s">
        <v>251</v>
      </c>
      <c r="AQ16" s="72" t="e">
        <f xml:space="preserve"> _xlfn.TEXTJOIN(" ", FALSE,#REF!)</f>
        <v>#REF!</v>
      </c>
      <c r="AR16" s="122"/>
      <c r="AS16" s="71" t="s">
        <v>252</v>
      </c>
      <c r="AT16" s="72" t="e">
        <f xml:space="preserve"> _xlfn.TEXTJOIN(" ", FALSE,#REF!)</f>
        <v>#REF!</v>
      </c>
      <c r="AU16" s="122"/>
      <c r="AV16" s="71" t="s">
        <v>253</v>
      </c>
      <c r="AW16" s="73" t="e">
        <f xml:space="preserve"> _xlfn.TEXTJOIN(" ", FALSE,#REF!)</f>
        <v>#REF!</v>
      </c>
      <c r="AX16" s="122"/>
      <c r="AY16" s="71" t="s">
        <v>254</v>
      </c>
      <c r="AZ16" s="72" t="e">
        <f xml:space="preserve"> _xlfn.TEXTJOIN(" ", FALSE,#REF!)</f>
        <v>#REF!</v>
      </c>
      <c r="BA16" s="122"/>
      <c r="BB16" s="71" t="s">
        <v>255</v>
      </c>
      <c r="BC16" s="72" t="e">
        <f xml:space="preserve"> _xlfn.TEXTJOIN(" ", FALSE,#REF!)</f>
        <v>#REF!</v>
      </c>
      <c r="BD16" s="122"/>
      <c r="BE16" s="71" t="s">
        <v>256</v>
      </c>
      <c r="BF16" s="72" t="e">
        <f xml:space="preserve"> _xlfn.TEXTJOIN(" ", FALSE,#REF!)</f>
        <v>#REF!</v>
      </c>
      <c r="BG16" s="65" t="s">
        <v>277</v>
      </c>
      <c r="BH16" s="70" t="e">
        <f t="shared" si="1"/>
        <v>#REF!</v>
      </c>
      <c r="BI16" s="64" t="s">
        <v>257</v>
      </c>
      <c r="BJ16" s="122"/>
      <c r="BK16" s="71" t="s">
        <v>258</v>
      </c>
      <c r="BL16" s="74" t="str">
        <f>_xlfn.TEXTJOIN(" ", FALSE, 'Task 2a - Mitigating the Proble'!U16:AC16)</f>
        <v xml:space="preserve">1 1 0 0 0 1 0 0 </v>
      </c>
      <c r="BM16" s="65" t="s">
        <v>277</v>
      </c>
      <c r="BN16" s="70" t="str">
        <f t="shared" si="2"/>
        <v>[Details for Task 2a:]  /Question 12: 1 1 0 0 0 1 0 0  .</v>
      </c>
      <c r="BO16" s="64" t="s">
        <v>259</v>
      </c>
      <c r="BP16" s="122"/>
      <c r="BQ16" s="71" t="s">
        <v>260</v>
      </c>
      <c r="BR16" s="73" t="e">
        <f xml:space="preserve"> _xlfn.TEXTJOIN(" ", FALSE,#REF!)</f>
        <v>#REF!</v>
      </c>
      <c r="BS16" s="122"/>
      <c r="BT16" s="71" t="s">
        <v>261</v>
      </c>
      <c r="BU16" s="73" t="e">
        <f xml:space="preserve"> _xlfn.TEXTJOIN(" ", FALSE,#REF!)</f>
        <v>#REF!</v>
      </c>
      <c r="BV16" s="122"/>
      <c r="BW16" s="71" t="s">
        <v>262</v>
      </c>
      <c r="BX16" s="73" t="e">
        <f xml:space="preserve"> _xlfn.TEXTJOIN(" ", FALSE,#REF!)</f>
        <v>#REF!</v>
      </c>
      <c r="BY16" s="122"/>
      <c r="BZ16" s="71" t="s">
        <v>263</v>
      </c>
      <c r="CA16" s="73" t="e">
        <f xml:space="preserve"> _xlfn.TEXTJOIN(" ", FALSE,#REF!)</f>
        <v>#REF!</v>
      </c>
      <c r="CB16" s="122"/>
      <c r="CC16" s="71" t="s">
        <v>264</v>
      </c>
      <c r="CD16" s="73" t="e">
        <f xml:space="preserve"> _xlfn.TEXTJOIN(" ", FALSE,#REF!)</f>
        <v>#REF!</v>
      </c>
      <c r="CE16" s="122"/>
      <c r="CF16" s="71" t="s">
        <v>265</v>
      </c>
      <c r="CG16" s="73" t="e">
        <f xml:space="preserve"> _xlfn.TEXTJOIN(" ", FALSE,#REF!)</f>
        <v>#REF!</v>
      </c>
      <c r="CH16" s="122"/>
      <c r="CI16" s="74" t="s">
        <v>278</v>
      </c>
      <c r="CJ16" s="73" t="e">
        <f xml:space="preserve"> _xlfn.TEXTJOIN(" ", FALSE,#REF!)</f>
        <v>#REF!</v>
      </c>
      <c r="CK16" s="65" t="s">
        <v>277</v>
      </c>
      <c r="CL16" s="70" t="e">
        <f t="shared" si="3"/>
        <v>#REF!</v>
      </c>
      <c r="CM16" s="64" t="s">
        <v>267</v>
      </c>
      <c r="CN16" s="122"/>
      <c r="CO16" s="71" t="s">
        <v>268</v>
      </c>
      <c r="CP16" s="73" t="e">
        <f xml:space="preserve"> _xlfn.TEXTJOIN(" ", FALSE,#REF!)</f>
        <v>#REF!</v>
      </c>
      <c r="CQ16" s="122"/>
      <c r="CR16" s="71" t="s">
        <v>269</v>
      </c>
      <c r="CS16" s="73" t="e">
        <f xml:space="preserve"> _xlfn.TEXTJOIN(" ", FALSE,#REF!)</f>
        <v>#REF!</v>
      </c>
      <c r="CT16" s="122"/>
      <c r="CU16" s="71" t="s">
        <v>270</v>
      </c>
      <c r="CV16" s="72" t="e">
        <f xml:space="preserve"> _xlfn.TEXTJOIN(" ", FALSE,#REF!)</f>
        <v>#REF!</v>
      </c>
      <c r="CW16" s="122"/>
      <c r="CX16" s="71" t="s">
        <v>271</v>
      </c>
      <c r="CY16" s="72" t="e">
        <f xml:space="preserve"> _xlfn.TEXTJOIN(" ", FALSE,#REF!)</f>
        <v>#REF!</v>
      </c>
      <c r="CZ16" s="122"/>
      <c r="DA16" s="71" t="s">
        <v>272</v>
      </c>
      <c r="DB16" s="73" t="e">
        <f xml:space="preserve"> _xlfn.TEXTJOIN(" ", FALSE,#REF!)</f>
        <v>#REF!</v>
      </c>
      <c r="DC16" s="65" t="s">
        <v>277</v>
      </c>
      <c r="DD16" s="70" t="e">
        <f t="shared" si="4"/>
        <v>#REF!</v>
      </c>
      <c r="DE16" s="64" t="s">
        <v>273</v>
      </c>
      <c r="DF16" s="122"/>
      <c r="DG16" s="71" t="s">
        <v>274</v>
      </c>
      <c r="DH16" s="72" t="e">
        <f xml:space="preserve"> _xlfn.TEXTJOIN(" ", FALSE,#REF!)</f>
        <v>#REF!</v>
      </c>
      <c r="DI16" s="122"/>
      <c r="DJ16" s="71" t="s">
        <v>275</v>
      </c>
      <c r="DK16" s="73" t="e">
        <f xml:space="preserve"> _xlfn.TEXTJOIN(" ", FALSE,#REF!)</f>
        <v>#REF!</v>
      </c>
      <c r="DL16" s="65" t="s">
        <v>277</v>
      </c>
      <c r="DM16" s="70" t="e">
        <f t="shared" si="5"/>
        <v>#REF!</v>
      </c>
      <c r="DN16" s="70" t="e">
        <f t="shared" si="6"/>
        <v>#REF!</v>
      </c>
    </row>
    <row r="17" spans="1:118" ht="108" customHeight="1">
      <c r="A17" s="122" t="e">
        <f>Summary!A17</f>
        <v>#REF!</v>
      </c>
      <c r="B17" s="64" t="s">
        <v>233</v>
      </c>
      <c r="C17" s="65" t="e">
        <f>Summary!B17</f>
        <v>#REF!</v>
      </c>
      <c r="D17" s="122"/>
      <c r="E17" s="64" t="s">
        <v>235</v>
      </c>
      <c r="F17" s="132">
        <f>Summary!C17</f>
        <v>40</v>
      </c>
      <c r="G17" s="64" t="s">
        <v>236</v>
      </c>
      <c r="H17" s="132" t="e">
        <f>Summary!D17</f>
        <v>#REF!</v>
      </c>
      <c r="I17" s="64" t="s">
        <v>237</v>
      </c>
      <c r="J17" s="66">
        <f>Summary!E17</f>
        <v>5</v>
      </c>
      <c r="K17" s="64" t="s">
        <v>238</v>
      </c>
      <c r="L17" s="132" t="e">
        <f>Summary!F17</f>
        <v>#REF!</v>
      </c>
      <c r="M17" s="64" t="s">
        <v>239</v>
      </c>
      <c r="N17" s="132" t="e">
        <f>Summary!G17</f>
        <v>#REF!</v>
      </c>
      <c r="O17" s="64" t="s">
        <v>240</v>
      </c>
      <c r="P17" s="132" t="e">
        <f>Summary!H17</f>
        <v>#REF!</v>
      </c>
      <c r="Q17" s="65" t="s">
        <v>277</v>
      </c>
      <c r="R17" s="70" t="e">
        <f t="shared" si="0"/>
        <v>#REF!</v>
      </c>
      <c r="S17" s="64" t="s">
        <v>243</v>
      </c>
      <c r="T17" s="122"/>
      <c r="U17" s="71" t="s">
        <v>244</v>
      </c>
      <c r="V17" s="72" t="e">
        <f xml:space="preserve"> _xlfn.TEXTJOIN(" ", FALSE,#REF!)</f>
        <v>#REF!</v>
      </c>
      <c r="W17" s="122"/>
      <c r="X17" s="71" t="s">
        <v>245</v>
      </c>
      <c r="Y17" s="72" t="e">
        <f xml:space="preserve"> _xlfn.TEXTJOIN(" ", FALSE,#REF!)</f>
        <v>#REF!</v>
      </c>
      <c r="Z17" s="122"/>
      <c r="AA17" s="71" t="s">
        <v>246</v>
      </c>
      <c r="AB17" s="72" t="e">
        <f xml:space="preserve"> _xlfn.TEXTJOIN(" ", FALSE,#REF!)</f>
        <v>#REF!</v>
      </c>
      <c r="AC17" s="122"/>
      <c r="AD17" s="71" t="s">
        <v>247</v>
      </c>
      <c r="AE17" s="72" t="e">
        <f xml:space="preserve"> _xlfn.TEXTJOIN(" ", FALSE,#REF!)</f>
        <v>#REF!</v>
      </c>
      <c r="AF17" s="122"/>
      <c r="AG17" s="71" t="s">
        <v>248</v>
      </c>
      <c r="AH17" s="73" t="e">
        <f xml:space="preserve"> _xlfn.TEXTJOIN(" ", FALSE,#REF!)</f>
        <v>#REF!</v>
      </c>
      <c r="AI17" s="122"/>
      <c r="AJ17" s="71" t="s">
        <v>249</v>
      </c>
      <c r="AK17" s="73" t="e">
        <f xml:space="preserve"> _xlfn.TEXTJOIN(" ", FALSE,#REF!)</f>
        <v>#REF!</v>
      </c>
      <c r="AL17" s="122"/>
      <c r="AM17" s="71" t="s">
        <v>250</v>
      </c>
      <c r="AN17" s="73" t="e">
        <f xml:space="preserve"> _xlfn.TEXTJOIN(" ", FALSE,#REF!)</f>
        <v>#REF!</v>
      </c>
      <c r="AO17" s="122"/>
      <c r="AP17" s="71" t="s">
        <v>251</v>
      </c>
      <c r="AQ17" s="72" t="e">
        <f xml:space="preserve"> _xlfn.TEXTJOIN(" ", FALSE,#REF!)</f>
        <v>#REF!</v>
      </c>
      <c r="AR17" s="122"/>
      <c r="AS17" s="71" t="s">
        <v>252</v>
      </c>
      <c r="AT17" s="72" t="e">
        <f xml:space="preserve"> _xlfn.TEXTJOIN(" ", FALSE,#REF!)</f>
        <v>#REF!</v>
      </c>
      <c r="AU17" s="122"/>
      <c r="AV17" s="71" t="s">
        <v>253</v>
      </c>
      <c r="AW17" s="73" t="e">
        <f xml:space="preserve"> _xlfn.TEXTJOIN(" ", FALSE,#REF!)</f>
        <v>#REF!</v>
      </c>
      <c r="AX17" s="122"/>
      <c r="AY17" s="71" t="s">
        <v>254</v>
      </c>
      <c r="AZ17" s="72" t="e">
        <f xml:space="preserve"> _xlfn.TEXTJOIN(" ", FALSE,#REF!)</f>
        <v>#REF!</v>
      </c>
      <c r="BA17" s="122"/>
      <c r="BB17" s="71" t="s">
        <v>255</v>
      </c>
      <c r="BC17" s="72" t="e">
        <f xml:space="preserve"> _xlfn.TEXTJOIN(" ", FALSE,#REF!)</f>
        <v>#REF!</v>
      </c>
      <c r="BD17" s="122"/>
      <c r="BE17" s="71" t="s">
        <v>256</v>
      </c>
      <c r="BF17" s="72" t="e">
        <f xml:space="preserve"> _xlfn.TEXTJOIN(" ", FALSE,#REF!)</f>
        <v>#REF!</v>
      </c>
      <c r="BG17" s="65" t="s">
        <v>277</v>
      </c>
      <c r="BH17" s="70" t="e">
        <f t="shared" si="1"/>
        <v>#REF!</v>
      </c>
      <c r="BI17" s="64" t="s">
        <v>257</v>
      </c>
      <c r="BJ17" s="122"/>
      <c r="BK17" s="71" t="s">
        <v>258</v>
      </c>
      <c r="BL17" s="74" t="str">
        <f>_xlfn.TEXTJOIN(" ", FALSE, 'Task 2a - Mitigating the Proble'!U17:AC17)</f>
        <v xml:space="preserve">1 0 0 0 0 1 0 0 </v>
      </c>
      <c r="BM17" s="65" t="s">
        <v>277</v>
      </c>
      <c r="BN17" s="70" t="str">
        <f t="shared" si="2"/>
        <v>[Details for Task 2a:]  /Question 12: 1 0 0 0 0 1 0 0  .</v>
      </c>
      <c r="BO17" s="64" t="s">
        <v>259</v>
      </c>
      <c r="BP17" s="122"/>
      <c r="BQ17" s="71" t="s">
        <v>260</v>
      </c>
      <c r="BR17" s="73" t="e">
        <f xml:space="preserve"> _xlfn.TEXTJOIN(" ", FALSE,#REF!)</f>
        <v>#REF!</v>
      </c>
      <c r="BS17" s="122"/>
      <c r="BT17" s="71" t="s">
        <v>261</v>
      </c>
      <c r="BU17" s="73" t="e">
        <f xml:space="preserve"> _xlfn.TEXTJOIN(" ", FALSE,#REF!)</f>
        <v>#REF!</v>
      </c>
      <c r="BV17" s="122"/>
      <c r="BW17" s="71" t="s">
        <v>262</v>
      </c>
      <c r="BX17" s="73" t="e">
        <f xml:space="preserve"> _xlfn.TEXTJOIN(" ", FALSE,#REF!)</f>
        <v>#REF!</v>
      </c>
      <c r="BY17" s="122"/>
      <c r="BZ17" s="71" t="s">
        <v>263</v>
      </c>
      <c r="CA17" s="73" t="e">
        <f xml:space="preserve"> _xlfn.TEXTJOIN(" ", FALSE,#REF!)</f>
        <v>#REF!</v>
      </c>
      <c r="CB17" s="122"/>
      <c r="CC17" s="71" t="s">
        <v>264</v>
      </c>
      <c r="CD17" s="73" t="e">
        <f xml:space="preserve"> _xlfn.TEXTJOIN(" ", FALSE,#REF!)</f>
        <v>#REF!</v>
      </c>
      <c r="CE17" s="122"/>
      <c r="CF17" s="71" t="s">
        <v>265</v>
      </c>
      <c r="CG17" s="73" t="e">
        <f xml:space="preserve"> _xlfn.TEXTJOIN(" ", FALSE,#REF!)</f>
        <v>#REF!</v>
      </c>
      <c r="CH17" s="122"/>
      <c r="CI17" s="74" t="s">
        <v>278</v>
      </c>
      <c r="CJ17" s="73" t="e">
        <f xml:space="preserve"> _xlfn.TEXTJOIN(" ", FALSE,#REF!)</f>
        <v>#REF!</v>
      </c>
      <c r="CK17" s="65" t="s">
        <v>277</v>
      </c>
      <c r="CL17" s="70" t="e">
        <f t="shared" si="3"/>
        <v>#REF!</v>
      </c>
      <c r="CM17" s="64" t="s">
        <v>267</v>
      </c>
      <c r="CN17" s="122"/>
      <c r="CO17" s="71" t="s">
        <v>268</v>
      </c>
      <c r="CP17" s="73" t="e">
        <f xml:space="preserve"> _xlfn.TEXTJOIN(" ", FALSE,#REF!)</f>
        <v>#REF!</v>
      </c>
      <c r="CQ17" s="122"/>
      <c r="CR17" s="71" t="s">
        <v>269</v>
      </c>
      <c r="CS17" s="73" t="e">
        <f xml:space="preserve"> _xlfn.TEXTJOIN(" ", FALSE,#REF!)</f>
        <v>#REF!</v>
      </c>
      <c r="CT17" s="122"/>
      <c r="CU17" s="71" t="s">
        <v>270</v>
      </c>
      <c r="CV17" s="72" t="e">
        <f xml:space="preserve"> _xlfn.TEXTJOIN(" ", FALSE,#REF!)</f>
        <v>#REF!</v>
      </c>
      <c r="CW17" s="122"/>
      <c r="CX17" s="71" t="s">
        <v>271</v>
      </c>
      <c r="CY17" s="72" t="e">
        <f xml:space="preserve"> _xlfn.TEXTJOIN(" ", FALSE,#REF!)</f>
        <v>#REF!</v>
      </c>
      <c r="CZ17" s="122"/>
      <c r="DA17" s="71" t="s">
        <v>272</v>
      </c>
      <c r="DB17" s="73" t="e">
        <f xml:space="preserve"> _xlfn.TEXTJOIN(" ", FALSE,#REF!)</f>
        <v>#REF!</v>
      </c>
      <c r="DC17" s="65" t="s">
        <v>277</v>
      </c>
      <c r="DD17" s="70" t="e">
        <f t="shared" si="4"/>
        <v>#REF!</v>
      </c>
      <c r="DE17" s="64" t="s">
        <v>273</v>
      </c>
      <c r="DF17" s="122"/>
      <c r="DG17" s="71" t="s">
        <v>274</v>
      </c>
      <c r="DH17" s="72" t="e">
        <f xml:space="preserve"> _xlfn.TEXTJOIN(" ", FALSE,#REF!)</f>
        <v>#REF!</v>
      </c>
      <c r="DI17" s="122"/>
      <c r="DJ17" s="71" t="s">
        <v>275</v>
      </c>
      <c r="DK17" s="73" t="e">
        <f xml:space="preserve"> _xlfn.TEXTJOIN(" ", FALSE,#REF!)</f>
        <v>#REF!</v>
      </c>
      <c r="DL17" s="65" t="s">
        <v>277</v>
      </c>
      <c r="DM17" s="70" t="e">
        <f t="shared" si="5"/>
        <v>#REF!</v>
      </c>
      <c r="DN17" s="70" t="e">
        <f t="shared" si="6"/>
        <v>#REF!</v>
      </c>
    </row>
    <row r="18" spans="1:118" ht="108" customHeight="1">
      <c r="A18" s="122" t="e">
        <f>Summary!A18</f>
        <v>#REF!</v>
      </c>
      <c r="B18" s="64" t="s">
        <v>233</v>
      </c>
      <c r="C18" s="65" t="e">
        <f>Summary!B18</f>
        <v>#REF!</v>
      </c>
      <c r="D18" s="122"/>
      <c r="E18" s="64" t="s">
        <v>235</v>
      </c>
      <c r="F18" s="132" t="e">
        <f>Summary!C18</f>
        <v>#REF!</v>
      </c>
      <c r="G18" s="64" t="s">
        <v>236</v>
      </c>
      <c r="H18" s="132" t="e">
        <f>Summary!D18</f>
        <v>#REF!</v>
      </c>
      <c r="I18" s="64" t="s">
        <v>237</v>
      </c>
      <c r="J18" s="66">
        <f>Summary!E18</f>
        <v>7</v>
      </c>
      <c r="K18" s="64" t="s">
        <v>238</v>
      </c>
      <c r="L18" s="132" t="e">
        <f>Summary!F18</f>
        <v>#REF!</v>
      </c>
      <c r="M18" s="64" t="s">
        <v>239</v>
      </c>
      <c r="N18" s="132" t="e">
        <f>Summary!G18</f>
        <v>#REF!</v>
      </c>
      <c r="O18" s="64" t="s">
        <v>240</v>
      </c>
      <c r="P18" s="132" t="e">
        <f>Summary!H18</f>
        <v>#REF!</v>
      </c>
      <c r="Q18" s="65" t="s">
        <v>277</v>
      </c>
      <c r="R18" s="70" t="e">
        <f t="shared" si="0"/>
        <v>#REF!</v>
      </c>
      <c r="S18" s="64" t="s">
        <v>243</v>
      </c>
      <c r="T18" s="122"/>
      <c r="U18" s="71" t="s">
        <v>244</v>
      </c>
      <c r="V18" s="72" t="e">
        <f xml:space="preserve"> _xlfn.TEXTJOIN(" ", FALSE,#REF!)</f>
        <v>#REF!</v>
      </c>
      <c r="W18" s="122"/>
      <c r="X18" s="71" t="s">
        <v>245</v>
      </c>
      <c r="Y18" s="72" t="e">
        <f xml:space="preserve"> _xlfn.TEXTJOIN(" ", FALSE,#REF!)</f>
        <v>#REF!</v>
      </c>
      <c r="Z18" s="122"/>
      <c r="AA18" s="71" t="s">
        <v>246</v>
      </c>
      <c r="AB18" s="72" t="e">
        <f xml:space="preserve"> _xlfn.TEXTJOIN(" ", FALSE,#REF!)</f>
        <v>#REF!</v>
      </c>
      <c r="AC18" s="122"/>
      <c r="AD18" s="71" t="s">
        <v>247</v>
      </c>
      <c r="AE18" s="72" t="e">
        <f xml:space="preserve"> _xlfn.TEXTJOIN(" ", FALSE,#REF!)</f>
        <v>#REF!</v>
      </c>
      <c r="AF18" s="122"/>
      <c r="AG18" s="71" t="s">
        <v>248</v>
      </c>
      <c r="AH18" s="73" t="e">
        <f xml:space="preserve"> _xlfn.TEXTJOIN(" ", FALSE,#REF!)</f>
        <v>#REF!</v>
      </c>
      <c r="AI18" s="122"/>
      <c r="AJ18" s="71" t="s">
        <v>249</v>
      </c>
      <c r="AK18" s="73" t="e">
        <f xml:space="preserve"> _xlfn.TEXTJOIN(" ", FALSE,#REF!)</f>
        <v>#REF!</v>
      </c>
      <c r="AL18" s="122"/>
      <c r="AM18" s="71" t="s">
        <v>250</v>
      </c>
      <c r="AN18" s="73" t="e">
        <f xml:space="preserve"> _xlfn.TEXTJOIN(" ", FALSE,#REF!)</f>
        <v>#REF!</v>
      </c>
      <c r="AO18" s="122"/>
      <c r="AP18" s="71" t="s">
        <v>251</v>
      </c>
      <c r="AQ18" s="72" t="e">
        <f xml:space="preserve"> _xlfn.TEXTJOIN(" ", FALSE,#REF!)</f>
        <v>#REF!</v>
      </c>
      <c r="AR18" s="122"/>
      <c r="AS18" s="71" t="s">
        <v>252</v>
      </c>
      <c r="AT18" s="72" t="e">
        <f xml:space="preserve"> _xlfn.TEXTJOIN(" ", FALSE,#REF!)</f>
        <v>#REF!</v>
      </c>
      <c r="AU18" s="122"/>
      <c r="AV18" s="71" t="s">
        <v>253</v>
      </c>
      <c r="AW18" s="73" t="e">
        <f xml:space="preserve"> _xlfn.TEXTJOIN(" ", FALSE,#REF!)</f>
        <v>#REF!</v>
      </c>
      <c r="AX18" s="122"/>
      <c r="AY18" s="71" t="s">
        <v>254</v>
      </c>
      <c r="AZ18" s="72" t="e">
        <f xml:space="preserve"> _xlfn.TEXTJOIN(" ", FALSE,#REF!)</f>
        <v>#REF!</v>
      </c>
      <c r="BA18" s="122"/>
      <c r="BB18" s="71" t="s">
        <v>255</v>
      </c>
      <c r="BC18" s="72" t="e">
        <f xml:space="preserve"> _xlfn.TEXTJOIN(" ", FALSE,#REF!)</f>
        <v>#REF!</v>
      </c>
      <c r="BD18" s="122"/>
      <c r="BE18" s="71" t="s">
        <v>256</v>
      </c>
      <c r="BF18" s="72" t="e">
        <f xml:space="preserve"> _xlfn.TEXTJOIN(" ", FALSE,#REF!)</f>
        <v>#REF!</v>
      </c>
      <c r="BG18" s="65" t="s">
        <v>277</v>
      </c>
      <c r="BH18" s="70" t="e">
        <f t="shared" si="1"/>
        <v>#REF!</v>
      </c>
      <c r="BI18" s="64" t="s">
        <v>257</v>
      </c>
      <c r="BJ18" s="122"/>
      <c r="BK18" s="71" t="s">
        <v>258</v>
      </c>
      <c r="BL18" s="74" t="str">
        <f>_xlfn.TEXTJOIN(" ", FALSE, 'Task 2a - Mitigating the Proble'!U18:AC18)</f>
        <v xml:space="preserve">1 1 1 1 0 1 0 0 </v>
      </c>
      <c r="BM18" s="65" t="s">
        <v>277</v>
      </c>
      <c r="BN18" s="70" t="str">
        <f t="shared" si="2"/>
        <v>[Details for Task 2a:]  /Question 12: 1 1 1 1 0 1 0 0  .</v>
      </c>
      <c r="BO18" s="64" t="s">
        <v>259</v>
      </c>
      <c r="BP18" s="122"/>
      <c r="BQ18" s="71" t="s">
        <v>260</v>
      </c>
      <c r="BR18" s="73" t="e">
        <f xml:space="preserve"> _xlfn.TEXTJOIN(" ", FALSE,#REF!)</f>
        <v>#REF!</v>
      </c>
      <c r="BS18" s="122"/>
      <c r="BT18" s="71" t="s">
        <v>261</v>
      </c>
      <c r="BU18" s="73" t="e">
        <f xml:space="preserve"> _xlfn.TEXTJOIN(" ", FALSE,#REF!)</f>
        <v>#REF!</v>
      </c>
      <c r="BV18" s="122"/>
      <c r="BW18" s="71" t="s">
        <v>262</v>
      </c>
      <c r="BX18" s="73" t="e">
        <f xml:space="preserve"> _xlfn.TEXTJOIN(" ", FALSE,#REF!)</f>
        <v>#REF!</v>
      </c>
      <c r="BY18" s="122"/>
      <c r="BZ18" s="71" t="s">
        <v>263</v>
      </c>
      <c r="CA18" s="73" t="e">
        <f xml:space="preserve"> _xlfn.TEXTJOIN(" ", FALSE,#REF!)</f>
        <v>#REF!</v>
      </c>
      <c r="CB18" s="122"/>
      <c r="CC18" s="71" t="s">
        <v>264</v>
      </c>
      <c r="CD18" s="73" t="e">
        <f xml:space="preserve"> _xlfn.TEXTJOIN(" ", FALSE,#REF!)</f>
        <v>#REF!</v>
      </c>
      <c r="CE18" s="122"/>
      <c r="CF18" s="71" t="s">
        <v>265</v>
      </c>
      <c r="CG18" s="73" t="e">
        <f xml:space="preserve"> _xlfn.TEXTJOIN(" ", FALSE,#REF!)</f>
        <v>#REF!</v>
      </c>
      <c r="CH18" s="122"/>
      <c r="CI18" s="74" t="s">
        <v>278</v>
      </c>
      <c r="CJ18" s="73" t="e">
        <f xml:space="preserve"> _xlfn.TEXTJOIN(" ", FALSE,#REF!)</f>
        <v>#REF!</v>
      </c>
      <c r="CK18" s="65" t="s">
        <v>277</v>
      </c>
      <c r="CL18" s="70" t="e">
        <f t="shared" si="3"/>
        <v>#REF!</v>
      </c>
      <c r="CM18" s="64" t="s">
        <v>267</v>
      </c>
      <c r="CN18" s="122"/>
      <c r="CO18" s="71" t="s">
        <v>268</v>
      </c>
      <c r="CP18" s="73" t="e">
        <f xml:space="preserve"> _xlfn.TEXTJOIN(" ", FALSE,#REF!)</f>
        <v>#REF!</v>
      </c>
      <c r="CQ18" s="122"/>
      <c r="CR18" s="71" t="s">
        <v>269</v>
      </c>
      <c r="CS18" s="73" t="e">
        <f xml:space="preserve"> _xlfn.TEXTJOIN(" ", FALSE,#REF!)</f>
        <v>#REF!</v>
      </c>
      <c r="CT18" s="122"/>
      <c r="CU18" s="71" t="s">
        <v>270</v>
      </c>
      <c r="CV18" s="72" t="e">
        <f xml:space="preserve"> _xlfn.TEXTJOIN(" ", FALSE,#REF!)</f>
        <v>#REF!</v>
      </c>
      <c r="CW18" s="122"/>
      <c r="CX18" s="71" t="s">
        <v>271</v>
      </c>
      <c r="CY18" s="72" t="e">
        <f xml:space="preserve"> _xlfn.TEXTJOIN(" ", FALSE,#REF!)</f>
        <v>#REF!</v>
      </c>
      <c r="CZ18" s="122"/>
      <c r="DA18" s="71" t="s">
        <v>272</v>
      </c>
      <c r="DB18" s="73" t="e">
        <f xml:space="preserve"> _xlfn.TEXTJOIN(" ", FALSE,#REF!)</f>
        <v>#REF!</v>
      </c>
      <c r="DC18" s="65" t="s">
        <v>277</v>
      </c>
      <c r="DD18" s="70" t="e">
        <f t="shared" si="4"/>
        <v>#REF!</v>
      </c>
      <c r="DE18" s="64" t="s">
        <v>273</v>
      </c>
      <c r="DF18" s="122"/>
      <c r="DG18" s="71" t="s">
        <v>274</v>
      </c>
      <c r="DH18" s="72" t="e">
        <f xml:space="preserve"> _xlfn.TEXTJOIN(" ", FALSE,#REF!)</f>
        <v>#REF!</v>
      </c>
      <c r="DI18" s="122"/>
      <c r="DJ18" s="71" t="s">
        <v>275</v>
      </c>
      <c r="DK18" s="73" t="e">
        <f xml:space="preserve"> _xlfn.TEXTJOIN(" ", FALSE,#REF!)</f>
        <v>#REF!</v>
      </c>
      <c r="DL18" s="65" t="s">
        <v>277</v>
      </c>
      <c r="DM18" s="70" t="e">
        <f t="shared" si="5"/>
        <v>#REF!</v>
      </c>
      <c r="DN18" s="70" t="e">
        <f t="shared" si="6"/>
        <v>#REF!</v>
      </c>
    </row>
    <row r="19" spans="1:118" ht="108" customHeight="1">
      <c r="A19" s="122" t="e">
        <f>Summary!A19</f>
        <v>#REF!</v>
      </c>
      <c r="B19" s="64" t="s">
        <v>233</v>
      </c>
      <c r="C19" s="65" t="e">
        <f>Summary!B19</f>
        <v>#REF!</v>
      </c>
      <c r="D19" s="122"/>
      <c r="E19" s="64" t="s">
        <v>235</v>
      </c>
      <c r="F19" s="132" t="e">
        <f>Summary!C19</f>
        <v>#REF!</v>
      </c>
      <c r="G19" s="64" t="s">
        <v>236</v>
      </c>
      <c r="H19" s="132" t="e">
        <f>Summary!D19</f>
        <v>#REF!</v>
      </c>
      <c r="I19" s="64" t="s">
        <v>237</v>
      </c>
      <c r="J19" s="66">
        <f>Summary!E19</f>
        <v>9</v>
      </c>
      <c r="K19" s="64" t="s">
        <v>238</v>
      </c>
      <c r="L19" s="132" t="e">
        <f>Summary!F19</f>
        <v>#REF!</v>
      </c>
      <c r="M19" s="64" t="s">
        <v>239</v>
      </c>
      <c r="N19" s="132" t="e">
        <f>Summary!G19</f>
        <v>#REF!</v>
      </c>
      <c r="O19" s="64" t="s">
        <v>240</v>
      </c>
      <c r="P19" s="132" t="e">
        <f>Summary!H19</f>
        <v>#REF!</v>
      </c>
      <c r="Q19" s="65" t="s">
        <v>277</v>
      </c>
      <c r="R19" s="70" t="e">
        <f t="shared" si="0"/>
        <v>#REF!</v>
      </c>
      <c r="S19" s="64" t="s">
        <v>243</v>
      </c>
      <c r="T19" s="122"/>
      <c r="U19" s="71" t="s">
        <v>244</v>
      </c>
      <c r="V19" s="72" t="e">
        <f xml:space="preserve"> _xlfn.TEXTJOIN(" ", FALSE,#REF!)</f>
        <v>#REF!</v>
      </c>
      <c r="W19" s="122"/>
      <c r="X19" s="71" t="s">
        <v>245</v>
      </c>
      <c r="Y19" s="72" t="e">
        <f xml:space="preserve"> _xlfn.TEXTJOIN(" ", FALSE,#REF!)</f>
        <v>#REF!</v>
      </c>
      <c r="Z19" s="122"/>
      <c r="AA19" s="71" t="s">
        <v>246</v>
      </c>
      <c r="AB19" s="72" t="e">
        <f xml:space="preserve"> _xlfn.TEXTJOIN(" ", FALSE,#REF!)</f>
        <v>#REF!</v>
      </c>
      <c r="AC19" s="122"/>
      <c r="AD19" s="71" t="s">
        <v>247</v>
      </c>
      <c r="AE19" s="72" t="e">
        <f xml:space="preserve"> _xlfn.TEXTJOIN(" ", FALSE,#REF!)</f>
        <v>#REF!</v>
      </c>
      <c r="AF19" s="122"/>
      <c r="AG19" s="71" t="s">
        <v>248</v>
      </c>
      <c r="AH19" s="73" t="e">
        <f xml:space="preserve"> _xlfn.TEXTJOIN(" ", FALSE,#REF!)</f>
        <v>#REF!</v>
      </c>
      <c r="AI19" s="122"/>
      <c r="AJ19" s="71" t="s">
        <v>249</v>
      </c>
      <c r="AK19" s="73" t="e">
        <f xml:space="preserve"> _xlfn.TEXTJOIN(" ", FALSE,#REF!)</f>
        <v>#REF!</v>
      </c>
      <c r="AL19" s="122"/>
      <c r="AM19" s="71" t="s">
        <v>250</v>
      </c>
      <c r="AN19" s="73" t="e">
        <f xml:space="preserve"> _xlfn.TEXTJOIN(" ", FALSE,#REF!)</f>
        <v>#REF!</v>
      </c>
      <c r="AO19" s="122"/>
      <c r="AP19" s="71" t="s">
        <v>251</v>
      </c>
      <c r="AQ19" s="72" t="e">
        <f xml:space="preserve"> _xlfn.TEXTJOIN(" ", FALSE,#REF!)</f>
        <v>#REF!</v>
      </c>
      <c r="AR19" s="122"/>
      <c r="AS19" s="71" t="s">
        <v>252</v>
      </c>
      <c r="AT19" s="72" t="e">
        <f xml:space="preserve"> _xlfn.TEXTJOIN(" ", FALSE,#REF!)</f>
        <v>#REF!</v>
      </c>
      <c r="AU19" s="122"/>
      <c r="AV19" s="71" t="s">
        <v>253</v>
      </c>
      <c r="AW19" s="73" t="e">
        <f xml:space="preserve"> _xlfn.TEXTJOIN(" ", FALSE,#REF!)</f>
        <v>#REF!</v>
      </c>
      <c r="AX19" s="122"/>
      <c r="AY19" s="71" t="s">
        <v>254</v>
      </c>
      <c r="AZ19" s="72" t="e">
        <f xml:space="preserve"> _xlfn.TEXTJOIN(" ", FALSE,#REF!)</f>
        <v>#REF!</v>
      </c>
      <c r="BA19" s="122"/>
      <c r="BB19" s="71" t="s">
        <v>255</v>
      </c>
      <c r="BC19" s="72" t="e">
        <f xml:space="preserve"> _xlfn.TEXTJOIN(" ", FALSE,#REF!)</f>
        <v>#REF!</v>
      </c>
      <c r="BD19" s="122"/>
      <c r="BE19" s="71" t="s">
        <v>256</v>
      </c>
      <c r="BF19" s="72" t="e">
        <f xml:space="preserve"> _xlfn.TEXTJOIN(" ", FALSE,#REF!)</f>
        <v>#REF!</v>
      </c>
      <c r="BG19" s="65" t="s">
        <v>277</v>
      </c>
      <c r="BH19" s="70" t="e">
        <f t="shared" si="1"/>
        <v>#REF!</v>
      </c>
      <c r="BI19" s="64" t="s">
        <v>257</v>
      </c>
      <c r="BJ19" s="122"/>
      <c r="BK19" s="71" t="s">
        <v>258</v>
      </c>
      <c r="BL19" s="74" t="str">
        <f>_xlfn.TEXTJOIN(" ", FALSE, 'Task 2a - Mitigating the Proble'!U19:AC19)</f>
        <v xml:space="preserve">1 1 1 1 1 1 1 0 </v>
      </c>
      <c r="BM19" s="65" t="s">
        <v>277</v>
      </c>
      <c r="BN19" s="70" t="str">
        <f t="shared" si="2"/>
        <v>[Details for Task 2a:]  /Question 12: 1 1 1 1 1 1 1 0  .</v>
      </c>
      <c r="BO19" s="64" t="s">
        <v>259</v>
      </c>
      <c r="BP19" s="122"/>
      <c r="BQ19" s="71" t="s">
        <v>260</v>
      </c>
      <c r="BR19" s="73" t="e">
        <f xml:space="preserve"> _xlfn.TEXTJOIN(" ", FALSE,#REF!)</f>
        <v>#REF!</v>
      </c>
      <c r="BS19" s="122"/>
      <c r="BT19" s="71" t="s">
        <v>261</v>
      </c>
      <c r="BU19" s="73" t="e">
        <f xml:space="preserve"> _xlfn.TEXTJOIN(" ", FALSE,#REF!)</f>
        <v>#REF!</v>
      </c>
      <c r="BV19" s="122"/>
      <c r="BW19" s="71" t="s">
        <v>262</v>
      </c>
      <c r="BX19" s="73" t="e">
        <f xml:space="preserve"> _xlfn.TEXTJOIN(" ", FALSE,#REF!)</f>
        <v>#REF!</v>
      </c>
      <c r="BY19" s="122"/>
      <c r="BZ19" s="71" t="s">
        <v>263</v>
      </c>
      <c r="CA19" s="73" t="e">
        <f xml:space="preserve"> _xlfn.TEXTJOIN(" ", FALSE,#REF!)</f>
        <v>#REF!</v>
      </c>
      <c r="CB19" s="122"/>
      <c r="CC19" s="71" t="s">
        <v>264</v>
      </c>
      <c r="CD19" s="73" t="e">
        <f xml:space="preserve"> _xlfn.TEXTJOIN(" ", FALSE,#REF!)</f>
        <v>#REF!</v>
      </c>
      <c r="CE19" s="122"/>
      <c r="CF19" s="71" t="s">
        <v>265</v>
      </c>
      <c r="CG19" s="73" t="e">
        <f xml:space="preserve"> _xlfn.TEXTJOIN(" ", FALSE,#REF!)</f>
        <v>#REF!</v>
      </c>
      <c r="CH19" s="122"/>
      <c r="CI19" s="74" t="s">
        <v>278</v>
      </c>
      <c r="CJ19" s="73" t="e">
        <f xml:space="preserve"> _xlfn.TEXTJOIN(" ", FALSE,#REF!)</f>
        <v>#REF!</v>
      </c>
      <c r="CK19" s="65" t="s">
        <v>277</v>
      </c>
      <c r="CL19" s="70" t="e">
        <f t="shared" si="3"/>
        <v>#REF!</v>
      </c>
      <c r="CM19" s="64" t="s">
        <v>267</v>
      </c>
      <c r="CN19" s="122"/>
      <c r="CO19" s="71" t="s">
        <v>268</v>
      </c>
      <c r="CP19" s="73" t="e">
        <f xml:space="preserve"> _xlfn.TEXTJOIN(" ", FALSE,#REF!)</f>
        <v>#REF!</v>
      </c>
      <c r="CQ19" s="122"/>
      <c r="CR19" s="71" t="s">
        <v>269</v>
      </c>
      <c r="CS19" s="73" t="e">
        <f xml:space="preserve"> _xlfn.TEXTJOIN(" ", FALSE,#REF!)</f>
        <v>#REF!</v>
      </c>
      <c r="CT19" s="122"/>
      <c r="CU19" s="71" t="s">
        <v>270</v>
      </c>
      <c r="CV19" s="72" t="e">
        <f xml:space="preserve"> _xlfn.TEXTJOIN(" ", FALSE,#REF!)</f>
        <v>#REF!</v>
      </c>
      <c r="CW19" s="122"/>
      <c r="CX19" s="71" t="s">
        <v>271</v>
      </c>
      <c r="CY19" s="72" t="e">
        <f xml:space="preserve"> _xlfn.TEXTJOIN(" ", FALSE,#REF!)</f>
        <v>#REF!</v>
      </c>
      <c r="CZ19" s="122"/>
      <c r="DA19" s="71" t="s">
        <v>272</v>
      </c>
      <c r="DB19" s="73" t="e">
        <f xml:space="preserve"> _xlfn.TEXTJOIN(" ", FALSE,#REF!)</f>
        <v>#REF!</v>
      </c>
      <c r="DC19" s="65" t="s">
        <v>277</v>
      </c>
      <c r="DD19" s="70" t="e">
        <f t="shared" si="4"/>
        <v>#REF!</v>
      </c>
      <c r="DE19" s="64" t="s">
        <v>273</v>
      </c>
      <c r="DF19" s="122"/>
      <c r="DG19" s="71" t="s">
        <v>274</v>
      </c>
      <c r="DH19" s="72" t="e">
        <f xml:space="preserve"> _xlfn.TEXTJOIN(" ", FALSE,#REF!)</f>
        <v>#REF!</v>
      </c>
      <c r="DI19" s="122"/>
      <c r="DJ19" s="71" t="s">
        <v>275</v>
      </c>
      <c r="DK19" s="73" t="e">
        <f xml:space="preserve"> _xlfn.TEXTJOIN(" ", FALSE,#REF!)</f>
        <v>#REF!</v>
      </c>
      <c r="DL19" s="65" t="s">
        <v>277</v>
      </c>
      <c r="DM19" s="70" t="e">
        <f t="shared" si="5"/>
        <v>#REF!</v>
      </c>
      <c r="DN19" s="70" t="e">
        <f t="shared" si="6"/>
        <v>#REF!</v>
      </c>
    </row>
    <row r="20" spans="1:118" ht="108" customHeight="1">
      <c r="A20" s="122" t="e">
        <f>Summary!A20</f>
        <v>#REF!</v>
      </c>
      <c r="B20" s="64" t="s">
        <v>233</v>
      </c>
      <c r="C20" s="65" t="e">
        <f>Summary!B20</f>
        <v>#REF!</v>
      </c>
      <c r="D20" s="122"/>
      <c r="E20" s="64" t="s">
        <v>235</v>
      </c>
      <c r="F20" s="132" t="e">
        <f>Summary!C20</f>
        <v>#REF!</v>
      </c>
      <c r="G20" s="64" t="s">
        <v>236</v>
      </c>
      <c r="H20" s="132" t="e">
        <f>Summary!D20</f>
        <v>#REF!</v>
      </c>
      <c r="I20" s="64" t="s">
        <v>237</v>
      </c>
      <c r="J20" s="66">
        <f>Summary!E20</f>
        <v>6</v>
      </c>
      <c r="K20" s="64" t="s">
        <v>238</v>
      </c>
      <c r="L20" s="132" t="e">
        <f>Summary!F20</f>
        <v>#REF!</v>
      </c>
      <c r="M20" s="64" t="s">
        <v>239</v>
      </c>
      <c r="N20" s="132" t="e">
        <f>Summary!G20</f>
        <v>#REF!</v>
      </c>
      <c r="O20" s="64" t="s">
        <v>240</v>
      </c>
      <c r="P20" s="132" t="e">
        <f>Summary!H20</f>
        <v>#REF!</v>
      </c>
      <c r="Q20" s="65" t="s">
        <v>277</v>
      </c>
      <c r="R20" s="70" t="e">
        <f t="shared" si="0"/>
        <v>#REF!</v>
      </c>
      <c r="S20" s="64" t="s">
        <v>243</v>
      </c>
      <c r="T20" s="122"/>
      <c r="U20" s="71" t="s">
        <v>244</v>
      </c>
      <c r="V20" s="72" t="e">
        <f xml:space="preserve"> _xlfn.TEXTJOIN(" ", FALSE,#REF!)</f>
        <v>#REF!</v>
      </c>
      <c r="W20" s="122"/>
      <c r="X20" s="71" t="s">
        <v>245</v>
      </c>
      <c r="Y20" s="72" t="e">
        <f xml:space="preserve"> _xlfn.TEXTJOIN(" ", FALSE,#REF!)</f>
        <v>#REF!</v>
      </c>
      <c r="Z20" s="122"/>
      <c r="AA20" s="71" t="s">
        <v>246</v>
      </c>
      <c r="AB20" s="72" t="e">
        <f xml:space="preserve"> _xlfn.TEXTJOIN(" ", FALSE,#REF!)</f>
        <v>#REF!</v>
      </c>
      <c r="AC20" s="122"/>
      <c r="AD20" s="71" t="s">
        <v>247</v>
      </c>
      <c r="AE20" s="72" t="e">
        <f xml:space="preserve"> _xlfn.TEXTJOIN(" ", FALSE,#REF!)</f>
        <v>#REF!</v>
      </c>
      <c r="AF20" s="122"/>
      <c r="AG20" s="71" t="s">
        <v>248</v>
      </c>
      <c r="AH20" s="73" t="e">
        <f xml:space="preserve"> _xlfn.TEXTJOIN(" ", FALSE,#REF!)</f>
        <v>#REF!</v>
      </c>
      <c r="AI20" s="122"/>
      <c r="AJ20" s="71" t="s">
        <v>249</v>
      </c>
      <c r="AK20" s="73" t="e">
        <f xml:space="preserve"> _xlfn.TEXTJOIN(" ", FALSE,#REF!)</f>
        <v>#REF!</v>
      </c>
      <c r="AL20" s="122"/>
      <c r="AM20" s="71" t="s">
        <v>250</v>
      </c>
      <c r="AN20" s="73" t="e">
        <f xml:space="preserve"> _xlfn.TEXTJOIN(" ", FALSE,#REF!)</f>
        <v>#REF!</v>
      </c>
      <c r="AO20" s="122"/>
      <c r="AP20" s="71" t="s">
        <v>251</v>
      </c>
      <c r="AQ20" s="72" t="e">
        <f xml:space="preserve"> _xlfn.TEXTJOIN(" ", FALSE,#REF!)</f>
        <v>#REF!</v>
      </c>
      <c r="AR20" s="122"/>
      <c r="AS20" s="71" t="s">
        <v>252</v>
      </c>
      <c r="AT20" s="72" t="e">
        <f xml:space="preserve"> _xlfn.TEXTJOIN(" ", FALSE,#REF!)</f>
        <v>#REF!</v>
      </c>
      <c r="AU20" s="122"/>
      <c r="AV20" s="71" t="s">
        <v>253</v>
      </c>
      <c r="AW20" s="73" t="e">
        <f xml:space="preserve"> _xlfn.TEXTJOIN(" ", FALSE,#REF!)</f>
        <v>#REF!</v>
      </c>
      <c r="AX20" s="122"/>
      <c r="AY20" s="71" t="s">
        <v>254</v>
      </c>
      <c r="AZ20" s="72" t="e">
        <f xml:space="preserve"> _xlfn.TEXTJOIN(" ", FALSE,#REF!)</f>
        <v>#REF!</v>
      </c>
      <c r="BA20" s="122"/>
      <c r="BB20" s="71" t="s">
        <v>255</v>
      </c>
      <c r="BC20" s="72" t="e">
        <f xml:space="preserve"> _xlfn.TEXTJOIN(" ", FALSE,#REF!)</f>
        <v>#REF!</v>
      </c>
      <c r="BD20" s="122"/>
      <c r="BE20" s="71" t="s">
        <v>256</v>
      </c>
      <c r="BF20" s="72" t="e">
        <f xml:space="preserve"> _xlfn.TEXTJOIN(" ", FALSE,#REF!)</f>
        <v>#REF!</v>
      </c>
      <c r="BG20" s="65" t="s">
        <v>277</v>
      </c>
      <c r="BH20" s="70" t="e">
        <f t="shared" si="1"/>
        <v>#REF!</v>
      </c>
      <c r="BI20" s="64" t="s">
        <v>257</v>
      </c>
      <c r="BJ20" s="122"/>
      <c r="BK20" s="71" t="s">
        <v>258</v>
      </c>
      <c r="BL20" s="74" t="str">
        <f>_xlfn.TEXTJOIN(" ", FALSE, 'Task 2a - Mitigating the Proble'!U20:AC20)</f>
        <v xml:space="preserve">1 0 1 1 0 1 0 0 </v>
      </c>
      <c r="BM20" s="65" t="s">
        <v>277</v>
      </c>
      <c r="BN20" s="70" t="str">
        <f t="shared" si="2"/>
        <v>[Details for Task 2a:]  /Question 12: 1 0 1 1 0 1 0 0  .</v>
      </c>
      <c r="BO20" s="64" t="s">
        <v>259</v>
      </c>
      <c r="BP20" s="122"/>
      <c r="BQ20" s="71" t="s">
        <v>260</v>
      </c>
      <c r="BR20" s="73" t="e">
        <f xml:space="preserve"> _xlfn.TEXTJOIN(" ", FALSE,#REF!)</f>
        <v>#REF!</v>
      </c>
      <c r="BS20" s="122"/>
      <c r="BT20" s="71" t="s">
        <v>261</v>
      </c>
      <c r="BU20" s="73" t="e">
        <f xml:space="preserve"> _xlfn.TEXTJOIN(" ", FALSE,#REF!)</f>
        <v>#REF!</v>
      </c>
      <c r="BV20" s="122"/>
      <c r="BW20" s="71" t="s">
        <v>262</v>
      </c>
      <c r="BX20" s="73" t="e">
        <f xml:space="preserve"> _xlfn.TEXTJOIN(" ", FALSE,#REF!)</f>
        <v>#REF!</v>
      </c>
      <c r="BY20" s="122"/>
      <c r="BZ20" s="71" t="s">
        <v>263</v>
      </c>
      <c r="CA20" s="73" t="e">
        <f xml:space="preserve"> _xlfn.TEXTJOIN(" ", FALSE,#REF!)</f>
        <v>#REF!</v>
      </c>
      <c r="CB20" s="122"/>
      <c r="CC20" s="71" t="s">
        <v>264</v>
      </c>
      <c r="CD20" s="73" t="e">
        <f xml:space="preserve"> _xlfn.TEXTJOIN(" ", FALSE,#REF!)</f>
        <v>#REF!</v>
      </c>
      <c r="CE20" s="122"/>
      <c r="CF20" s="71" t="s">
        <v>265</v>
      </c>
      <c r="CG20" s="73" t="e">
        <f xml:space="preserve"> _xlfn.TEXTJOIN(" ", FALSE,#REF!)</f>
        <v>#REF!</v>
      </c>
      <c r="CH20" s="122"/>
      <c r="CI20" s="74" t="s">
        <v>278</v>
      </c>
      <c r="CJ20" s="73" t="e">
        <f xml:space="preserve"> _xlfn.TEXTJOIN(" ", FALSE,#REF!)</f>
        <v>#REF!</v>
      </c>
      <c r="CK20" s="65" t="s">
        <v>277</v>
      </c>
      <c r="CL20" s="70" t="e">
        <f t="shared" si="3"/>
        <v>#REF!</v>
      </c>
      <c r="CM20" s="64" t="s">
        <v>267</v>
      </c>
      <c r="CN20" s="122"/>
      <c r="CO20" s="71" t="s">
        <v>268</v>
      </c>
      <c r="CP20" s="73" t="e">
        <f xml:space="preserve"> _xlfn.TEXTJOIN(" ", FALSE,#REF!)</f>
        <v>#REF!</v>
      </c>
      <c r="CQ20" s="122"/>
      <c r="CR20" s="71" t="s">
        <v>269</v>
      </c>
      <c r="CS20" s="73" t="e">
        <f xml:space="preserve"> _xlfn.TEXTJOIN(" ", FALSE,#REF!)</f>
        <v>#REF!</v>
      </c>
      <c r="CT20" s="122"/>
      <c r="CU20" s="71" t="s">
        <v>270</v>
      </c>
      <c r="CV20" s="72" t="e">
        <f xml:space="preserve"> _xlfn.TEXTJOIN(" ", FALSE,#REF!)</f>
        <v>#REF!</v>
      </c>
      <c r="CW20" s="122"/>
      <c r="CX20" s="71" t="s">
        <v>271</v>
      </c>
      <c r="CY20" s="72" t="e">
        <f xml:space="preserve"> _xlfn.TEXTJOIN(" ", FALSE,#REF!)</f>
        <v>#REF!</v>
      </c>
      <c r="CZ20" s="122"/>
      <c r="DA20" s="71" t="s">
        <v>272</v>
      </c>
      <c r="DB20" s="73" t="e">
        <f xml:space="preserve"> _xlfn.TEXTJOIN(" ", FALSE,#REF!)</f>
        <v>#REF!</v>
      </c>
      <c r="DC20" s="65" t="s">
        <v>277</v>
      </c>
      <c r="DD20" s="70" t="e">
        <f t="shared" si="4"/>
        <v>#REF!</v>
      </c>
      <c r="DE20" s="64" t="s">
        <v>273</v>
      </c>
      <c r="DF20" s="122"/>
      <c r="DG20" s="71" t="s">
        <v>274</v>
      </c>
      <c r="DH20" s="72" t="e">
        <f xml:space="preserve"> _xlfn.TEXTJOIN(" ", FALSE,#REF!)</f>
        <v>#REF!</v>
      </c>
      <c r="DI20" s="122"/>
      <c r="DJ20" s="71" t="s">
        <v>275</v>
      </c>
      <c r="DK20" s="73" t="e">
        <f xml:space="preserve"> _xlfn.TEXTJOIN(" ", FALSE,#REF!)</f>
        <v>#REF!</v>
      </c>
      <c r="DL20" s="65" t="s">
        <v>277</v>
      </c>
      <c r="DM20" s="70" t="e">
        <f t="shared" si="5"/>
        <v>#REF!</v>
      </c>
      <c r="DN20" s="70" t="e">
        <f t="shared" si="6"/>
        <v>#REF!</v>
      </c>
    </row>
    <row r="21" spans="1:118" ht="108" customHeight="1">
      <c r="A21" s="122" t="e">
        <f>Summary!A21</f>
        <v>#REF!</v>
      </c>
      <c r="B21" s="64" t="s">
        <v>233</v>
      </c>
      <c r="C21" s="65" t="e">
        <f>Summary!B21</f>
        <v>#REF!</v>
      </c>
      <c r="D21" s="122"/>
      <c r="E21" s="64" t="s">
        <v>235</v>
      </c>
      <c r="F21" s="132" t="e">
        <f>Summary!C21</f>
        <v>#REF!</v>
      </c>
      <c r="G21" s="64" t="s">
        <v>236</v>
      </c>
      <c r="H21" s="132" t="e">
        <f>Summary!D21</f>
        <v>#REF!</v>
      </c>
      <c r="I21" s="64" t="s">
        <v>237</v>
      </c>
      <c r="J21" s="66">
        <f>Summary!E21</f>
        <v>7</v>
      </c>
      <c r="K21" s="64" t="s">
        <v>238</v>
      </c>
      <c r="L21" s="132" t="e">
        <f>Summary!F21</f>
        <v>#REF!</v>
      </c>
      <c r="M21" s="64" t="s">
        <v>239</v>
      </c>
      <c r="N21" s="132" t="e">
        <f>Summary!G21</f>
        <v>#REF!</v>
      </c>
      <c r="O21" s="64" t="s">
        <v>240</v>
      </c>
      <c r="P21" s="132" t="e">
        <f>Summary!H21</f>
        <v>#REF!</v>
      </c>
      <c r="Q21" s="65" t="s">
        <v>277</v>
      </c>
      <c r="R21" s="70" t="e">
        <f t="shared" si="0"/>
        <v>#REF!</v>
      </c>
      <c r="S21" s="64" t="s">
        <v>243</v>
      </c>
      <c r="T21" s="122"/>
      <c r="U21" s="71" t="s">
        <v>244</v>
      </c>
      <c r="V21" s="72" t="e">
        <f xml:space="preserve"> _xlfn.TEXTJOIN(" ", FALSE,#REF!)</f>
        <v>#REF!</v>
      </c>
      <c r="W21" s="122"/>
      <c r="X21" s="71" t="s">
        <v>245</v>
      </c>
      <c r="Y21" s="72" t="e">
        <f xml:space="preserve"> _xlfn.TEXTJOIN(" ", FALSE,#REF!)</f>
        <v>#REF!</v>
      </c>
      <c r="Z21" s="122"/>
      <c r="AA21" s="71" t="s">
        <v>246</v>
      </c>
      <c r="AB21" s="72" t="e">
        <f xml:space="preserve"> _xlfn.TEXTJOIN(" ", FALSE,#REF!)</f>
        <v>#REF!</v>
      </c>
      <c r="AC21" s="122"/>
      <c r="AD21" s="71" t="s">
        <v>247</v>
      </c>
      <c r="AE21" s="72" t="e">
        <f xml:space="preserve"> _xlfn.TEXTJOIN(" ", FALSE,#REF!)</f>
        <v>#REF!</v>
      </c>
      <c r="AF21" s="122"/>
      <c r="AG21" s="71" t="s">
        <v>248</v>
      </c>
      <c r="AH21" s="73" t="e">
        <f xml:space="preserve"> _xlfn.TEXTJOIN(" ", FALSE,#REF!)</f>
        <v>#REF!</v>
      </c>
      <c r="AI21" s="122"/>
      <c r="AJ21" s="71" t="s">
        <v>249</v>
      </c>
      <c r="AK21" s="73" t="e">
        <f xml:space="preserve"> _xlfn.TEXTJOIN(" ", FALSE,#REF!)</f>
        <v>#REF!</v>
      </c>
      <c r="AL21" s="122"/>
      <c r="AM21" s="71" t="s">
        <v>250</v>
      </c>
      <c r="AN21" s="73" t="e">
        <f xml:space="preserve"> _xlfn.TEXTJOIN(" ", FALSE,#REF!)</f>
        <v>#REF!</v>
      </c>
      <c r="AO21" s="122"/>
      <c r="AP21" s="71" t="s">
        <v>251</v>
      </c>
      <c r="AQ21" s="72" t="e">
        <f xml:space="preserve"> _xlfn.TEXTJOIN(" ", FALSE,#REF!)</f>
        <v>#REF!</v>
      </c>
      <c r="AR21" s="122"/>
      <c r="AS21" s="71" t="s">
        <v>252</v>
      </c>
      <c r="AT21" s="72" t="e">
        <f xml:space="preserve"> _xlfn.TEXTJOIN(" ", FALSE,#REF!)</f>
        <v>#REF!</v>
      </c>
      <c r="AU21" s="122"/>
      <c r="AV21" s="71" t="s">
        <v>253</v>
      </c>
      <c r="AW21" s="73" t="e">
        <f xml:space="preserve"> _xlfn.TEXTJOIN(" ", FALSE,#REF!)</f>
        <v>#REF!</v>
      </c>
      <c r="AX21" s="122"/>
      <c r="AY21" s="71" t="s">
        <v>254</v>
      </c>
      <c r="AZ21" s="72" t="e">
        <f xml:space="preserve"> _xlfn.TEXTJOIN(" ", FALSE,#REF!)</f>
        <v>#REF!</v>
      </c>
      <c r="BA21" s="122"/>
      <c r="BB21" s="71" t="s">
        <v>255</v>
      </c>
      <c r="BC21" s="72" t="e">
        <f xml:space="preserve"> _xlfn.TEXTJOIN(" ", FALSE,#REF!)</f>
        <v>#REF!</v>
      </c>
      <c r="BD21" s="122"/>
      <c r="BE21" s="71" t="s">
        <v>256</v>
      </c>
      <c r="BF21" s="72" t="e">
        <f xml:space="preserve"> _xlfn.TEXTJOIN(" ", FALSE,#REF!)</f>
        <v>#REF!</v>
      </c>
      <c r="BG21" s="65" t="s">
        <v>277</v>
      </c>
      <c r="BH21" s="70" t="e">
        <f t="shared" si="1"/>
        <v>#REF!</v>
      </c>
      <c r="BI21" s="64" t="s">
        <v>257</v>
      </c>
      <c r="BJ21" s="122"/>
      <c r="BK21" s="71" t="s">
        <v>258</v>
      </c>
      <c r="BL21" s="74" t="str">
        <f>_xlfn.TEXTJOIN(" ", FALSE, 'Task 2a - Mitigating the Proble'!U21:AC21)</f>
        <v xml:space="preserve">1 0 1 0 1 1 1 0 </v>
      </c>
      <c r="BM21" s="65" t="s">
        <v>277</v>
      </c>
      <c r="BN21" s="70" t="str">
        <f t="shared" si="2"/>
        <v>[Details for Task 2a:]  /Question 12: 1 0 1 0 1 1 1 0  .</v>
      </c>
      <c r="BO21" s="64" t="s">
        <v>259</v>
      </c>
      <c r="BP21" s="122"/>
      <c r="BQ21" s="71" t="s">
        <v>260</v>
      </c>
      <c r="BR21" s="73" t="e">
        <f xml:space="preserve"> _xlfn.TEXTJOIN(" ", FALSE,#REF!)</f>
        <v>#REF!</v>
      </c>
      <c r="BS21" s="122"/>
      <c r="BT21" s="71" t="s">
        <v>261</v>
      </c>
      <c r="BU21" s="73" t="e">
        <f xml:space="preserve"> _xlfn.TEXTJOIN(" ", FALSE,#REF!)</f>
        <v>#REF!</v>
      </c>
      <c r="BV21" s="122"/>
      <c r="BW21" s="71" t="s">
        <v>262</v>
      </c>
      <c r="BX21" s="73" t="e">
        <f xml:space="preserve"> _xlfn.TEXTJOIN(" ", FALSE,#REF!)</f>
        <v>#REF!</v>
      </c>
      <c r="BY21" s="122"/>
      <c r="BZ21" s="71" t="s">
        <v>263</v>
      </c>
      <c r="CA21" s="73" t="e">
        <f xml:space="preserve"> _xlfn.TEXTJOIN(" ", FALSE,#REF!)</f>
        <v>#REF!</v>
      </c>
      <c r="CB21" s="122"/>
      <c r="CC21" s="71" t="s">
        <v>264</v>
      </c>
      <c r="CD21" s="73" t="e">
        <f xml:space="preserve"> _xlfn.TEXTJOIN(" ", FALSE,#REF!)</f>
        <v>#REF!</v>
      </c>
      <c r="CE21" s="122"/>
      <c r="CF21" s="71" t="s">
        <v>265</v>
      </c>
      <c r="CG21" s="73" t="e">
        <f xml:space="preserve"> _xlfn.TEXTJOIN(" ", FALSE,#REF!)</f>
        <v>#REF!</v>
      </c>
      <c r="CH21" s="122"/>
      <c r="CI21" s="74" t="s">
        <v>278</v>
      </c>
      <c r="CJ21" s="73" t="e">
        <f xml:space="preserve"> _xlfn.TEXTJOIN(" ", FALSE,#REF!)</f>
        <v>#REF!</v>
      </c>
      <c r="CK21" s="65" t="s">
        <v>277</v>
      </c>
      <c r="CL21" s="70" t="e">
        <f t="shared" si="3"/>
        <v>#REF!</v>
      </c>
      <c r="CM21" s="64" t="s">
        <v>267</v>
      </c>
      <c r="CN21" s="122"/>
      <c r="CO21" s="71" t="s">
        <v>268</v>
      </c>
      <c r="CP21" s="73" t="e">
        <f xml:space="preserve"> _xlfn.TEXTJOIN(" ", FALSE,#REF!)</f>
        <v>#REF!</v>
      </c>
      <c r="CQ21" s="122"/>
      <c r="CR21" s="71" t="s">
        <v>269</v>
      </c>
      <c r="CS21" s="73" t="e">
        <f xml:space="preserve"> _xlfn.TEXTJOIN(" ", FALSE,#REF!)</f>
        <v>#REF!</v>
      </c>
      <c r="CT21" s="122"/>
      <c r="CU21" s="71" t="s">
        <v>270</v>
      </c>
      <c r="CV21" s="72" t="e">
        <f xml:space="preserve"> _xlfn.TEXTJOIN(" ", FALSE,#REF!)</f>
        <v>#REF!</v>
      </c>
      <c r="CW21" s="122"/>
      <c r="CX21" s="71" t="s">
        <v>271</v>
      </c>
      <c r="CY21" s="72" t="e">
        <f xml:space="preserve"> _xlfn.TEXTJOIN(" ", FALSE,#REF!)</f>
        <v>#REF!</v>
      </c>
      <c r="CZ21" s="122"/>
      <c r="DA21" s="71" t="s">
        <v>272</v>
      </c>
      <c r="DB21" s="73" t="e">
        <f xml:space="preserve"> _xlfn.TEXTJOIN(" ", FALSE,#REF!)</f>
        <v>#REF!</v>
      </c>
      <c r="DC21" s="65" t="s">
        <v>277</v>
      </c>
      <c r="DD21" s="70" t="e">
        <f t="shared" si="4"/>
        <v>#REF!</v>
      </c>
      <c r="DE21" s="64" t="s">
        <v>273</v>
      </c>
      <c r="DF21" s="122"/>
      <c r="DG21" s="71" t="s">
        <v>274</v>
      </c>
      <c r="DH21" s="72" t="e">
        <f xml:space="preserve"> _xlfn.TEXTJOIN(" ", FALSE,#REF!)</f>
        <v>#REF!</v>
      </c>
      <c r="DI21" s="122"/>
      <c r="DJ21" s="71" t="s">
        <v>275</v>
      </c>
      <c r="DK21" s="73" t="e">
        <f xml:space="preserve"> _xlfn.TEXTJOIN(" ", FALSE,#REF!)</f>
        <v>#REF!</v>
      </c>
      <c r="DL21" s="65" t="s">
        <v>277</v>
      </c>
      <c r="DM21" s="70" t="e">
        <f t="shared" si="5"/>
        <v>#REF!</v>
      </c>
      <c r="DN21" s="70" t="e">
        <f t="shared" si="6"/>
        <v>#REF!</v>
      </c>
    </row>
    <row r="22" spans="1:118" ht="108" customHeight="1">
      <c r="A22" s="122" t="e">
        <f>Summary!A22</f>
        <v>#REF!</v>
      </c>
      <c r="B22" s="64" t="s">
        <v>233</v>
      </c>
      <c r="C22" s="65" t="e">
        <f>Summary!B22</f>
        <v>#REF!</v>
      </c>
      <c r="D22" s="122"/>
      <c r="E22" s="64" t="s">
        <v>235</v>
      </c>
      <c r="F22" s="132" t="e">
        <f>Summary!C22</f>
        <v>#REF!</v>
      </c>
      <c r="G22" s="64" t="s">
        <v>236</v>
      </c>
      <c r="H22" s="132" t="e">
        <f>Summary!D22</f>
        <v>#REF!</v>
      </c>
      <c r="I22" s="64" t="s">
        <v>237</v>
      </c>
      <c r="J22" s="66">
        <f>Summary!E22</f>
        <v>7</v>
      </c>
      <c r="K22" s="64" t="s">
        <v>238</v>
      </c>
      <c r="L22" s="132" t="e">
        <f>Summary!F22</f>
        <v>#REF!</v>
      </c>
      <c r="M22" s="64" t="s">
        <v>239</v>
      </c>
      <c r="N22" s="132" t="e">
        <f>Summary!G22</f>
        <v>#REF!</v>
      </c>
      <c r="O22" s="64" t="s">
        <v>240</v>
      </c>
      <c r="P22" s="132" t="e">
        <f>Summary!H22</f>
        <v>#REF!</v>
      </c>
      <c r="Q22" s="65" t="s">
        <v>277</v>
      </c>
      <c r="R22" s="70" t="e">
        <f t="shared" si="0"/>
        <v>#REF!</v>
      </c>
      <c r="S22" s="64" t="s">
        <v>243</v>
      </c>
      <c r="T22" s="122"/>
      <c r="U22" s="71" t="s">
        <v>244</v>
      </c>
      <c r="V22" s="72" t="e">
        <f xml:space="preserve"> _xlfn.TEXTJOIN(" ", FALSE,#REF!)</f>
        <v>#REF!</v>
      </c>
      <c r="W22" s="122"/>
      <c r="X22" s="71" t="s">
        <v>245</v>
      </c>
      <c r="Y22" s="72" t="e">
        <f xml:space="preserve"> _xlfn.TEXTJOIN(" ", FALSE,#REF!)</f>
        <v>#REF!</v>
      </c>
      <c r="Z22" s="122"/>
      <c r="AA22" s="71" t="s">
        <v>246</v>
      </c>
      <c r="AB22" s="72" t="e">
        <f xml:space="preserve"> _xlfn.TEXTJOIN(" ", FALSE,#REF!)</f>
        <v>#REF!</v>
      </c>
      <c r="AC22" s="122"/>
      <c r="AD22" s="71" t="s">
        <v>247</v>
      </c>
      <c r="AE22" s="72" t="e">
        <f xml:space="preserve"> _xlfn.TEXTJOIN(" ", FALSE,#REF!)</f>
        <v>#REF!</v>
      </c>
      <c r="AF22" s="122"/>
      <c r="AG22" s="71" t="s">
        <v>248</v>
      </c>
      <c r="AH22" s="73" t="e">
        <f xml:space="preserve"> _xlfn.TEXTJOIN(" ", FALSE,#REF!)</f>
        <v>#REF!</v>
      </c>
      <c r="AI22" s="122"/>
      <c r="AJ22" s="71" t="s">
        <v>249</v>
      </c>
      <c r="AK22" s="73" t="e">
        <f xml:space="preserve"> _xlfn.TEXTJOIN(" ", FALSE,#REF!)</f>
        <v>#REF!</v>
      </c>
      <c r="AL22" s="122"/>
      <c r="AM22" s="71" t="s">
        <v>250</v>
      </c>
      <c r="AN22" s="73" t="e">
        <f xml:space="preserve"> _xlfn.TEXTJOIN(" ", FALSE,#REF!)</f>
        <v>#REF!</v>
      </c>
      <c r="AO22" s="122"/>
      <c r="AP22" s="71" t="s">
        <v>251</v>
      </c>
      <c r="AQ22" s="72" t="e">
        <f xml:space="preserve"> _xlfn.TEXTJOIN(" ", FALSE,#REF!)</f>
        <v>#REF!</v>
      </c>
      <c r="AR22" s="122"/>
      <c r="AS22" s="71" t="s">
        <v>252</v>
      </c>
      <c r="AT22" s="72" t="e">
        <f xml:space="preserve"> _xlfn.TEXTJOIN(" ", FALSE,#REF!)</f>
        <v>#REF!</v>
      </c>
      <c r="AU22" s="122"/>
      <c r="AV22" s="71" t="s">
        <v>253</v>
      </c>
      <c r="AW22" s="73" t="e">
        <f xml:space="preserve"> _xlfn.TEXTJOIN(" ", FALSE,#REF!)</f>
        <v>#REF!</v>
      </c>
      <c r="AX22" s="122"/>
      <c r="AY22" s="71" t="s">
        <v>254</v>
      </c>
      <c r="AZ22" s="72" t="e">
        <f xml:space="preserve"> _xlfn.TEXTJOIN(" ", FALSE,#REF!)</f>
        <v>#REF!</v>
      </c>
      <c r="BA22" s="122"/>
      <c r="BB22" s="71" t="s">
        <v>255</v>
      </c>
      <c r="BC22" s="72" t="e">
        <f xml:space="preserve"> _xlfn.TEXTJOIN(" ", FALSE,#REF!)</f>
        <v>#REF!</v>
      </c>
      <c r="BD22" s="122"/>
      <c r="BE22" s="71" t="s">
        <v>256</v>
      </c>
      <c r="BF22" s="72" t="e">
        <f xml:space="preserve"> _xlfn.TEXTJOIN(" ", FALSE,#REF!)</f>
        <v>#REF!</v>
      </c>
      <c r="BG22" s="65" t="s">
        <v>277</v>
      </c>
      <c r="BH22" s="70" t="e">
        <f t="shared" si="1"/>
        <v>#REF!</v>
      </c>
      <c r="BI22" s="64" t="s">
        <v>257</v>
      </c>
      <c r="BJ22" s="122"/>
      <c r="BK22" s="71" t="s">
        <v>258</v>
      </c>
      <c r="BL22" s="74" t="str">
        <f>_xlfn.TEXTJOIN(" ", FALSE, 'Task 2a - Mitigating the Proble'!U22:AC22)</f>
        <v xml:space="preserve">1 1 1 1 0 1 0 0 </v>
      </c>
      <c r="BM22" s="65" t="s">
        <v>277</v>
      </c>
      <c r="BN22" s="70" t="str">
        <f t="shared" si="2"/>
        <v>[Details for Task 2a:]  /Question 12: 1 1 1 1 0 1 0 0  .</v>
      </c>
      <c r="BO22" s="64" t="s">
        <v>259</v>
      </c>
      <c r="BP22" s="122"/>
      <c r="BQ22" s="71" t="s">
        <v>260</v>
      </c>
      <c r="BR22" s="73" t="e">
        <f xml:space="preserve"> _xlfn.TEXTJOIN(" ", FALSE,#REF!)</f>
        <v>#REF!</v>
      </c>
      <c r="BS22" s="122"/>
      <c r="BT22" s="71" t="s">
        <v>261</v>
      </c>
      <c r="BU22" s="73" t="e">
        <f xml:space="preserve"> _xlfn.TEXTJOIN(" ", FALSE,#REF!)</f>
        <v>#REF!</v>
      </c>
      <c r="BV22" s="122"/>
      <c r="BW22" s="71" t="s">
        <v>262</v>
      </c>
      <c r="BX22" s="73" t="e">
        <f xml:space="preserve"> _xlfn.TEXTJOIN(" ", FALSE,#REF!)</f>
        <v>#REF!</v>
      </c>
      <c r="BY22" s="122"/>
      <c r="BZ22" s="71" t="s">
        <v>263</v>
      </c>
      <c r="CA22" s="73" t="e">
        <f xml:space="preserve"> _xlfn.TEXTJOIN(" ", FALSE,#REF!)</f>
        <v>#REF!</v>
      </c>
      <c r="CB22" s="122"/>
      <c r="CC22" s="71" t="s">
        <v>264</v>
      </c>
      <c r="CD22" s="73" t="e">
        <f xml:space="preserve"> _xlfn.TEXTJOIN(" ", FALSE,#REF!)</f>
        <v>#REF!</v>
      </c>
      <c r="CE22" s="122"/>
      <c r="CF22" s="71" t="s">
        <v>265</v>
      </c>
      <c r="CG22" s="73" t="e">
        <f xml:space="preserve"> _xlfn.TEXTJOIN(" ", FALSE,#REF!)</f>
        <v>#REF!</v>
      </c>
      <c r="CH22" s="122"/>
      <c r="CI22" s="74" t="s">
        <v>278</v>
      </c>
      <c r="CJ22" s="73" t="e">
        <f xml:space="preserve"> _xlfn.TEXTJOIN(" ", FALSE,#REF!)</f>
        <v>#REF!</v>
      </c>
      <c r="CK22" s="65" t="s">
        <v>277</v>
      </c>
      <c r="CL22" s="70" t="e">
        <f t="shared" si="3"/>
        <v>#REF!</v>
      </c>
      <c r="CM22" s="64" t="s">
        <v>267</v>
      </c>
      <c r="CN22" s="122"/>
      <c r="CO22" s="71" t="s">
        <v>268</v>
      </c>
      <c r="CP22" s="73" t="e">
        <f xml:space="preserve"> _xlfn.TEXTJOIN(" ", FALSE,#REF!)</f>
        <v>#REF!</v>
      </c>
      <c r="CQ22" s="122"/>
      <c r="CR22" s="71" t="s">
        <v>269</v>
      </c>
      <c r="CS22" s="73" t="e">
        <f xml:space="preserve"> _xlfn.TEXTJOIN(" ", FALSE,#REF!)</f>
        <v>#REF!</v>
      </c>
      <c r="CT22" s="122"/>
      <c r="CU22" s="71" t="s">
        <v>270</v>
      </c>
      <c r="CV22" s="72" t="e">
        <f xml:space="preserve"> _xlfn.TEXTJOIN(" ", FALSE,#REF!)</f>
        <v>#REF!</v>
      </c>
      <c r="CW22" s="122"/>
      <c r="CX22" s="71" t="s">
        <v>271</v>
      </c>
      <c r="CY22" s="72" t="e">
        <f xml:space="preserve"> _xlfn.TEXTJOIN(" ", FALSE,#REF!)</f>
        <v>#REF!</v>
      </c>
      <c r="CZ22" s="122"/>
      <c r="DA22" s="71" t="s">
        <v>272</v>
      </c>
      <c r="DB22" s="73" t="e">
        <f xml:space="preserve"> _xlfn.TEXTJOIN(" ", FALSE,#REF!)</f>
        <v>#REF!</v>
      </c>
      <c r="DC22" s="65" t="s">
        <v>277</v>
      </c>
      <c r="DD22" s="70" t="e">
        <f t="shared" si="4"/>
        <v>#REF!</v>
      </c>
      <c r="DE22" s="64" t="s">
        <v>273</v>
      </c>
      <c r="DF22" s="122"/>
      <c r="DG22" s="71" t="s">
        <v>274</v>
      </c>
      <c r="DH22" s="72" t="e">
        <f xml:space="preserve"> _xlfn.TEXTJOIN(" ", FALSE,#REF!)</f>
        <v>#REF!</v>
      </c>
      <c r="DI22" s="122"/>
      <c r="DJ22" s="71" t="s">
        <v>275</v>
      </c>
      <c r="DK22" s="73" t="e">
        <f xml:space="preserve"> _xlfn.TEXTJOIN(" ", FALSE,#REF!)</f>
        <v>#REF!</v>
      </c>
      <c r="DL22" s="65" t="s">
        <v>277</v>
      </c>
      <c r="DM22" s="70" t="e">
        <f t="shared" si="5"/>
        <v>#REF!</v>
      </c>
      <c r="DN22" s="70" t="e">
        <f t="shared" si="6"/>
        <v>#REF!</v>
      </c>
    </row>
    <row r="23" spans="1:118" ht="108" customHeight="1">
      <c r="A23" s="122" t="e">
        <f>Summary!A23</f>
        <v>#REF!</v>
      </c>
      <c r="B23" s="64" t="s">
        <v>233</v>
      </c>
      <c r="C23" s="65" t="e">
        <f>Summary!B23</f>
        <v>#REF!</v>
      </c>
      <c r="D23" s="122"/>
      <c r="E23" s="64" t="s">
        <v>235</v>
      </c>
      <c r="F23" s="132" t="e">
        <f>Summary!C23</f>
        <v>#REF!</v>
      </c>
      <c r="G23" s="64" t="s">
        <v>236</v>
      </c>
      <c r="H23" s="132" t="e">
        <f>Summary!D23</f>
        <v>#REF!</v>
      </c>
      <c r="I23" s="64" t="s">
        <v>237</v>
      </c>
      <c r="J23" s="66">
        <f>Summary!E23</f>
        <v>6</v>
      </c>
      <c r="K23" s="64" t="s">
        <v>238</v>
      </c>
      <c r="L23" s="132" t="e">
        <f>Summary!F23</f>
        <v>#REF!</v>
      </c>
      <c r="M23" s="64" t="s">
        <v>239</v>
      </c>
      <c r="N23" s="132" t="e">
        <f>Summary!G23</f>
        <v>#REF!</v>
      </c>
      <c r="O23" s="64" t="s">
        <v>240</v>
      </c>
      <c r="P23" s="132" t="e">
        <f>Summary!H23</f>
        <v>#REF!</v>
      </c>
      <c r="Q23" s="65" t="s">
        <v>277</v>
      </c>
      <c r="R23" s="70" t="e">
        <f t="shared" si="0"/>
        <v>#REF!</v>
      </c>
      <c r="S23" s="64" t="s">
        <v>243</v>
      </c>
      <c r="T23" s="122"/>
      <c r="U23" s="71" t="s">
        <v>244</v>
      </c>
      <c r="V23" s="72" t="e">
        <f xml:space="preserve"> _xlfn.TEXTJOIN(" ", FALSE,#REF!)</f>
        <v>#REF!</v>
      </c>
      <c r="W23" s="122"/>
      <c r="X23" s="71" t="s">
        <v>245</v>
      </c>
      <c r="Y23" s="72" t="e">
        <f xml:space="preserve"> _xlfn.TEXTJOIN(" ", FALSE,#REF!)</f>
        <v>#REF!</v>
      </c>
      <c r="Z23" s="122"/>
      <c r="AA23" s="71" t="s">
        <v>246</v>
      </c>
      <c r="AB23" s="72" t="e">
        <f xml:space="preserve"> _xlfn.TEXTJOIN(" ", FALSE,#REF!)</f>
        <v>#REF!</v>
      </c>
      <c r="AC23" s="122"/>
      <c r="AD23" s="71" t="s">
        <v>247</v>
      </c>
      <c r="AE23" s="72" t="e">
        <f xml:space="preserve"> _xlfn.TEXTJOIN(" ", FALSE,#REF!)</f>
        <v>#REF!</v>
      </c>
      <c r="AF23" s="122"/>
      <c r="AG23" s="71" t="s">
        <v>248</v>
      </c>
      <c r="AH23" s="73" t="e">
        <f xml:space="preserve"> _xlfn.TEXTJOIN(" ", FALSE,#REF!)</f>
        <v>#REF!</v>
      </c>
      <c r="AI23" s="122"/>
      <c r="AJ23" s="71" t="s">
        <v>249</v>
      </c>
      <c r="AK23" s="73" t="e">
        <f xml:space="preserve"> _xlfn.TEXTJOIN(" ", FALSE,#REF!)</f>
        <v>#REF!</v>
      </c>
      <c r="AL23" s="122"/>
      <c r="AM23" s="71" t="s">
        <v>250</v>
      </c>
      <c r="AN23" s="73" t="e">
        <f xml:space="preserve"> _xlfn.TEXTJOIN(" ", FALSE,#REF!)</f>
        <v>#REF!</v>
      </c>
      <c r="AO23" s="122"/>
      <c r="AP23" s="71" t="s">
        <v>251</v>
      </c>
      <c r="AQ23" s="72" t="e">
        <f xml:space="preserve"> _xlfn.TEXTJOIN(" ", FALSE,#REF!)</f>
        <v>#REF!</v>
      </c>
      <c r="AR23" s="122"/>
      <c r="AS23" s="71" t="s">
        <v>252</v>
      </c>
      <c r="AT23" s="72" t="e">
        <f xml:space="preserve"> _xlfn.TEXTJOIN(" ", FALSE,#REF!)</f>
        <v>#REF!</v>
      </c>
      <c r="AU23" s="122"/>
      <c r="AV23" s="71" t="s">
        <v>253</v>
      </c>
      <c r="AW23" s="73" t="e">
        <f xml:space="preserve"> _xlfn.TEXTJOIN(" ", FALSE,#REF!)</f>
        <v>#REF!</v>
      </c>
      <c r="AX23" s="122"/>
      <c r="AY23" s="71" t="s">
        <v>254</v>
      </c>
      <c r="AZ23" s="72" t="e">
        <f xml:space="preserve"> _xlfn.TEXTJOIN(" ", FALSE,#REF!)</f>
        <v>#REF!</v>
      </c>
      <c r="BA23" s="122"/>
      <c r="BB23" s="71" t="s">
        <v>255</v>
      </c>
      <c r="BC23" s="72" t="e">
        <f xml:space="preserve"> _xlfn.TEXTJOIN(" ", FALSE,#REF!)</f>
        <v>#REF!</v>
      </c>
      <c r="BD23" s="122"/>
      <c r="BE23" s="71" t="s">
        <v>256</v>
      </c>
      <c r="BF23" s="72" t="e">
        <f xml:space="preserve"> _xlfn.TEXTJOIN(" ", FALSE,#REF!)</f>
        <v>#REF!</v>
      </c>
      <c r="BG23" s="65" t="s">
        <v>277</v>
      </c>
      <c r="BH23" s="70" t="e">
        <f t="shared" si="1"/>
        <v>#REF!</v>
      </c>
      <c r="BI23" s="64" t="s">
        <v>257</v>
      </c>
      <c r="BJ23" s="122"/>
      <c r="BK23" s="71" t="s">
        <v>258</v>
      </c>
      <c r="BL23" s="74" t="str">
        <f>_xlfn.TEXTJOIN(" ", FALSE, 'Task 2a - Mitigating the Proble'!U23:AC23)</f>
        <v xml:space="preserve">1 0 1 0 0 1 0 0 </v>
      </c>
      <c r="BM23" s="65" t="s">
        <v>277</v>
      </c>
      <c r="BN23" s="70" t="str">
        <f t="shared" si="2"/>
        <v>[Details for Task 2a:]  /Question 12: 1 0 1 0 0 1 0 0  .</v>
      </c>
      <c r="BO23" s="64" t="s">
        <v>259</v>
      </c>
      <c r="BP23" s="122"/>
      <c r="BQ23" s="71" t="s">
        <v>260</v>
      </c>
      <c r="BR23" s="73" t="e">
        <f xml:space="preserve"> _xlfn.TEXTJOIN(" ", FALSE,#REF!)</f>
        <v>#REF!</v>
      </c>
      <c r="BS23" s="122"/>
      <c r="BT23" s="71" t="s">
        <v>261</v>
      </c>
      <c r="BU23" s="73" t="e">
        <f xml:space="preserve"> _xlfn.TEXTJOIN(" ", FALSE,#REF!)</f>
        <v>#REF!</v>
      </c>
      <c r="BV23" s="122"/>
      <c r="BW23" s="71" t="s">
        <v>262</v>
      </c>
      <c r="BX23" s="73" t="e">
        <f xml:space="preserve"> _xlfn.TEXTJOIN(" ", FALSE,#REF!)</f>
        <v>#REF!</v>
      </c>
      <c r="BY23" s="122"/>
      <c r="BZ23" s="71" t="s">
        <v>263</v>
      </c>
      <c r="CA23" s="73" t="e">
        <f xml:space="preserve"> _xlfn.TEXTJOIN(" ", FALSE,#REF!)</f>
        <v>#REF!</v>
      </c>
      <c r="CB23" s="122"/>
      <c r="CC23" s="71" t="s">
        <v>264</v>
      </c>
      <c r="CD23" s="73" t="e">
        <f xml:space="preserve"> _xlfn.TEXTJOIN(" ", FALSE,#REF!)</f>
        <v>#REF!</v>
      </c>
      <c r="CE23" s="122"/>
      <c r="CF23" s="71" t="s">
        <v>265</v>
      </c>
      <c r="CG23" s="73" t="e">
        <f xml:space="preserve"> _xlfn.TEXTJOIN(" ", FALSE,#REF!)</f>
        <v>#REF!</v>
      </c>
      <c r="CH23" s="122"/>
      <c r="CI23" s="74" t="s">
        <v>278</v>
      </c>
      <c r="CJ23" s="73" t="e">
        <f xml:space="preserve"> _xlfn.TEXTJOIN(" ", FALSE,#REF!)</f>
        <v>#REF!</v>
      </c>
      <c r="CK23" s="65" t="s">
        <v>277</v>
      </c>
      <c r="CL23" s="70" t="e">
        <f t="shared" si="3"/>
        <v>#REF!</v>
      </c>
      <c r="CM23" s="64" t="s">
        <v>267</v>
      </c>
      <c r="CN23" s="122"/>
      <c r="CO23" s="71" t="s">
        <v>268</v>
      </c>
      <c r="CP23" s="73" t="e">
        <f xml:space="preserve"> _xlfn.TEXTJOIN(" ", FALSE,#REF!)</f>
        <v>#REF!</v>
      </c>
      <c r="CQ23" s="122"/>
      <c r="CR23" s="71" t="s">
        <v>269</v>
      </c>
      <c r="CS23" s="73" t="e">
        <f xml:space="preserve"> _xlfn.TEXTJOIN(" ", FALSE,#REF!)</f>
        <v>#REF!</v>
      </c>
      <c r="CT23" s="122"/>
      <c r="CU23" s="71" t="s">
        <v>270</v>
      </c>
      <c r="CV23" s="72" t="e">
        <f xml:space="preserve"> _xlfn.TEXTJOIN(" ", FALSE,#REF!)</f>
        <v>#REF!</v>
      </c>
      <c r="CW23" s="122"/>
      <c r="CX23" s="71" t="s">
        <v>271</v>
      </c>
      <c r="CY23" s="72" t="e">
        <f xml:space="preserve"> _xlfn.TEXTJOIN(" ", FALSE,#REF!)</f>
        <v>#REF!</v>
      </c>
      <c r="CZ23" s="122"/>
      <c r="DA23" s="71" t="s">
        <v>272</v>
      </c>
      <c r="DB23" s="73" t="e">
        <f xml:space="preserve"> _xlfn.TEXTJOIN(" ", FALSE,#REF!)</f>
        <v>#REF!</v>
      </c>
      <c r="DC23" s="65" t="s">
        <v>277</v>
      </c>
      <c r="DD23" s="70" t="e">
        <f t="shared" si="4"/>
        <v>#REF!</v>
      </c>
      <c r="DE23" s="64" t="s">
        <v>273</v>
      </c>
      <c r="DF23" s="122"/>
      <c r="DG23" s="71" t="s">
        <v>274</v>
      </c>
      <c r="DH23" s="72" t="e">
        <f xml:space="preserve"> _xlfn.TEXTJOIN(" ", FALSE,#REF!)</f>
        <v>#REF!</v>
      </c>
      <c r="DI23" s="122"/>
      <c r="DJ23" s="71" t="s">
        <v>275</v>
      </c>
      <c r="DK23" s="73" t="e">
        <f xml:space="preserve"> _xlfn.TEXTJOIN(" ", FALSE,#REF!)</f>
        <v>#REF!</v>
      </c>
      <c r="DL23" s="65" t="s">
        <v>277</v>
      </c>
      <c r="DM23" s="70" t="e">
        <f t="shared" si="5"/>
        <v>#REF!</v>
      </c>
      <c r="DN23" s="70" t="e">
        <f t="shared" si="6"/>
        <v>#REF!</v>
      </c>
    </row>
    <row r="24" spans="1:118" ht="108" customHeight="1">
      <c r="A24" s="122" t="e">
        <f>Summary!A24</f>
        <v>#REF!</v>
      </c>
      <c r="B24" s="64" t="s">
        <v>233</v>
      </c>
      <c r="C24" s="65" t="e">
        <f>Summary!B24</f>
        <v>#REF!</v>
      </c>
      <c r="D24" s="122"/>
      <c r="E24" s="64" t="s">
        <v>235</v>
      </c>
      <c r="F24" s="132" t="e">
        <f>Summary!C24</f>
        <v>#REF!</v>
      </c>
      <c r="G24" s="64" t="s">
        <v>236</v>
      </c>
      <c r="H24" s="132" t="e">
        <f>Summary!D24</f>
        <v>#REF!</v>
      </c>
      <c r="I24" s="64" t="s">
        <v>237</v>
      </c>
      <c r="J24" s="66">
        <f>Summary!E24</f>
        <v>6</v>
      </c>
      <c r="K24" s="64" t="s">
        <v>238</v>
      </c>
      <c r="L24" s="132" t="e">
        <f>Summary!F24</f>
        <v>#REF!</v>
      </c>
      <c r="M24" s="64" t="s">
        <v>239</v>
      </c>
      <c r="N24" s="132" t="e">
        <f>Summary!G24</f>
        <v>#REF!</v>
      </c>
      <c r="O24" s="64" t="s">
        <v>240</v>
      </c>
      <c r="P24" s="132" t="e">
        <f>Summary!H24</f>
        <v>#REF!</v>
      </c>
      <c r="Q24" s="65" t="s">
        <v>277</v>
      </c>
      <c r="R24" s="70" t="e">
        <f t="shared" si="0"/>
        <v>#REF!</v>
      </c>
      <c r="S24" s="64" t="s">
        <v>243</v>
      </c>
      <c r="T24" s="122"/>
      <c r="U24" s="71" t="s">
        <v>244</v>
      </c>
      <c r="V24" s="72" t="e">
        <f xml:space="preserve"> _xlfn.TEXTJOIN(" ", FALSE,#REF!)</f>
        <v>#REF!</v>
      </c>
      <c r="W24" s="122"/>
      <c r="X24" s="71" t="s">
        <v>245</v>
      </c>
      <c r="Y24" s="72" t="e">
        <f xml:space="preserve"> _xlfn.TEXTJOIN(" ", FALSE,#REF!)</f>
        <v>#REF!</v>
      </c>
      <c r="Z24" s="122"/>
      <c r="AA24" s="71" t="s">
        <v>246</v>
      </c>
      <c r="AB24" s="72" t="e">
        <f xml:space="preserve"> _xlfn.TEXTJOIN(" ", FALSE,#REF!)</f>
        <v>#REF!</v>
      </c>
      <c r="AC24" s="122"/>
      <c r="AD24" s="71" t="s">
        <v>247</v>
      </c>
      <c r="AE24" s="72" t="e">
        <f xml:space="preserve"> _xlfn.TEXTJOIN(" ", FALSE,#REF!)</f>
        <v>#REF!</v>
      </c>
      <c r="AF24" s="122"/>
      <c r="AG24" s="71" t="s">
        <v>248</v>
      </c>
      <c r="AH24" s="73" t="e">
        <f xml:space="preserve"> _xlfn.TEXTJOIN(" ", FALSE,#REF!)</f>
        <v>#REF!</v>
      </c>
      <c r="AI24" s="122"/>
      <c r="AJ24" s="71" t="s">
        <v>249</v>
      </c>
      <c r="AK24" s="73" t="e">
        <f xml:space="preserve"> _xlfn.TEXTJOIN(" ", FALSE,#REF!)</f>
        <v>#REF!</v>
      </c>
      <c r="AL24" s="122"/>
      <c r="AM24" s="71" t="s">
        <v>250</v>
      </c>
      <c r="AN24" s="73" t="e">
        <f xml:space="preserve"> _xlfn.TEXTJOIN(" ", FALSE,#REF!)</f>
        <v>#REF!</v>
      </c>
      <c r="AO24" s="122"/>
      <c r="AP24" s="71" t="s">
        <v>251</v>
      </c>
      <c r="AQ24" s="72" t="e">
        <f xml:space="preserve"> _xlfn.TEXTJOIN(" ", FALSE,#REF!)</f>
        <v>#REF!</v>
      </c>
      <c r="AR24" s="122"/>
      <c r="AS24" s="71" t="s">
        <v>252</v>
      </c>
      <c r="AT24" s="72" t="e">
        <f xml:space="preserve"> _xlfn.TEXTJOIN(" ", FALSE,#REF!)</f>
        <v>#REF!</v>
      </c>
      <c r="AU24" s="122"/>
      <c r="AV24" s="71" t="s">
        <v>253</v>
      </c>
      <c r="AW24" s="73" t="e">
        <f xml:space="preserve"> _xlfn.TEXTJOIN(" ", FALSE,#REF!)</f>
        <v>#REF!</v>
      </c>
      <c r="AX24" s="122"/>
      <c r="AY24" s="71" t="s">
        <v>254</v>
      </c>
      <c r="AZ24" s="72" t="e">
        <f xml:space="preserve"> _xlfn.TEXTJOIN(" ", FALSE,#REF!)</f>
        <v>#REF!</v>
      </c>
      <c r="BA24" s="122"/>
      <c r="BB24" s="71" t="s">
        <v>255</v>
      </c>
      <c r="BC24" s="72" t="e">
        <f xml:space="preserve"> _xlfn.TEXTJOIN(" ", FALSE,#REF!)</f>
        <v>#REF!</v>
      </c>
      <c r="BD24" s="122"/>
      <c r="BE24" s="71" t="s">
        <v>256</v>
      </c>
      <c r="BF24" s="72" t="e">
        <f xml:space="preserve"> _xlfn.TEXTJOIN(" ", FALSE,#REF!)</f>
        <v>#REF!</v>
      </c>
      <c r="BG24" s="65" t="s">
        <v>277</v>
      </c>
      <c r="BH24" s="70" t="e">
        <f t="shared" si="1"/>
        <v>#REF!</v>
      </c>
      <c r="BI24" s="64" t="s">
        <v>257</v>
      </c>
      <c r="BJ24" s="122"/>
      <c r="BK24" s="71" t="s">
        <v>258</v>
      </c>
      <c r="BL24" s="74" t="str">
        <f>_xlfn.TEXTJOIN(" ", FALSE, 'Task 2a - Mitigating the Proble'!U24:AC24)</f>
        <v xml:space="preserve">1 0 1 0 1 1 0 0 </v>
      </c>
      <c r="BM24" s="65" t="s">
        <v>277</v>
      </c>
      <c r="BN24" s="70" t="str">
        <f t="shared" si="2"/>
        <v>[Details for Task 2a:]  /Question 12: 1 0 1 0 1 1 0 0  .</v>
      </c>
      <c r="BO24" s="64" t="s">
        <v>259</v>
      </c>
      <c r="BP24" s="122"/>
      <c r="BQ24" s="71" t="s">
        <v>260</v>
      </c>
      <c r="BR24" s="73" t="e">
        <f xml:space="preserve"> _xlfn.TEXTJOIN(" ", FALSE,#REF!)</f>
        <v>#REF!</v>
      </c>
      <c r="BS24" s="122"/>
      <c r="BT24" s="71" t="s">
        <v>261</v>
      </c>
      <c r="BU24" s="73" t="e">
        <f xml:space="preserve"> _xlfn.TEXTJOIN(" ", FALSE,#REF!)</f>
        <v>#REF!</v>
      </c>
      <c r="BV24" s="122"/>
      <c r="BW24" s="71" t="s">
        <v>262</v>
      </c>
      <c r="BX24" s="73" t="e">
        <f xml:space="preserve"> _xlfn.TEXTJOIN(" ", FALSE,#REF!)</f>
        <v>#REF!</v>
      </c>
      <c r="BY24" s="122"/>
      <c r="BZ24" s="71" t="s">
        <v>263</v>
      </c>
      <c r="CA24" s="73" t="e">
        <f xml:space="preserve"> _xlfn.TEXTJOIN(" ", FALSE,#REF!)</f>
        <v>#REF!</v>
      </c>
      <c r="CB24" s="122"/>
      <c r="CC24" s="71" t="s">
        <v>264</v>
      </c>
      <c r="CD24" s="73" t="e">
        <f xml:space="preserve"> _xlfn.TEXTJOIN(" ", FALSE,#REF!)</f>
        <v>#REF!</v>
      </c>
      <c r="CE24" s="122"/>
      <c r="CF24" s="71" t="s">
        <v>265</v>
      </c>
      <c r="CG24" s="73" t="e">
        <f xml:space="preserve"> _xlfn.TEXTJOIN(" ", FALSE,#REF!)</f>
        <v>#REF!</v>
      </c>
      <c r="CH24" s="122"/>
      <c r="CI24" s="74" t="s">
        <v>278</v>
      </c>
      <c r="CJ24" s="73" t="e">
        <f xml:space="preserve"> _xlfn.TEXTJOIN(" ", FALSE,#REF!)</f>
        <v>#REF!</v>
      </c>
      <c r="CK24" s="65" t="s">
        <v>277</v>
      </c>
      <c r="CL24" s="70" t="e">
        <f t="shared" si="3"/>
        <v>#REF!</v>
      </c>
      <c r="CM24" s="64" t="s">
        <v>267</v>
      </c>
      <c r="CN24" s="122"/>
      <c r="CO24" s="71" t="s">
        <v>268</v>
      </c>
      <c r="CP24" s="73" t="e">
        <f xml:space="preserve"> _xlfn.TEXTJOIN(" ", FALSE,#REF!)</f>
        <v>#REF!</v>
      </c>
      <c r="CQ24" s="122"/>
      <c r="CR24" s="71" t="s">
        <v>269</v>
      </c>
      <c r="CS24" s="73" t="e">
        <f xml:space="preserve"> _xlfn.TEXTJOIN(" ", FALSE,#REF!)</f>
        <v>#REF!</v>
      </c>
      <c r="CT24" s="122"/>
      <c r="CU24" s="71" t="s">
        <v>270</v>
      </c>
      <c r="CV24" s="72" t="e">
        <f xml:space="preserve"> _xlfn.TEXTJOIN(" ", FALSE,#REF!)</f>
        <v>#REF!</v>
      </c>
      <c r="CW24" s="122"/>
      <c r="CX24" s="71" t="s">
        <v>271</v>
      </c>
      <c r="CY24" s="72" t="e">
        <f xml:space="preserve"> _xlfn.TEXTJOIN(" ", FALSE,#REF!)</f>
        <v>#REF!</v>
      </c>
      <c r="CZ24" s="122"/>
      <c r="DA24" s="71" t="s">
        <v>272</v>
      </c>
      <c r="DB24" s="73" t="e">
        <f xml:space="preserve"> _xlfn.TEXTJOIN(" ", FALSE,#REF!)</f>
        <v>#REF!</v>
      </c>
      <c r="DC24" s="65" t="s">
        <v>277</v>
      </c>
      <c r="DD24" s="70" t="e">
        <f t="shared" si="4"/>
        <v>#REF!</v>
      </c>
      <c r="DE24" s="64" t="s">
        <v>273</v>
      </c>
      <c r="DF24" s="122"/>
      <c r="DG24" s="71" t="s">
        <v>274</v>
      </c>
      <c r="DH24" s="72" t="e">
        <f xml:space="preserve"> _xlfn.TEXTJOIN(" ", FALSE,#REF!)</f>
        <v>#REF!</v>
      </c>
      <c r="DI24" s="122"/>
      <c r="DJ24" s="71" t="s">
        <v>275</v>
      </c>
      <c r="DK24" s="73" t="e">
        <f xml:space="preserve"> _xlfn.TEXTJOIN(" ", FALSE,#REF!)</f>
        <v>#REF!</v>
      </c>
      <c r="DL24" s="65" t="s">
        <v>277</v>
      </c>
      <c r="DM24" s="70" t="e">
        <f t="shared" si="5"/>
        <v>#REF!</v>
      </c>
      <c r="DN24" s="70" t="e">
        <f t="shared" si="6"/>
        <v>#REF!</v>
      </c>
    </row>
    <row r="25" spans="1:118" ht="108" customHeight="1">
      <c r="A25" s="122" t="e">
        <f>Summary!A25</f>
        <v>#REF!</v>
      </c>
      <c r="B25" s="64" t="s">
        <v>233</v>
      </c>
      <c r="C25" s="65" t="e">
        <f>Summary!B25</f>
        <v>#REF!</v>
      </c>
      <c r="D25" s="122"/>
      <c r="E25" s="64" t="s">
        <v>235</v>
      </c>
      <c r="F25" s="132" t="e">
        <f>Summary!C25</f>
        <v>#REF!</v>
      </c>
      <c r="G25" s="64" t="s">
        <v>236</v>
      </c>
      <c r="H25" s="132" t="e">
        <f>Summary!D25</f>
        <v>#REF!</v>
      </c>
      <c r="I25" s="64" t="s">
        <v>237</v>
      </c>
      <c r="J25" s="66">
        <f>Summary!E25</f>
        <v>5</v>
      </c>
      <c r="K25" s="64" t="s">
        <v>238</v>
      </c>
      <c r="L25" s="132" t="e">
        <f>Summary!F25</f>
        <v>#REF!</v>
      </c>
      <c r="M25" s="64" t="s">
        <v>239</v>
      </c>
      <c r="N25" s="132" t="e">
        <f>Summary!G25</f>
        <v>#REF!</v>
      </c>
      <c r="O25" s="64" t="s">
        <v>240</v>
      </c>
      <c r="P25" s="132" t="e">
        <f>Summary!H25</f>
        <v>#REF!</v>
      </c>
      <c r="Q25" s="65" t="s">
        <v>277</v>
      </c>
      <c r="R25" s="70" t="e">
        <f t="shared" si="0"/>
        <v>#REF!</v>
      </c>
      <c r="S25" s="64" t="s">
        <v>243</v>
      </c>
      <c r="T25" s="122"/>
      <c r="U25" s="71" t="s">
        <v>244</v>
      </c>
      <c r="V25" s="72" t="e">
        <f xml:space="preserve"> _xlfn.TEXTJOIN(" ", FALSE,#REF!)</f>
        <v>#REF!</v>
      </c>
      <c r="W25" s="122"/>
      <c r="X25" s="71" t="s">
        <v>245</v>
      </c>
      <c r="Y25" s="72" t="e">
        <f xml:space="preserve"> _xlfn.TEXTJOIN(" ", FALSE,#REF!)</f>
        <v>#REF!</v>
      </c>
      <c r="Z25" s="122"/>
      <c r="AA25" s="71" t="s">
        <v>246</v>
      </c>
      <c r="AB25" s="72" t="e">
        <f xml:space="preserve"> _xlfn.TEXTJOIN(" ", FALSE,#REF!)</f>
        <v>#REF!</v>
      </c>
      <c r="AC25" s="122"/>
      <c r="AD25" s="71" t="s">
        <v>247</v>
      </c>
      <c r="AE25" s="72" t="e">
        <f xml:space="preserve"> _xlfn.TEXTJOIN(" ", FALSE,#REF!)</f>
        <v>#REF!</v>
      </c>
      <c r="AF25" s="122"/>
      <c r="AG25" s="71" t="s">
        <v>248</v>
      </c>
      <c r="AH25" s="73" t="e">
        <f xml:space="preserve"> _xlfn.TEXTJOIN(" ", FALSE,#REF!)</f>
        <v>#REF!</v>
      </c>
      <c r="AI25" s="122"/>
      <c r="AJ25" s="71" t="s">
        <v>249</v>
      </c>
      <c r="AK25" s="73" t="e">
        <f xml:space="preserve"> _xlfn.TEXTJOIN(" ", FALSE,#REF!)</f>
        <v>#REF!</v>
      </c>
      <c r="AL25" s="122"/>
      <c r="AM25" s="71" t="s">
        <v>250</v>
      </c>
      <c r="AN25" s="73" t="e">
        <f xml:space="preserve"> _xlfn.TEXTJOIN(" ", FALSE,#REF!)</f>
        <v>#REF!</v>
      </c>
      <c r="AO25" s="122"/>
      <c r="AP25" s="71" t="s">
        <v>251</v>
      </c>
      <c r="AQ25" s="72" t="e">
        <f xml:space="preserve"> _xlfn.TEXTJOIN(" ", FALSE,#REF!)</f>
        <v>#REF!</v>
      </c>
      <c r="AR25" s="122"/>
      <c r="AS25" s="71" t="s">
        <v>252</v>
      </c>
      <c r="AT25" s="72" t="e">
        <f xml:space="preserve"> _xlfn.TEXTJOIN(" ", FALSE,#REF!)</f>
        <v>#REF!</v>
      </c>
      <c r="AU25" s="122"/>
      <c r="AV25" s="71" t="s">
        <v>253</v>
      </c>
      <c r="AW25" s="73" t="e">
        <f xml:space="preserve"> _xlfn.TEXTJOIN(" ", FALSE,#REF!)</f>
        <v>#REF!</v>
      </c>
      <c r="AX25" s="122"/>
      <c r="AY25" s="71" t="s">
        <v>254</v>
      </c>
      <c r="AZ25" s="72" t="e">
        <f xml:space="preserve"> _xlfn.TEXTJOIN(" ", FALSE,#REF!)</f>
        <v>#REF!</v>
      </c>
      <c r="BA25" s="122"/>
      <c r="BB25" s="71" t="s">
        <v>255</v>
      </c>
      <c r="BC25" s="72" t="e">
        <f xml:space="preserve"> _xlfn.TEXTJOIN(" ", FALSE,#REF!)</f>
        <v>#REF!</v>
      </c>
      <c r="BD25" s="122"/>
      <c r="BE25" s="71" t="s">
        <v>256</v>
      </c>
      <c r="BF25" s="72" t="e">
        <f xml:space="preserve"> _xlfn.TEXTJOIN(" ", FALSE,#REF!)</f>
        <v>#REF!</v>
      </c>
      <c r="BG25" s="65" t="s">
        <v>277</v>
      </c>
      <c r="BH25" s="70" t="e">
        <f t="shared" si="1"/>
        <v>#REF!</v>
      </c>
      <c r="BI25" s="64" t="s">
        <v>257</v>
      </c>
      <c r="BJ25" s="122"/>
      <c r="BK25" s="71" t="s">
        <v>258</v>
      </c>
      <c r="BL25" s="74" t="str">
        <f>_xlfn.TEXTJOIN(" ", FALSE, 'Task 2a - Mitigating the Proble'!U25:AC25)</f>
        <v xml:space="preserve">1 0 0 0 0 1 0 0 </v>
      </c>
      <c r="BM25" s="65" t="s">
        <v>277</v>
      </c>
      <c r="BN25" s="70" t="str">
        <f t="shared" si="2"/>
        <v>[Details for Task 2a:]  /Question 12: 1 0 0 0 0 1 0 0  .</v>
      </c>
      <c r="BO25" s="64" t="s">
        <v>259</v>
      </c>
      <c r="BP25" s="122"/>
      <c r="BQ25" s="71" t="s">
        <v>260</v>
      </c>
      <c r="BR25" s="73" t="e">
        <f xml:space="preserve"> _xlfn.TEXTJOIN(" ", FALSE,#REF!)</f>
        <v>#REF!</v>
      </c>
      <c r="BS25" s="122"/>
      <c r="BT25" s="71" t="s">
        <v>261</v>
      </c>
      <c r="BU25" s="73" t="e">
        <f xml:space="preserve"> _xlfn.TEXTJOIN(" ", FALSE,#REF!)</f>
        <v>#REF!</v>
      </c>
      <c r="BV25" s="122"/>
      <c r="BW25" s="71" t="s">
        <v>262</v>
      </c>
      <c r="BX25" s="73" t="e">
        <f xml:space="preserve"> _xlfn.TEXTJOIN(" ", FALSE,#REF!)</f>
        <v>#REF!</v>
      </c>
      <c r="BY25" s="122"/>
      <c r="BZ25" s="71" t="s">
        <v>263</v>
      </c>
      <c r="CA25" s="73" t="e">
        <f xml:space="preserve"> _xlfn.TEXTJOIN(" ", FALSE,#REF!)</f>
        <v>#REF!</v>
      </c>
      <c r="CB25" s="122"/>
      <c r="CC25" s="71" t="s">
        <v>264</v>
      </c>
      <c r="CD25" s="73" t="e">
        <f xml:space="preserve"> _xlfn.TEXTJOIN(" ", FALSE,#REF!)</f>
        <v>#REF!</v>
      </c>
      <c r="CE25" s="122"/>
      <c r="CF25" s="71" t="s">
        <v>265</v>
      </c>
      <c r="CG25" s="73" t="e">
        <f xml:space="preserve"> _xlfn.TEXTJOIN(" ", FALSE,#REF!)</f>
        <v>#REF!</v>
      </c>
      <c r="CH25" s="122"/>
      <c r="CI25" s="74" t="s">
        <v>278</v>
      </c>
      <c r="CJ25" s="73" t="e">
        <f xml:space="preserve"> _xlfn.TEXTJOIN(" ", FALSE,#REF!)</f>
        <v>#REF!</v>
      </c>
      <c r="CK25" s="65" t="s">
        <v>277</v>
      </c>
      <c r="CL25" s="70" t="e">
        <f t="shared" si="3"/>
        <v>#REF!</v>
      </c>
      <c r="CM25" s="64" t="s">
        <v>267</v>
      </c>
      <c r="CN25" s="122"/>
      <c r="CO25" s="71" t="s">
        <v>268</v>
      </c>
      <c r="CP25" s="73" t="e">
        <f xml:space="preserve"> _xlfn.TEXTJOIN(" ", FALSE,#REF!)</f>
        <v>#REF!</v>
      </c>
      <c r="CQ25" s="122"/>
      <c r="CR25" s="71" t="s">
        <v>269</v>
      </c>
      <c r="CS25" s="73" t="e">
        <f xml:space="preserve"> _xlfn.TEXTJOIN(" ", FALSE,#REF!)</f>
        <v>#REF!</v>
      </c>
      <c r="CT25" s="122"/>
      <c r="CU25" s="71" t="s">
        <v>270</v>
      </c>
      <c r="CV25" s="72" t="e">
        <f xml:space="preserve"> _xlfn.TEXTJOIN(" ", FALSE,#REF!)</f>
        <v>#REF!</v>
      </c>
      <c r="CW25" s="122"/>
      <c r="CX25" s="71" t="s">
        <v>271</v>
      </c>
      <c r="CY25" s="72" t="e">
        <f xml:space="preserve"> _xlfn.TEXTJOIN(" ", FALSE,#REF!)</f>
        <v>#REF!</v>
      </c>
      <c r="CZ25" s="122"/>
      <c r="DA25" s="71" t="s">
        <v>272</v>
      </c>
      <c r="DB25" s="73" t="e">
        <f xml:space="preserve"> _xlfn.TEXTJOIN(" ", FALSE,#REF!)</f>
        <v>#REF!</v>
      </c>
      <c r="DC25" s="65" t="s">
        <v>277</v>
      </c>
      <c r="DD25" s="70" t="e">
        <f t="shared" si="4"/>
        <v>#REF!</v>
      </c>
      <c r="DE25" s="64" t="s">
        <v>273</v>
      </c>
      <c r="DF25" s="122"/>
      <c r="DG25" s="71" t="s">
        <v>274</v>
      </c>
      <c r="DH25" s="72" t="e">
        <f xml:space="preserve"> _xlfn.TEXTJOIN(" ", FALSE,#REF!)</f>
        <v>#REF!</v>
      </c>
      <c r="DI25" s="122"/>
      <c r="DJ25" s="71" t="s">
        <v>275</v>
      </c>
      <c r="DK25" s="73" t="e">
        <f xml:space="preserve"> _xlfn.TEXTJOIN(" ", FALSE,#REF!)</f>
        <v>#REF!</v>
      </c>
      <c r="DL25" s="65" t="s">
        <v>277</v>
      </c>
      <c r="DM25" s="70" t="e">
        <f t="shared" si="5"/>
        <v>#REF!</v>
      </c>
      <c r="DN25" s="70" t="e">
        <f t="shared" si="6"/>
        <v>#REF!</v>
      </c>
    </row>
    <row r="26" spans="1:118" ht="108" customHeight="1">
      <c r="A26" s="122" t="e">
        <f>Summary!A26</f>
        <v>#REF!</v>
      </c>
      <c r="B26" s="64" t="s">
        <v>233</v>
      </c>
      <c r="C26" s="65" t="e">
        <f>Summary!B26</f>
        <v>#REF!</v>
      </c>
      <c r="D26" s="122"/>
      <c r="E26" s="64" t="s">
        <v>235</v>
      </c>
      <c r="F26" s="132">
        <f>Summary!C26</f>
        <v>50</v>
      </c>
      <c r="G26" s="64" t="s">
        <v>236</v>
      </c>
      <c r="H26" s="132" t="e">
        <f>Summary!D26</f>
        <v>#REF!</v>
      </c>
      <c r="I26" s="64" t="s">
        <v>237</v>
      </c>
      <c r="J26" s="66">
        <f>Summary!E26</f>
        <v>6</v>
      </c>
      <c r="K26" s="64" t="s">
        <v>238</v>
      </c>
      <c r="L26" s="132" t="e">
        <f>Summary!F26</f>
        <v>#REF!</v>
      </c>
      <c r="M26" s="64" t="s">
        <v>239</v>
      </c>
      <c r="N26" s="132" t="e">
        <f>Summary!G26</f>
        <v>#REF!</v>
      </c>
      <c r="O26" s="64" t="s">
        <v>240</v>
      </c>
      <c r="P26" s="132" t="e">
        <f>Summary!H26</f>
        <v>#REF!</v>
      </c>
      <c r="Q26" s="65" t="s">
        <v>277</v>
      </c>
      <c r="R26" s="70" t="e">
        <f t="shared" si="0"/>
        <v>#REF!</v>
      </c>
      <c r="S26" s="64" t="s">
        <v>243</v>
      </c>
      <c r="T26" s="122"/>
      <c r="U26" s="71" t="s">
        <v>244</v>
      </c>
      <c r="V26" s="72" t="e">
        <f xml:space="preserve"> _xlfn.TEXTJOIN(" ", FALSE,#REF!)</f>
        <v>#REF!</v>
      </c>
      <c r="W26" s="122"/>
      <c r="X26" s="71" t="s">
        <v>245</v>
      </c>
      <c r="Y26" s="72" t="e">
        <f xml:space="preserve"> _xlfn.TEXTJOIN(" ", FALSE,#REF!)</f>
        <v>#REF!</v>
      </c>
      <c r="Z26" s="122"/>
      <c r="AA26" s="71" t="s">
        <v>246</v>
      </c>
      <c r="AB26" s="72" t="e">
        <f xml:space="preserve"> _xlfn.TEXTJOIN(" ", FALSE,#REF!)</f>
        <v>#REF!</v>
      </c>
      <c r="AC26" s="122"/>
      <c r="AD26" s="71" t="s">
        <v>247</v>
      </c>
      <c r="AE26" s="72" t="e">
        <f xml:space="preserve"> _xlfn.TEXTJOIN(" ", FALSE,#REF!)</f>
        <v>#REF!</v>
      </c>
      <c r="AF26" s="122"/>
      <c r="AG26" s="71" t="s">
        <v>248</v>
      </c>
      <c r="AH26" s="73" t="e">
        <f xml:space="preserve"> _xlfn.TEXTJOIN(" ", FALSE,#REF!)</f>
        <v>#REF!</v>
      </c>
      <c r="AI26" s="122"/>
      <c r="AJ26" s="71" t="s">
        <v>249</v>
      </c>
      <c r="AK26" s="73" t="e">
        <f xml:space="preserve"> _xlfn.TEXTJOIN(" ", FALSE,#REF!)</f>
        <v>#REF!</v>
      </c>
      <c r="AL26" s="122"/>
      <c r="AM26" s="71" t="s">
        <v>250</v>
      </c>
      <c r="AN26" s="73" t="e">
        <f xml:space="preserve"> _xlfn.TEXTJOIN(" ", FALSE,#REF!)</f>
        <v>#REF!</v>
      </c>
      <c r="AO26" s="122"/>
      <c r="AP26" s="71" t="s">
        <v>251</v>
      </c>
      <c r="AQ26" s="72" t="e">
        <f xml:space="preserve"> _xlfn.TEXTJOIN(" ", FALSE,#REF!)</f>
        <v>#REF!</v>
      </c>
      <c r="AR26" s="122"/>
      <c r="AS26" s="71" t="s">
        <v>252</v>
      </c>
      <c r="AT26" s="72" t="e">
        <f xml:space="preserve"> _xlfn.TEXTJOIN(" ", FALSE,#REF!)</f>
        <v>#REF!</v>
      </c>
      <c r="AU26" s="122"/>
      <c r="AV26" s="71" t="s">
        <v>253</v>
      </c>
      <c r="AW26" s="73" t="e">
        <f xml:space="preserve"> _xlfn.TEXTJOIN(" ", FALSE,#REF!)</f>
        <v>#REF!</v>
      </c>
      <c r="AX26" s="122"/>
      <c r="AY26" s="71" t="s">
        <v>254</v>
      </c>
      <c r="AZ26" s="72" t="e">
        <f xml:space="preserve"> _xlfn.TEXTJOIN(" ", FALSE,#REF!)</f>
        <v>#REF!</v>
      </c>
      <c r="BA26" s="122"/>
      <c r="BB26" s="71" t="s">
        <v>255</v>
      </c>
      <c r="BC26" s="72" t="e">
        <f xml:space="preserve"> _xlfn.TEXTJOIN(" ", FALSE,#REF!)</f>
        <v>#REF!</v>
      </c>
      <c r="BD26" s="122"/>
      <c r="BE26" s="71" t="s">
        <v>256</v>
      </c>
      <c r="BF26" s="72" t="e">
        <f xml:space="preserve"> _xlfn.TEXTJOIN(" ", FALSE,#REF!)</f>
        <v>#REF!</v>
      </c>
      <c r="BG26" s="65" t="s">
        <v>277</v>
      </c>
      <c r="BH26" s="70" t="e">
        <f t="shared" si="1"/>
        <v>#REF!</v>
      </c>
      <c r="BI26" s="64" t="s">
        <v>257</v>
      </c>
      <c r="BJ26" s="122"/>
      <c r="BK26" s="71" t="s">
        <v>258</v>
      </c>
      <c r="BL26" s="74" t="str">
        <f>_xlfn.TEXTJOIN(" ", FALSE, 'Task 2a - Mitigating the Proble'!U26:AC26)</f>
        <v xml:space="preserve">1 0 1 0 0 1 0 0 </v>
      </c>
      <c r="BM26" s="65" t="s">
        <v>277</v>
      </c>
      <c r="BN26" s="70" t="str">
        <f t="shared" si="2"/>
        <v>[Details for Task 2a:]  /Question 12: 1 0 1 0 0 1 0 0  .</v>
      </c>
      <c r="BO26" s="64" t="s">
        <v>259</v>
      </c>
      <c r="BP26" s="122"/>
      <c r="BQ26" s="71" t="s">
        <v>260</v>
      </c>
      <c r="BR26" s="73" t="e">
        <f xml:space="preserve"> _xlfn.TEXTJOIN(" ", FALSE,#REF!)</f>
        <v>#REF!</v>
      </c>
      <c r="BS26" s="122"/>
      <c r="BT26" s="71" t="s">
        <v>261</v>
      </c>
      <c r="BU26" s="73" t="e">
        <f xml:space="preserve"> _xlfn.TEXTJOIN(" ", FALSE,#REF!)</f>
        <v>#REF!</v>
      </c>
      <c r="BV26" s="122"/>
      <c r="BW26" s="71" t="s">
        <v>262</v>
      </c>
      <c r="BX26" s="73" t="e">
        <f xml:space="preserve"> _xlfn.TEXTJOIN(" ", FALSE,#REF!)</f>
        <v>#REF!</v>
      </c>
      <c r="BY26" s="122"/>
      <c r="BZ26" s="71" t="s">
        <v>263</v>
      </c>
      <c r="CA26" s="73" t="e">
        <f xml:space="preserve"> _xlfn.TEXTJOIN(" ", FALSE,#REF!)</f>
        <v>#REF!</v>
      </c>
      <c r="CB26" s="122"/>
      <c r="CC26" s="71" t="s">
        <v>264</v>
      </c>
      <c r="CD26" s="73" t="e">
        <f xml:space="preserve"> _xlfn.TEXTJOIN(" ", FALSE,#REF!)</f>
        <v>#REF!</v>
      </c>
      <c r="CE26" s="122"/>
      <c r="CF26" s="71" t="s">
        <v>265</v>
      </c>
      <c r="CG26" s="73" t="e">
        <f xml:space="preserve"> _xlfn.TEXTJOIN(" ", FALSE,#REF!)</f>
        <v>#REF!</v>
      </c>
      <c r="CH26" s="122"/>
      <c r="CI26" s="74" t="s">
        <v>278</v>
      </c>
      <c r="CJ26" s="73" t="e">
        <f xml:space="preserve"> _xlfn.TEXTJOIN(" ", FALSE,#REF!)</f>
        <v>#REF!</v>
      </c>
      <c r="CK26" s="65" t="s">
        <v>277</v>
      </c>
      <c r="CL26" s="70" t="e">
        <f t="shared" si="3"/>
        <v>#REF!</v>
      </c>
      <c r="CM26" s="64" t="s">
        <v>267</v>
      </c>
      <c r="CN26" s="122"/>
      <c r="CO26" s="71" t="s">
        <v>268</v>
      </c>
      <c r="CP26" s="73" t="e">
        <f xml:space="preserve"> _xlfn.TEXTJOIN(" ", FALSE,#REF!)</f>
        <v>#REF!</v>
      </c>
      <c r="CQ26" s="122"/>
      <c r="CR26" s="71" t="s">
        <v>269</v>
      </c>
      <c r="CS26" s="73" t="e">
        <f xml:space="preserve"> _xlfn.TEXTJOIN(" ", FALSE,#REF!)</f>
        <v>#REF!</v>
      </c>
      <c r="CT26" s="122"/>
      <c r="CU26" s="71" t="s">
        <v>270</v>
      </c>
      <c r="CV26" s="72" t="e">
        <f xml:space="preserve"> _xlfn.TEXTJOIN(" ", FALSE,#REF!)</f>
        <v>#REF!</v>
      </c>
      <c r="CW26" s="122"/>
      <c r="CX26" s="71" t="s">
        <v>271</v>
      </c>
      <c r="CY26" s="72" t="e">
        <f xml:space="preserve"> _xlfn.TEXTJOIN(" ", FALSE,#REF!)</f>
        <v>#REF!</v>
      </c>
      <c r="CZ26" s="122"/>
      <c r="DA26" s="71" t="s">
        <v>272</v>
      </c>
      <c r="DB26" s="73" t="e">
        <f xml:space="preserve"> _xlfn.TEXTJOIN(" ", FALSE,#REF!)</f>
        <v>#REF!</v>
      </c>
      <c r="DC26" s="65" t="s">
        <v>277</v>
      </c>
      <c r="DD26" s="70" t="e">
        <f t="shared" si="4"/>
        <v>#REF!</v>
      </c>
      <c r="DE26" s="64" t="s">
        <v>273</v>
      </c>
      <c r="DF26" s="122"/>
      <c r="DG26" s="71" t="s">
        <v>274</v>
      </c>
      <c r="DH26" s="72" t="e">
        <f xml:space="preserve"> _xlfn.TEXTJOIN(" ", FALSE,#REF!)</f>
        <v>#REF!</v>
      </c>
      <c r="DI26" s="122"/>
      <c r="DJ26" s="71" t="s">
        <v>275</v>
      </c>
      <c r="DK26" s="73" t="e">
        <f xml:space="preserve"> _xlfn.TEXTJOIN(" ", FALSE,#REF!)</f>
        <v>#REF!</v>
      </c>
      <c r="DL26" s="65" t="s">
        <v>277</v>
      </c>
      <c r="DM26" s="70" t="e">
        <f t="shared" si="5"/>
        <v>#REF!</v>
      </c>
      <c r="DN26" s="70" t="e">
        <f t="shared" si="6"/>
        <v>#REF!</v>
      </c>
    </row>
    <row r="27" spans="1:118" ht="108" customHeight="1">
      <c r="A27" s="122" t="e">
        <f>Summary!A27</f>
        <v>#REF!</v>
      </c>
      <c r="B27" s="64" t="s">
        <v>233</v>
      </c>
      <c r="C27" s="65" t="e">
        <f>Summary!B27</f>
        <v>#REF!</v>
      </c>
      <c r="D27" s="122"/>
      <c r="E27" s="64" t="s">
        <v>235</v>
      </c>
      <c r="F27" s="132" t="e">
        <f>Summary!C27</f>
        <v>#REF!</v>
      </c>
      <c r="G27" s="64" t="s">
        <v>236</v>
      </c>
      <c r="H27" s="132" t="e">
        <f>Summary!D27</f>
        <v>#REF!</v>
      </c>
      <c r="I27" s="64" t="s">
        <v>237</v>
      </c>
      <c r="J27" s="66">
        <f>Summary!E27</f>
        <v>6</v>
      </c>
      <c r="K27" s="64" t="s">
        <v>238</v>
      </c>
      <c r="L27" s="132" t="e">
        <f>Summary!F27</f>
        <v>#REF!</v>
      </c>
      <c r="M27" s="64" t="s">
        <v>239</v>
      </c>
      <c r="N27" s="132" t="e">
        <f>Summary!G27</f>
        <v>#REF!</v>
      </c>
      <c r="O27" s="64" t="s">
        <v>240</v>
      </c>
      <c r="P27" s="132" t="e">
        <f>Summary!H27</f>
        <v>#REF!</v>
      </c>
      <c r="Q27" s="65" t="s">
        <v>277</v>
      </c>
      <c r="R27" s="70" t="e">
        <f t="shared" si="0"/>
        <v>#REF!</v>
      </c>
      <c r="S27" s="64" t="s">
        <v>243</v>
      </c>
      <c r="T27" s="122"/>
      <c r="U27" s="71" t="s">
        <v>244</v>
      </c>
      <c r="V27" s="72" t="e">
        <f xml:space="preserve"> _xlfn.TEXTJOIN(" ", FALSE,#REF!)</f>
        <v>#REF!</v>
      </c>
      <c r="W27" s="122"/>
      <c r="X27" s="71" t="s">
        <v>245</v>
      </c>
      <c r="Y27" s="72" t="e">
        <f xml:space="preserve"> _xlfn.TEXTJOIN(" ", FALSE,#REF!)</f>
        <v>#REF!</v>
      </c>
      <c r="Z27" s="122"/>
      <c r="AA27" s="71" t="s">
        <v>246</v>
      </c>
      <c r="AB27" s="72" t="e">
        <f xml:space="preserve"> _xlfn.TEXTJOIN(" ", FALSE,#REF!)</f>
        <v>#REF!</v>
      </c>
      <c r="AC27" s="122"/>
      <c r="AD27" s="71" t="s">
        <v>247</v>
      </c>
      <c r="AE27" s="72" t="e">
        <f xml:space="preserve"> _xlfn.TEXTJOIN(" ", FALSE,#REF!)</f>
        <v>#REF!</v>
      </c>
      <c r="AF27" s="122"/>
      <c r="AG27" s="71" t="s">
        <v>248</v>
      </c>
      <c r="AH27" s="73" t="e">
        <f xml:space="preserve"> _xlfn.TEXTJOIN(" ", FALSE,#REF!)</f>
        <v>#REF!</v>
      </c>
      <c r="AI27" s="122"/>
      <c r="AJ27" s="71" t="s">
        <v>249</v>
      </c>
      <c r="AK27" s="73" t="e">
        <f xml:space="preserve"> _xlfn.TEXTJOIN(" ", FALSE,#REF!)</f>
        <v>#REF!</v>
      </c>
      <c r="AL27" s="122"/>
      <c r="AM27" s="71" t="s">
        <v>250</v>
      </c>
      <c r="AN27" s="73" t="e">
        <f xml:space="preserve"> _xlfn.TEXTJOIN(" ", FALSE,#REF!)</f>
        <v>#REF!</v>
      </c>
      <c r="AO27" s="122"/>
      <c r="AP27" s="71" t="s">
        <v>251</v>
      </c>
      <c r="AQ27" s="72" t="e">
        <f xml:space="preserve"> _xlfn.TEXTJOIN(" ", FALSE,#REF!)</f>
        <v>#REF!</v>
      </c>
      <c r="AR27" s="122"/>
      <c r="AS27" s="71" t="s">
        <v>252</v>
      </c>
      <c r="AT27" s="72" t="e">
        <f xml:space="preserve"> _xlfn.TEXTJOIN(" ", FALSE,#REF!)</f>
        <v>#REF!</v>
      </c>
      <c r="AU27" s="122"/>
      <c r="AV27" s="71" t="s">
        <v>253</v>
      </c>
      <c r="AW27" s="73" t="e">
        <f xml:space="preserve"> _xlfn.TEXTJOIN(" ", FALSE,#REF!)</f>
        <v>#REF!</v>
      </c>
      <c r="AX27" s="122"/>
      <c r="AY27" s="71" t="s">
        <v>254</v>
      </c>
      <c r="AZ27" s="72" t="e">
        <f xml:space="preserve"> _xlfn.TEXTJOIN(" ", FALSE,#REF!)</f>
        <v>#REF!</v>
      </c>
      <c r="BA27" s="122"/>
      <c r="BB27" s="71" t="s">
        <v>255</v>
      </c>
      <c r="BC27" s="72" t="e">
        <f xml:space="preserve"> _xlfn.TEXTJOIN(" ", FALSE,#REF!)</f>
        <v>#REF!</v>
      </c>
      <c r="BD27" s="122"/>
      <c r="BE27" s="71" t="s">
        <v>256</v>
      </c>
      <c r="BF27" s="72" t="e">
        <f xml:space="preserve"> _xlfn.TEXTJOIN(" ", FALSE,#REF!)</f>
        <v>#REF!</v>
      </c>
      <c r="BG27" s="65" t="s">
        <v>277</v>
      </c>
      <c r="BH27" s="70" t="e">
        <f t="shared" si="1"/>
        <v>#REF!</v>
      </c>
      <c r="BI27" s="64" t="s">
        <v>257</v>
      </c>
      <c r="BJ27" s="122"/>
      <c r="BK27" s="71" t="s">
        <v>258</v>
      </c>
      <c r="BL27" s="74" t="str">
        <f>_xlfn.TEXTJOIN(" ", FALSE, 'Task 2a - Mitigating the Proble'!U27:AC27)</f>
        <v xml:space="preserve">1 0 1 0 0 1 0 0 </v>
      </c>
      <c r="BM27" s="65" t="s">
        <v>277</v>
      </c>
      <c r="BN27" s="70" t="str">
        <f t="shared" si="2"/>
        <v>[Details for Task 2a:]  /Question 12: 1 0 1 0 0 1 0 0  .</v>
      </c>
      <c r="BO27" s="64" t="s">
        <v>259</v>
      </c>
      <c r="BP27" s="122"/>
      <c r="BQ27" s="71" t="s">
        <v>260</v>
      </c>
      <c r="BR27" s="73" t="e">
        <f xml:space="preserve"> _xlfn.TEXTJOIN(" ", FALSE,#REF!)</f>
        <v>#REF!</v>
      </c>
      <c r="BS27" s="122"/>
      <c r="BT27" s="71" t="s">
        <v>261</v>
      </c>
      <c r="BU27" s="73" t="e">
        <f xml:space="preserve"> _xlfn.TEXTJOIN(" ", FALSE,#REF!)</f>
        <v>#REF!</v>
      </c>
      <c r="BV27" s="122"/>
      <c r="BW27" s="71" t="s">
        <v>262</v>
      </c>
      <c r="BX27" s="73" t="e">
        <f xml:space="preserve"> _xlfn.TEXTJOIN(" ", FALSE,#REF!)</f>
        <v>#REF!</v>
      </c>
      <c r="BY27" s="122"/>
      <c r="BZ27" s="71" t="s">
        <v>263</v>
      </c>
      <c r="CA27" s="73" t="e">
        <f xml:space="preserve"> _xlfn.TEXTJOIN(" ", FALSE,#REF!)</f>
        <v>#REF!</v>
      </c>
      <c r="CB27" s="122"/>
      <c r="CC27" s="71" t="s">
        <v>264</v>
      </c>
      <c r="CD27" s="73" t="e">
        <f xml:space="preserve"> _xlfn.TEXTJOIN(" ", FALSE,#REF!)</f>
        <v>#REF!</v>
      </c>
      <c r="CE27" s="122"/>
      <c r="CF27" s="71" t="s">
        <v>265</v>
      </c>
      <c r="CG27" s="73" t="e">
        <f xml:space="preserve"> _xlfn.TEXTJOIN(" ", FALSE,#REF!)</f>
        <v>#REF!</v>
      </c>
      <c r="CH27" s="122"/>
      <c r="CI27" s="74" t="s">
        <v>278</v>
      </c>
      <c r="CJ27" s="73" t="e">
        <f xml:space="preserve"> _xlfn.TEXTJOIN(" ", FALSE,#REF!)</f>
        <v>#REF!</v>
      </c>
      <c r="CK27" s="65" t="s">
        <v>277</v>
      </c>
      <c r="CL27" s="70" t="e">
        <f t="shared" si="3"/>
        <v>#REF!</v>
      </c>
      <c r="CM27" s="64" t="s">
        <v>267</v>
      </c>
      <c r="CN27" s="122"/>
      <c r="CO27" s="71" t="s">
        <v>268</v>
      </c>
      <c r="CP27" s="73" t="e">
        <f xml:space="preserve"> _xlfn.TEXTJOIN(" ", FALSE,#REF!)</f>
        <v>#REF!</v>
      </c>
      <c r="CQ27" s="122"/>
      <c r="CR27" s="71" t="s">
        <v>269</v>
      </c>
      <c r="CS27" s="73" t="e">
        <f xml:space="preserve"> _xlfn.TEXTJOIN(" ", FALSE,#REF!)</f>
        <v>#REF!</v>
      </c>
      <c r="CT27" s="122"/>
      <c r="CU27" s="71" t="s">
        <v>270</v>
      </c>
      <c r="CV27" s="72" t="e">
        <f xml:space="preserve"> _xlfn.TEXTJOIN(" ", FALSE,#REF!)</f>
        <v>#REF!</v>
      </c>
      <c r="CW27" s="122"/>
      <c r="CX27" s="71" t="s">
        <v>271</v>
      </c>
      <c r="CY27" s="72" t="e">
        <f xml:space="preserve"> _xlfn.TEXTJOIN(" ", FALSE,#REF!)</f>
        <v>#REF!</v>
      </c>
      <c r="CZ27" s="122"/>
      <c r="DA27" s="71" t="s">
        <v>272</v>
      </c>
      <c r="DB27" s="73" t="e">
        <f xml:space="preserve"> _xlfn.TEXTJOIN(" ", FALSE,#REF!)</f>
        <v>#REF!</v>
      </c>
      <c r="DC27" s="65" t="s">
        <v>277</v>
      </c>
      <c r="DD27" s="70" t="e">
        <f t="shared" si="4"/>
        <v>#REF!</v>
      </c>
      <c r="DE27" s="64" t="s">
        <v>273</v>
      </c>
      <c r="DF27" s="122"/>
      <c r="DG27" s="71" t="s">
        <v>274</v>
      </c>
      <c r="DH27" s="72" t="e">
        <f xml:space="preserve"> _xlfn.TEXTJOIN(" ", FALSE,#REF!)</f>
        <v>#REF!</v>
      </c>
      <c r="DI27" s="122"/>
      <c r="DJ27" s="71" t="s">
        <v>275</v>
      </c>
      <c r="DK27" s="73" t="e">
        <f xml:space="preserve"> _xlfn.TEXTJOIN(" ", FALSE,#REF!)</f>
        <v>#REF!</v>
      </c>
      <c r="DL27" s="65" t="s">
        <v>277</v>
      </c>
      <c r="DM27" s="70" t="e">
        <f t="shared" si="5"/>
        <v>#REF!</v>
      </c>
      <c r="DN27" s="70" t="e">
        <f t="shared" si="6"/>
        <v>#REF!</v>
      </c>
    </row>
    <row r="28" spans="1:118" ht="108" customHeight="1">
      <c r="A28" s="122" t="e">
        <f>Summary!A28</f>
        <v>#REF!</v>
      </c>
      <c r="B28" s="64" t="s">
        <v>233</v>
      </c>
      <c r="C28" s="65" t="e">
        <f>Summary!B28</f>
        <v>#REF!</v>
      </c>
      <c r="D28" s="122"/>
      <c r="E28" s="64" t="s">
        <v>235</v>
      </c>
      <c r="F28" s="132" t="e">
        <f>Summary!C28</f>
        <v>#REF!</v>
      </c>
      <c r="G28" s="64" t="s">
        <v>236</v>
      </c>
      <c r="H28" s="132" t="e">
        <f>Summary!D28</f>
        <v>#REF!</v>
      </c>
      <c r="I28" s="64" t="s">
        <v>237</v>
      </c>
      <c r="J28" s="66">
        <f>Summary!E28</f>
        <v>5</v>
      </c>
      <c r="K28" s="64" t="s">
        <v>238</v>
      </c>
      <c r="L28" s="132" t="e">
        <f>Summary!F28</f>
        <v>#REF!</v>
      </c>
      <c r="M28" s="64" t="s">
        <v>239</v>
      </c>
      <c r="N28" s="132" t="e">
        <f>Summary!G28</f>
        <v>#REF!</v>
      </c>
      <c r="O28" s="64" t="s">
        <v>240</v>
      </c>
      <c r="P28" s="132" t="e">
        <f>Summary!H28</f>
        <v>#REF!</v>
      </c>
      <c r="Q28" s="65" t="s">
        <v>277</v>
      </c>
      <c r="R28" s="70" t="e">
        <f t="shared" si="0"/>
        <v>#REF!</v>
      </c>
      <c r="S28" s="64" t="s">
        <v>243</v>
      </c>
      <c r="T28" s="122"/>
      <c r="U28" s="71" t="s">
        <v>244</v>
      </c>
      <c r="V28" s="72" t="e">
        <f xml:space="preserve"> _xlfn.TEXTJOIN(" ", FALSE,#REF!)</f>
        <v>#REF!</v>
      </c>
      <c r="W28" s="122"/>
      <c r="X28" s="71" t="s">
        <v>245</v>
      </c>
      <c r="Y28" s="72" t="e">
        <f xml:space="preserve"> _xlfn.TEXTJOIN(" ", FALSE,#REF!)</f>
        <v>#REF!</v>
      </c>
      <c r="Z28" s="122"/>
      <c r="AA28" s="71" t="s">
        <v>246</v>
      </c>
      <c r="AB28" s="72" t="e">
        <f xml:space="preserve"> _xlfn.TEXTJOIN(" ", FALSE,#REF!)</f>
        <v>#REF!</v>
      </c>
      <c r="AC28" s="122"/>
      <c r="AD28" s="71" t="s">
        <v>247</v>
      </c>
      <c r="AE28" s="72" t="e">
        <f xml:space="preserve"> _xlfn.TEXTJOIN(" ", FALSE,#REF!)</f>
        <v>#REF!</v>
      </c>
      <c r="AF28" s="122"/>
      <c r="AG28" s="71" t="s">
        <v>248</v>
      </c>
      <c r="AH28" s="73" t="e">
        <f xml:space="preserve"> _xlfn.TEXTJOIN(" ", FALSE,#REF!)</f>
        <v>#REF!</v>
      </c>
      <c r="AI28" s="122"/>
      <c r="AJ28" s="71" t="s">
        <v>249</v>
      </c>
      <c r="AK28" s="73" t="e">
        <f xml:space="preserve"> _xlfn.TEXTJOIN(" ", FALSE,#REF!)</f>
        <v>#REF!</v>
      </c>
      <c r="AL28" s="122"/>
      <c r="AM28" s="71" t="s">
        <v>250</v>
      </c>
      <c r="AN28" s="73" t="e">
        <f xml:space="preserve"> _xlfn.TEXTJOIN(" ", FALSE,#REF!)</f>
        <v>#REF!</v>
      </c>
      <c r="AO28" s="122"/>
      <c r="AP28" s="71" t="s">
        <v>251</v>
      </c>
      <c r="AQ28" s="72" t="e">
        <f xml:space="preserve"> _xlfn.TEXTJOIN(" ", FALSE,#REF!)</f>
        <v>#REF!</v>
      </c>
      <c r="AR28" s="122"/>
      <c r="AS28" s="71" t="s">
        <v>252</v>
      </c>
      <c r="AT28" s="72" t="e">
        <f xml:space="preserve"> _xlfn.TEXTJOIN(" ", FALSE,#REF!)</f>
        <v>#REF!</v>
      </c>
      <c r="AU28" s="122"/>
      <c r="AV28" s="71" t="s">
        <v>253</v>
      </c>
      <c r="AW28" s="73" t="e">
        <f xml:space="preserve"> _xlfn.TEXTJOIN(" ", FALSE,#REF!)</f>
        <v>#REF!</v>
      </c>
      <c r="AX28" s="122"/>
      <c r="AY28" s="71" t="s">
        <v>254</v>
      </c>
      <c r="AZ28" s="72" t="e">
        <f xml:space="preserve"> _xlfn.TEXTJOIN(" ", FALSE,#REF!)</f>
        <v>#REF!</v>
      </c>
      <c r="BA28" s="122"/>
      <c r="BB28" s="71" t="s">
        <v>255</v>
      </c>
      <c r="BC28" s="72" t="e">
        <f xml:space="preserve"> _xlfn.TEXTJOIN(" ", FALSE,#REF!)</f>
        <v>#REF!</v>
      </c>
      <c r="BD28" s="122"/>
      <c r="BE28" s="71" t="s">
        <v>256</v>
      </c>
      <c r="BF28" s="72" t="e">
        <f xml:space="preserve"> _xlfn.TEXTJOIN(" ", FALSE,#REF!)</f>
        <v>#REF!</v>
      </c>
      <c r="BG28" s="65" t="s">
        <v>277</v>
      </c>
      <c r="BH28" s="70" t="e">
        <f t="shared" si="1"/>
        <v>#REF!</v>
      </c>
      <c r="BI28" s="64" t="s">
        <v>257</v>
      </c>
      <c r="BJ28" s="122"/>
      <c r="BK28" s="71" t="s">
        <v>258</v>
      </c>
      <c r="BL28" s="74" t="str">
        <f>_xlfn.TEXTJOIN(" ", FALSE, 'Task 2a - Mitigating the Proble'!U28:AC28)</f>
        <v xml:space="preserve">1 0 0 0 0 1 0 0 </v>
      </c>
      <c r="BM28" s="65" t="s">
        <v>277</v>
      </c>
      <c r="BN28" s="70" t="str">
        <f t="shared" si="2"/>
        <v>[Details for Task 2a:]  /Question 12: 1 0 0 0 0 1 0 0  .</v>
      </c>
      <c r="BO28" s="64" t="s">
        <v>259</v>
      </c>
      <c r="BP28" s="122"/>
      <c r="BQ28" s="71" t="s">
        <v>260</v>
      </c>
      <c r="BR28" s="73" t="e">
        <f xml:space="preserve"> _xlfn.TEXTJOIN(" ", FALSE,#REF!)</f>
        <v>#REF!</v>
      </c>
      <c r="BS28" s="122"/>
      <c r="BT28" s="71" t="s">
        <v>261</v>
      </c>
      <c r="BU28" s="73" t="e">
        <f xml:space="preserve"> _xlfn.TEXTJOIN(" ", FALSE,#REF!)</f>
        <v>#REF!</v>
      </c>
      <c r="BV28" s="122"/>
      <c r="BW28" s="71" t="s">
        <v>262</v>
      </c>
      <c r="BX28" s="73" t="e">
        <f xml:space="preserve"> _xlfn.TEXTJOIN(" ", FALSE,#REF!)</f>
        <v>#REF!</v>
      </c>
      <c r="BY28" s="122"/>
      <c r="BZ28" s="71" t="s">
        <v>263</v>
      </c>
      <c r="CA28" s="73" t="e">
        <f xml:space="preserve"> _xlfn.TEXTJOIN(" ", FALSE,#REF!)</f>
        <v>#REF!</v>
      </c>
      <c r="CB28" s="122"/>
      <c r="CC28" s="71" t="s">
        <v>264</v>
      </c>
      <c r="CD28" s="73" t="e">
        <f xml:space="preserve"> _xlfn.TEXTJOIN(" ", FALSE,#REF!)</f>
        <v>#REF!</v>
      </c>
      <c r="CE28" s="122"/>
      <c r="CF28" s="71" t="s">
        <v>265</v>
      </c>
      <c r="CG28" s="73" t="e">
        <f xml:space="preserve"> _xlfn.TEXTJOIN(" ", FALSE,#REF!)</f>
        <v>#REF!</v>
      </c>
      <c r="CH28" s="122"/>
      <c r="CI28" s="74" t="s">
        <v>278</v>
      </c>
      <c r="CJ28" s="73" t="e">
        <f xml:space="preserve"> _xlfn.TEXTJOIN(" ", FALSE,#REF!)</f>
        <v>#REF!</v>
      </c>
      <c r="CK28" s="65" t="s">
        <v>277</v>
      </c>
      <c r="CL28" s="70" t="e">
        <f t="shared" si="3"/>
        <v>#REF!</v>
      </c>
      <c r="CM28" s="64" t="s">
        <v>267</v>
      </c>
      <c r="CN28" s="122"/>
      <c r="CO28" s="71" t="s">
        <v>268</v>
      </c>
      <c r="CP28" s="73" t="e">
        <f xml:space="preserve"> _xlfn.TEXTJOIN(" ", FALSE,#REF!)</f>
        <v>#REF!</v>
      </c>
      <c r="CQ28" s="122"/>
      <c r="CR28" s="71" t="s">
        <v>269</v>
      </c>
      <c r="CS28" s="73" t="e">
        <f xml:space="preserve"> _xlfn.TEXTJOIN(" ", FALSE,#REF!)</f>
        <v>#REF!</v>
      </c>
      <c r="CT28" s="122"/>
      <c r="CU28" s="71" t="s">
        <v>270</v>
      </c>
      <c r="CV28" s="72" t="e">
        <f xml:space="preserve"> _xlfn.TEXTJOIN(" ", FALSE,#REF!)</f>
        <v>#REF!</v>
      </c>
      <c r="CW28" s="122"/>
      <c r="CX28" s="71" t="s">
        <v>271</v>
      </c>
      <c r="CY28" s="72" t="e">
        <f xml:space="preserve"> _xlfn.TEXTJOIN(" ", FALSE,#REF!)</f>
        <v>#REF!</v>
      </c>
      <c r="CZ28" s="122"/>
      <c r="DA28" s="71" t="s">
        <v>272</v>
      </c>
      <c r="DB28" s="73" t="e">
        <f xml:space="preserve"> _xlfn.TEXTJOIN(" ", FALSE,#REF!)</f>
        <v>#REF!</v>
      </c>
      <c r="DC28" s="65" t="s">
        <v>277</v>
      </c>
      <c r="DD28" s="70" t="e">
        <f t="shared" si="4"/>
        <v>#REF!</v>
      </c>
      <c r="DE28" s="64" t="s">
        <v>273</v>
      </c>
      <c r="DF28" s="122"/>
      <c r="DG28" s="71" t="s">
        <v>274</v>
      </c>
      <c r="DH28" s="72" t="e">
        <f xml:space="preserve"> _xlfn.TEXTJOIN(" ", FALSE,#REF!)</f>
        <v>#REF!</v>
      </c>
      <c r="DI28" s="122"/>
      <c r="DJ28" s="71" t="s">
        <v>275</v>
      </c>
      <c r="DK28" s="73" t="e">
        <f xml:space="preserve"> _xlfn.TEXTJOIN(" ", FALSE,#REF!)</f>
        <v>#REF!</v>
      </c>
      <c r="DL28" s="65" t="s">
        <v>277</v>
      </c>
      <c r="DM28" s="70" t="e">
        <f t="shared" si="5"/>
        <v>#REF!</v>
      </c>
      <c r="DN28" s="70" t="e">
        <f t="shared" si="6"/>
        <v>#REF!</v>
      </c>
    </row>
    <row r="29" spans="1:118" ht="108" customHeight="1">
      <c r="A29" s="122" t="e">
        <f>Summary!A29</f>
        <v>#REF!</v>
      </c>
      <c r="B29" s="64" t="s">
        <v>233</v>
      </c>
      <c r="C29" s="65" t="e">
        <f>Summary!B29</f>
        <v>#REF!</v>
      </c>
      <c r="D29" s="122"/>
      <c r="E29" s="64" t="s">
        <v>235</v>
      </c>
      <c r="F29" s="132" t="e">
        <f>Summary!C29</f>
        <v>#REF!</v>
      </c>
      <c r="G29" s="64" t="s">
        <v>236</v>
      </c>
      <c r="H29" s="132" t="e">
        <f>Summary!D29</f>
        <v>#REF!</v>
      </c>
      <c r="I29" s="64" t="s">
        <v>237</v>
      </c>
      <c r="J29" s="66">
        <f>Summary!E29</f>
        <v>7</v>
      </c>
      <c r="K29" s="64" t="s">
        <v>238</v>
      </c>
      <c r="L29" s="132" t="e">
        <f>Summary!F29</f>
        <v>#REF!</v>
      </c>
      <c r="M29" s="64" t="s">
        <v>239</v>
      </c>
      <c r="N29" s="132" t="e">
        <f>Summary!G29</f>
        <v>#REF!</v>
      </c>
      <c r="O29" s="64" t="s">
        <v>240</v>
      </c>
      <c r="P29" s="132" t="e">
        <f>Summary!H29</f>
        <v>#REF!</v>
      </c>
      <c r="Q29" s="65" t="s">
        <v>277</v>
      </c>
      <c r="R29" s="70" t="e">
        <f t="shared" si="0"/>
        <v>#REF!</v>
      </c>
      <c r="S29" s="64" t="s">
        <v>243</v>
      </c>
      <c r="T29" s="122"/>
      <c r="U29" s="71" t="s">
        <v>244</v>
      </c>
      <c r="V29" s="72" t="e">
        <f xml:space="preserve"> _xlfn.TEXTJOIN(" ", FALSE,#REF!)</f>
        <v>#REF!</v>
      </c>
      <c r="W29" s="122"/>
      <c r="X29" s="71" t="s">
        <v>245</v>
      </c>
      <c r="Y29" s="72" t="e">
        <f xml:space="preserve"> _xlfn.TEXTJOIN(" ", FALSE,#REF!)</f>
        <v>#REF!</v>
      </c>
      <c r="Z29" s="122"/>
      <c r="AA29" s="71" t="s">
        <v>246</v>
      </c>
      <c r="AB29" s="72" t="e">
        <f xml:space="preserve"> _xlfn.TEXTJOIN(" ", FALSE,#REF!)</f>
        <v>#REF!</v>
      </c>
      <c r="AC29" s="122"/>
      <c r="AD29" s="71" t="s">
        <v>247</v>
      </c>
      <c r="AE29" s="72" t="e">
        <f xml:space="preserve"> _xlfn.TEXTJOIN(" ", FALSE,#REF!)</f>
        <v>#REF!</v>
      </c>
      <c r="AF29" s="122"/>
      <c r="AG29" s="71" t="s">
        <v>248</v>
      </c>
      <c r="AH29" s="73" t="e">
        <f xml:space="preserve"> _xlfn.TEXTJOIN(" ", FALSE,#REF!)</f>
        <v>#REF!</v>
      </c>
      <c r="AI29" s="122"/>
      <c r="AJ29" s="71" t="s">
        <v>249</v>
      </c>
      <c r="AK29" s="73" t="e">
        <f xml:space="preserve"> _xlfn.TEXTJOIN(" ", FALSE,#REF!)</f>
        <v>#REF!</v>
      </c>
      <c r="AL29" s="122"/>
      <c r="AM29" s="71" t="s">
        <v>250</v>
      </c>
      <c r="AN29" s="73" t="e">
        <f xml:space="preserve"> _xlfn.TEXTJOIN(" ", FALSE,#REF!)</f>
        <v>#REF!</v>
      </c>
      <c r="AO29" s="122"/>
      <c r="AP29" s="71" t="s">
        <v>251</v>
      </c>
      <c r="AQ29" s="72" t="e">
        <f xml:space="preserve"> _xlfn.TEXTJOIN(" ", FALSE,#REF!)</f>
        <v>#REF!</v>
      </c>
      <c r="AR29" s="122"/>
      <c r="AS29" s="71" t="s">
        <v>252</v>
      </c>
      <c r="AT29" s="72" t="e">
        <f xml:space="preserve"> _xlfn.TEXTJOIN(" ", FALSE,#REF!)</f>
        <v>#REF!</v>
      </c>
      <c r="AU29" s="122"/>
      <c r="AV29" s="71" t="s">
        <v>253</v>
      </c>
      <c r="AW29" s="73" t="e">
        <f xml:space="preserve"> _xlfn.TEXTJOIN(" ", FALSE,#REF!)</f>
        <v>#REF!</v>
      </c>
      <c r="AX29" s="122"/>
      <c r="AY29" s="71" t="s">
        <v>254</v>
      </c>
      <c r="AZ29" s="72" t="e">
        <f xml:space="preserve"> _xlfn.TEXTJOIN(" ", FALSE,#REF!)</f>
        <v>#REF!</v>
      </c>
      <c r="BA29" s="122"/>
      <c r="BB29" s="71" t="s">
        <v>255</v>
      </c>
      <c r="BC29" s="72" t="e">
        <f xml:space="preserve"> _xlfn.TEXTJOIN(" ", FALSE,#REF!)</f>
        <v>#REF!</v>
      </c>
      <c r="BD29" s="122"/>
      <c r="BE29" s="71" t="s">
        <v>256</v>
      </c>
      <c r="BF29" s="72" t="e">
        <f xml:space="preserve"> _xlfn.TEXTJOIN(" ", FALSE,#REF!)</f>
        <v>#REF!</v>
      </c>
      <c r="BG29" s="65" t="s">
        <v>277</v>
      </c>
      <c r="BH29" s="70" t="e">
        <f t="shared" si="1"/>
        <v>#REF!</v>
      </c>
      <c r="BI29" s="64" t="s">
        <v>257</v>
      </c>
      <c r="BJ29" s="122"/>
      <c r="BK29" s="71" t="s">
        <v>258</v>
      </c>
      <c r="BL29" s="74" t="str">
        <f>_xlfn.TEXTJOIN(" ", FALSE, 'Task 2a - Mitigating the Proble'!U29:AC29)</f>
        <v xml:space="preserve">1 1 1 1 0 1 0 0 </v>
      </c>
      <c r="BM29" s="65" t="s">
        <v>277</v>
      </c>
      <c r="BN29" s="70" t="str">
        <f t="shared" si="2"/>
        <v>[Details for Task 2a:]  /Question 12: 1 1 1 1 0 1 0 0  .</v>
      </c>
      <c r="BO29" s="64" t="s">
        <v>259</v>
      </c>
      <c r="BP29" s="122"/>
      <c r="BQ29" s="71" t="s">
        <v>260</v>
      </c>
      <c r="BR29" s="73" t="e">
        <f xml:space="preserve"> _xlfn.TEXTJOIN(" ", FALSE,#REF!)</f>
        <v>#REF!</v>
      </c>
      <c r="BS29" s="122"/>
      <c r="BT29" s="71" t="s">
        <v>261</v>
      </c>
      <c r="BU29" s="73" t="e">
        <f xml:space="preserve"> _xlfn.TEXTJOIN(" ", FALSE,#REF!)</f>
        <v>#REF!</v>
      </c>
      <c r="BV29" s="122"/>
      <c r="BW29" s="71" t="s">
        <v>262</v>
      </c>
      <c r="BX29" s="73" t="e">
        <f xml:space="preserve"> _xlfn.TEXTJOIN(" ", FALSE,#REF!)</f>
        <v>#REF!</v>
      </c>
      <c r="BY29" s="122"/>
      <c r="BZ29" s="71" t="s">
        <v>263</v>
      </c>
      <c r="CA29" s="73" t="e">
        <f xml:space="preserve"> _xlfn.TEXTJOIN(" ", FALSE,#REF!)</f>
        <v>#REF!</v>
      </c>
      <c r="CB29" s="122"/>
      <c r="CC29" s="71" t="s">
        <v>264</v>
      </c>
      <c r="CD29" s="73" t="e">
        <f xml:space="preserve"> _xlfn.TEXTJOIN(" ", FALSE,#REF!)</f>
        <v>#REF!</v>
      </c>
      <c r="CE29" s="122"/>
      <c r="CF29" s="71" t="s">
        <v>265</v>
      </c>
      <c r="CG29" s="73" t="e">
        <f xml:space="preserve"> _xlfn.TEXTJOIN(" ", FALSE,#REF!)</f>
        <v>#REF!</v>
      </c>
      <c r="CH29" s="122"/>
      <c r="CI29" s="74" t="s">
        <v>278</v>
      </c>
      <c r="CJ29" s="73" t="e">
        <f xml:space="preserve"> _xlfn.TEXTJOIN(" ", FALSE,#REF!)</f>
        <v>#REF!</v>
      </c>
      <c r="CK29" s="65" t="s">
        <v>277</v>
      </c>
      <c r="CL29" s="70" t="e">
        <f t="shared" si="3"/>
        <v>#REF!</v>
      </c>
      <c r="CM29" s="64" t="s">
        <v>267</v>
      </c>
      <c r="CN29" s="122"/>
      <c r="CO29" s="71" t="s">
        <v>268</v>
      </c>
      <c r="CP29" s="73" t="e">
        <f xml:space="preserve"> _xlfn.TEXTJOIN(" ", FALSE,#REF!)</f>
        <v>#REF!</v>
      </c>
      <c r="CQ29" s="122"/>
      <c r="CR29" s="71" t="s">
        <v>269</v>
      </c>
      <c r="CS29" s="73" t="e">
        <f xml:space="preserve"> _xlfn.TEXTJOIN(" ", FALSE,#REF!)</f>
        <v>#REF!</v>
      </c>
      <c r="CT29" s="122"/>
      <c r="CU29" s="71" t="s">
        <v>270</v>
      </c>
      <c r="CV29" s="72" t="e">
        <f xml:space="preserve"> _xlfn.TEXTJOIN(" ", FALSE,#REF!)</f>
        <v>#REF!</v>
      </c>
      <c r="CW29" s="122"/>
      <c r="CX29" s="71" t="s">
        <v>271</v>
      </c>
      <c r="CY29" s="72" t="e">
        <f xml:space="preserve"> _xlfn.TEXTJOIN(" ", FALSE,#REF!)</f>
        <v>#REF!</v>
      </c>
      <c r="CZ29" s="122"/>
      <c r="DA29" s="71" t="s">
        <v>272</v>
      </c>
      <c r="DB29" s="73" t="e">
        <f xml:space="preserve"> _xlfn.TEXTJOIN(" ", FALSE,#REF!)</f>
        <v>#REF!</v>
      </c>
      <c r="DC29" s="65" t="s">
        <v>277</v>
      </c>
      <c r="DD29" s="70" t="e">
        <f t="shared" si="4"/>
        <v>#REF!</v>
      </c>
      <c r="DE29" s="64" t="s">
        <v>273</v>
      </c>
      <c r="DF29" s="122"/>
      <c r="DG29" s="71" t="s">
        <v>274</v>
      </c>
      <c r="DH29" s="72" t="e">
        <f xml:space="preserve"> _xlfn.TEXTJOIN(" ", FALSE,#REF!)</f>
        <v>#REF!</v>
      </c>
      <c r="DI29" s="122"/>
      <c r="DJ29" s="71" t="s">
        <v>275</v>
      </c>
      <c r="DK29" s="73" t="e">
        <f xml:space="preserve"> _xlfn.TEXTJOIN(" ", FALSE,#REF!)</f>
        <v>#REF!</v>
      </c>
      <c r="DL29" s="65" t="s">
        <v>277</v>
      </c>
      <c r="DM29" s="70" t="e">
        <f t="shared" si="5"/>
        <v>#REF!</v>
      </c>
      <c r="DN29" s="70" t="e">
        <f t="shared" si="6"/>
        <v>#REF!</v>
      </c>
    </row>
    <row r="30" spans="1:118" ht="108" customHeight="1">
      <c r="A30" s="122" t="e">
        <f>Summary!A30</f>
        <v>#REF!</v>
      </c>
      <c r="B30" s="64" t="s">
        <v>233</v>
      </c>
      <c r="C30" s="65" t="e">
        <f>Summary!B30</f>
        <v>#REF!</v>
      </c>
      <c r="D30" s="122"/>
      <c r="E30" s="64" t="s">
        <v>235</v>
      </c>
      <c r="F30" s="132" t="e">
        <f>Summary!C30</f>
        <v>#REF!</v>
      </c>
      <c r="G30" s="64" t="s">
        <v>236</v>
      </c>
      <c r="H30" s="132" t="e">
        <f>Summary!D30</f>
        <v>#REF!</v>
      </c>
      <c r="I30" s="64" t="s">
        <v>237</v>
      </c>
      <c r="J30" s="66">
        <f>Summary!E30</f>
        <v>5</v>
      </c>
      <c r="K30" s="64" t="s">
        <v>238</v>
      </c>
      <c r="L30" s="132" t="e">
        <f>Summary!F30</f>
        <v>#REF!</v>
      </c>
      <c r="M30" s="64" t="s">
        <v>239</v>
      </c>
      <c r="N30" s="132" t="e">
        <f>Summary!G30</f>
        <v>#REF!</v>
      </c>
      <c r="O30" s="64" t="s">
        <v>240</v>
      </c>
      <c r="P30" s="132" t="e">
        <f>Summary!H30</f>
        <v>#REF!</v>
      </c>
      <c r="Q30" s="65" t="s">
        <v>277</v>
      </c>
      <c r="R30" s="70" t="e">
        <f t="shared" si="0"/>
        <v>#REF!</v>
      </c>
      <c r="S30" s="64" t="s">
        <v>243</v>
      </c>
      <c r="T30" s="122"/>
      <c r="U30" s="71" t="s">
        <v>244</v>
      </c>
      <c r="V30" s="72" t="e">
        <f xml:space="preserve"> _xlfn.TEXTJOIN(" ", FALSE,#REF!)</f>
        <v>#REF!</v>
      </c>
      <c r="W30" s="122"/>
      <c r="X30" s="71" t="s">
        <v>245</v>
      </c>
      <c r="Y30" s="72" t="e">
        <f xml:space="preserve"> _xlfn.TEXTJOIN(" ", FALSE,#REF!)</f>
        <v>#REF!</v>
      </c>
      <c r="Z30" s="122"/>
      <c r="AA30" s="71" t="s">
        <v>246</v>
      </c>
      <c r="AB30" s="72" t="e">
        <f xml:space="preserve"> _xlfn.TEXTJOIN(" ", FALSE,#REF!)</f>
        <v>#REF!</v>
      </c>
      <c r="AC30" s="122"/>
      <c r="AD30" s="71" t="s">
        <v>247</v>
      </c>
      <c r="AE30" s="72" t="e">
        <f xml:space="preserve"> _xlfn.TEXTJOIN(" ", FALSE,#REF!)</f>
        <v>#REF!</v>
      </c>
      <c r="AF30" s="122"/>
      <c r="AG30" s="71" t="s">
        <v>248</v>
      </c>
      <c r="AH30" s="73" t="e">
        <f xml:space="preserve"> _xlfn.TEXTJOIN(" ", FALSE,#REF!)</f>
        <v>#REF!</v>
      </c>
      <c r="AI30" s="122"/>
      <c r="AJ30" s="71" t="s">
        <v>249</v>
      </c>
      <c r="AK30" s="73" t="e">
        <f xml:space="preserve"> _xlfn.TEXTJOIN(" ", FALSE,#REF!)</f>
        <v>#REF!</v>
      </c>
      <c r="AL30" s="122"/>
      <c r="AM30" s="71" t="s">
        <v>250</v>
      </c>
      <c r="AN30" s="73" t="e">
        <f xml:space="preserve"> _xlfn.TEXTJOIN(" ", FALSE,#REF!)</f>
        <v>#REF!</v>
      </c>
      <c r="AO30" s="122"/>
      <c r="AP30" s="71" t="s">
        <v>251</v>
      </c>
      <c r="AQ30" s="72" t="e">
        <f xml:space="preserve"> _xlfn.TEXTJOIN(" ", FALSE,#REF!)</f>
        <v>#REF!</v>
      </c>
      <c r="AR30" s="122"/>
      <c r="AS30" s="71" t="s">
        <v>252</v>
      </c>
      <c r="AT30" s="72" t="e">
        <f xml:space="preserve"> _xlfn.TEXTJOIN(" ", FALSE,#REF!)</f>
        <v>#REF!</v>
      </c>
      <c r="AU30" s="122"/>
      <c r="AV30" s="71" t="s">
        <v>253</v>
      </c>
      <c r="AW30" s="73" t="e">
        <f xml:space="preserve"> _xlfn.TEXTJOIN(" ", FALSE,#REF!)</f>
        <v>#REF!</v>
      </c>
      <c r="AX30" s="122"/>
      <c r="AY30" s="71" t="s">
        <v>254</v>
      </c>
      <c r="AZ30" s="72" t="e">
        <f xml:space="preserve"> _xlfn.TEXTJOIN(" ", FALSE,#REF!)</f>
        <v>#REF!</v>
      </c>
      <c r="BA30" s="122"/>
      <c r="BB30" s="71" t="s">
        <v>255</v>
      </c>
      <c r="BC30" s="72" t="e">
        <f xml:space="preserve"> _xlfn.TEXTJOIN(" ", FALSE,#REF!)</f>
        <v>#REF!</v>
      </c>
      <c r="BD30" s="122"/>
      <c r="BE30" s="71" t="s">
        <v>256</v>
      </c>
      <c r="BF30" s="72" t="e">
        <f xml:space="preserve"> _xlfn.TEXTJOIN(" ", FALSE,#REF!)</f>
        <v>#REF!</v>
      </c>
      <c r="BG30" s="65" t="s">
        <v>277</v>
      </c>
      <c r="BH30" s="70" t="e">
        <f t="shared" si="1"/>
        <v>#REF!</v>
      </c>
      <c r="BI30" s="64" t="s">
        <v>257</v>
      </c>
      <c r="BJ30" s="122"/>
      <c r="BK30" s="71" t="s">
        <v>258</v>
      </c>
      <c r="BL30" s="74" t="str">
        <f>_xlfn.TEXTJOIN(" ", FALSE, 'Task 2a - Mitigating the Proble'!U30:AC30)</f>
        <v xml:space="preserve">1 0 0 0 0 1 0 0 </v>
      </c>
      <c r="BM30" s="65" t="s">
        <v>277</v>
      </c>
      <c r="BN30" s="70" t="str">
        <f t="shared" si="2"/>
        <v>[Details for Task 2a:]  /Question 12: 1 0 0 0 0 1 0 0  .</v>
      </c>
      <c r="BO30" s="64" t="s">
        <v>259</v>
      </c>
      <c r="BP30" s="122"/>
      <c r="BQ30" s="71" t="s">
        <v>260</v>
      </c>
      <c r="BR30" s="73" t="e">
        <f xml:space="preserve"> _xlfn.TEXTJOIN(" ", FALSE,#REF!)</f>
        <v>#REF!</v>
      </c>
      <c r="BS30" s="122"/>
      <c r="BT30" s="71" t="s">
        <v>261</v>
      </c>
      <c r="BU30" s="73" t="e">
        <f xml:space="preserve"> _xlfn.TEXTJOIN(" ", FALSE,#REF!)</f>
        <v>#REF!</v>
      </c>
      <c r="BV30" s="122"/>
      <c r="BW30" s="71" t="s">
        <v>262</v>
      </c>
      <c r="BX30" s="73" t="e">
        <f xml:space="preserve"> _xlfn.TEXTJOIN(" ", FALSE,#REF!)</f>
        <v>#REF!</v>
      </c>
      <c r="BY30" s="122"/>
      <c r="BZ30" s="71" t="s">
        <v>263</v>
      </c>
      <c r="CA30" s="73" t="e">
        <f xml:space="preserve"> _xlfn.TEXTJOIN(" ", FALSE,#REF!)</f>
        <v>#REF!</v>
      </c>
      <c r="CB30" s="122"/>
      <c r="CC30" s="71" t="s">
        <v>264</v>
      </c>
      <c r="CD30" s="73" t="e">
        <f xml:space="preserve"> _xlfn.TEXTJOIN(" ", FALSE,#REF!)</f>
        <v>#REF!</v>
      </c>
      <c r="CE30" s="122"/>
      <c r="CF30" s="71" t="s">
        <v>265</v>
      </c>
      <c r="CG30" s="73" t="e">
        <f xml:space="preserve"> _xlfn.TEXTJOIN(" ", FALSE,#REF!)</f>
        <v>#REF!</v>
      </c>
      <c r="CH30" s="122"/>
      <c r="CI30" s="74" t="s">
        <v>278</v>
      </c>
      <c r="CJ30" s="73" t="e">
        <f xml:space="preserve"> _xlfn.TEXTJOIN(" ", FALSE,#REF!)</f>
        <v>#REF!</v>
      </c>
      <c r="CK30" s="65" t="s">
        <v>277</v>
      </c>
      <c r="CL30" s="70" t="e">
        <f t="shared" si="3"/>
        <v>#REF!</v>
      </c>
      <c r="CM30" s="64" t="s">
        <v>267</v>
      </c>
      <c r="CN30" s="122"/>
      <c r="CO30" s="71" t="s">
        <v>268</v>
      </c>
      <c r="CP30" s="73" t="e">
        <f xml:space="preserve"> _xlfn.TEXTJOIN(" ", FALSE,#REF!)</f>
        <v>#REF!</v>
      </c>
      <c r="CQ30" s="122"/>
      <c r="CR30" s="71" t="s">
        <v>269</v>
      </c>
      <c r="CS30" s="73" t="e">
        <f xml:space="preserve"> _xlfn.TEXTJOIN(" ", FALSE,#REF!)</f>
        <v>#REF!</v>
      </c>
      <c r="CT30" s="122"/>
      <c r="CU30" s="71" t="s">
        <v>270</v>
      </c>
      <c r="CV30" s="72" t="e">
        <f xml:space="preserve"> _xlfn.TEXTJOIN(" ", FALSE,#REF!)</f>
        <v>#REF!</v>
      </c>
      <c r="CW30" s="122"/>
      <c r="CX30" s="71" t="s">
        <v>271</v>
      </c>
      <c r="CY30" s="72" t="e">
        <f xml:space="preserve"> _xlfn.TEXTJOIN(" ", FALSE,#REF!)</f>
        <v>#REF!</v>
      </c>
      <c r="CZ30" s="122"/>
      <c r="DA30" s="71" t="s">
        <v>272</v>
      </c>
      <c r="DB30" s="73" t="e">
        <f xml:space="preserve"> _xlfn.TEXTJOIN(" ", FALSE,#REF!)</f>
        <v>#REF!</v>
      </c>
      <c r="DC30" s="65" t="s">
        <v>277</v>
      </c>
      <c r="DD30" s="70" t="e">
        <f t="shared" si="4"/>
        <v>#REF!</v>
      </c>
      <c r="DE30" s="64" t="s">
        <v>273</v>
      </c>
      <c r="DF30" s="122"/>
      <c r="DG30" s="71" t="s">
        <v>274</v>
      </c>
      <c r="DH30" s="72" t="e">
        <f xml:space="preserve"> _xlfn.TEXTJOIN(" ", FALSE,#REF!)</f>
        <v>#REF!</v>
      </c>
      <c r="DI30" s="122"/>
      <c r="DJ30" s="71" t="s">
        <v>275</v>
      </c>
      <c r="DK30" s="73" t="e">
        <f xml:space="preserve"> _xlfn.TEXTJOIN(" ", FALSE,#REF!)</f>
        <v>#REF!</v>
      </c>
      <c r="DL30" s="65" t="s">
        <v>277</v>
      </c>
      <c r="DM30" s="70" t="e">
        <f t="shared" si="5"/>
        <v>#REF!</v>
      </c>
      <c r="DN30" s="70" t="e">
        <f t="shared" si="6"/>
        <v>#REF!</v>
      </c>
    </row>
    <row r="31" spans="1:118" ht="108" customHeight="1">
      <c r="A31" s="122" t="e">
        <f>Summary!A31</f>
        <v>#REF!</v>
      </c>
      <c r="B31" s="64" t="s">
        <v>233</v>
      </c>
      <c r="C31" s="65" t="e">
        <f>Summary!B31</f>
        <v>#REF!</v>
      </c>
      <c r="D31" s="122"/>
      <c r="E31" s="64" t="s">
        <v>235</v>
      </c>
      <c r="F31" s="132" t="e">
        <f>Summary!C31</f>
        <v>#REF!</v>
      </c>
      <c r="G31" s="64" t="s">
        <v>236</v>
      </c>
      <c r="H31" s="132" t="e">
        <f>Summary!D31</f>
        <v>#REF!</v>
      </c>
      <c r="I31" s="64" t="s">
        <v>237</v>
      </c>
      <c r="J31" s="66">
        <f>Summary!E31</f>
        <v>8</v>
      </c>
      <c r="K31" s="64" t="s">
        <v>238</v>
      </c>
      <c r="L31" s="132" t="e">
        <f>Summary!F31</f>
        <v>#REF!</v>
      </c>
      <c r="M31" s="64" t="s">
        <v>239</v>
      </c>
      <c r="N31" s="132" t="e">
        <f>Summary!G31</f>
        <v>#REF!</v>
      </c>
      <c r="O31" s="64" t="s">
        <v>240</v>
      </c>
      <c r="P31" s="132" t="e">
        <f>Summary!H31</f>
        <v>#REF!</v>
      </c>
      <c r="Q31" s="65" t="s">
        <v>277</v>
      </c>
      <c r="R31" s="70" t="e">
        <f t="shared" si="0"/>
        <v>#REF!</v>
      </c>
      <c r="S31" s="64" t="s">
        <v>243</v>
      </c>
      <c r="T31" s="122"/>
      <c r="U31" s="71" t="s">
        <v>244</v>
      </c>
      <c r="V31" s="72" t="e">
        <f xml:space="preserve"> _xlfn.TEXTJOIN(" ", FALSE,#REF!)</f>
        <v>#REF!</v>
      </c>
      <c r="W31" s="122"/>
      <c r="X31" s="71" t="s">
        <v>245</v>
      </c>
      <c r="Y31" s="72" t="e">
        <f xml:space="preserve"> _xlfn.TEXTJOIN(" ", FALSE,#REF!)</f>
        <v>#REF!</v>
      </c>
      <c r="Z31" s="122"/>
      <c r="AA31" s="71" t="s">
        <v>246</v>
      </c>
      <c r="AB31" s="72" t="e">
        <f xml:space="preserve"> _xlfn.TEXTJOIN(" ", FALSE,#REF!)</f>
        <v>#REF!</v>
      </c>
      <c r="AC31" s="122"/>
      <c r="AD31" s="71" t="s">
        <v>247</v>
      </c>
      <c r="AE31" s="72" t="e">
        <f xml:space="preserve"> _xlfn.TEXTJOIN(" ", FALSE,#REF!)</f>
        <v>#REF!</v>
      </c>
      <c r="AF31" s="122"/>
      <c r="AG31" s="71" t="s">
        <v>248</v>
      </c>
      <c r="AH31" s="73" t="e">
        <f xml:space="preserve"> _xlfn.TEXTJOIN(" ", FALSE,#REF!)</f>
        <v>#REF!</v>
      </c>
      <c r="AI31" s="122"/>
      <c r="AJ31" s="71" t="s">
        <v>249</v>
      </c>
      <c r="AK31" s="73" t="e">
        <f xml:space="preserve"> _xlfn.TEXTJOIN(" ", FALSE,#REF!)</f>
        <v>#REF!</v>
      </c>
      <c r="AL31" s="122"/>
      <c r="AM31" s="71" t="s">
        <v>250</v>
      </c>
      <c r="AN31" s="73" t="e">
        <f xml:space="preserve"> _xlfn.TEXTJOIN(" ", FALSE,#REF!)</f>
        <v>#REF!</v>
      </c>
      <c r="AO31" s="122"/>
      <c r="AP31" s="71" t="s">
        <v>251</v>
      </c>
      <c r="AQ31" s="72" t="e">
        <f xml:space="preserve"> _xlfn.TEXTJOIN(" ", FALSE,#REF!)</f>
        <v>#REF!</v>
      </c>
      <c r="AR31" s="122"/>
      <c r="AS31" s="71" t="s">
        <v>252</v>
      </c>
      <c r="AT31" s="72" t="e">
        <f xml:space="preserve"> _xlfn.TEXTJOIN(" ", FALSE,#REF!)</f>
        <v>#REF!</v>
      </c>
      <c r="AU31" s="122"/>
      <c r="AV31" s="71" t="s">
        <v>253</v>
      </c>
      <c r="AW31" s="73" t="e">
        <f xml:space="preserve"> _xlfn.TEXTJOIN(" ", FALSE,#REF!)</f>
        <v>#REF!</v>
      </c>
      <c r="AX31" s="122"/>
      <c r="AY31" s="71" t="s">
        <v>254</v>
      </c>
      <c r="AZ31" s="72" t="e">
        <f xml:space="preserve"> _xlfn.TEXTJOIN(" ", FALSE,#REF!)</f>
        <v>#REF!</v>
      </c>
      <c r="BA31" s="122"/>
      <c r="BB31" s="71" t="s">
        <v>255</v>
      </c>
      <c r="BC31" s="72" t="e">
        <f xml:space="preserve"> _xlfn.TEXTJOIN(" ", FALSE,#REF!)</f>
        <v>#REF!</v>
      </c>
      <c r="BD31" s="122"/>
      <c r="BE31" s="71" t="s">
        <v>256</v>
      </c>
      <c r="BF31" s="72" t="e">
        <f xml:space="preserve"> _xlfn.TEXTJOIN(" ", FALSE,#REF!)</f>
        <v>#REF!</v>
      </c>
      <c r="BG31" s="65" t="s">
        <v>277</v>
      </c>
      <c r="BH31" s="70" t="e">
        <f t="shared" si="1"/>
        <v>#REF!</v>
      </c>
      <c r="BI31" s="64" t="s">
        <v>257</v>
      </c>
      <c r="BJ31" s="122"/>
      <c r="BK31" s="71" t="s">
        <v>258</v>
      </c>
      <c r="BL31" s="74" t="str">
        <f>_xlfn.TEXTJOIN(" ", FALSE, 'Task 2a - Mitigating the Proble'!U31:AC31)</f>
        <v xml:space="preserve">1 1 1 1 1 1 0 0 </v>
      </c>
      <c r="BM31" s="65" t="s">
        <v>277</v>
      </c>
      <c r="BN31" s="70" t="str">
        <f t="shared" si="2"/>
        <v>[Details for Task 2a:]  /Question 12: 1 1 1 1 1 1 0 0  .</v>
      </c>
      <c r="BO31" s="64" t="s">
        <v>259</v>
      </c>
      <c r="BP31" s="122"/>
      <c r="BQ31" s="71" t="s">
        <v>260</v>
      </c>
      <c r="BR31" s="73" t="e">
        <f xml:space="preserve"> _xlfn.TEXTJOIN(" ", FALSE,#REF!)</f>
        <v>#REF!</v>
      </c>
      <c r="BS31" s="122"/>
      <c r="BT31" s="71" t="s">
        <v>261</v>
      </c>
      <c r="BU31" s="73" t="e">
        <f xml:space="preserve"> _xlfn.TEXTJOIN(" ", FALSE,#REF!)</f>
        <v>#REF!</v>
      </c>
      <c r="BV31" s="122"/>
      <c r="BW31" s="71" t="s">
        <v>262</v>
      </c>
      <c r="BX31" s="73" t="e">
        <f xml:space="preserve"> _xlfn.TEXTJOIN(" ", FALSE,#REF!)</f>
        <v>#REF!</v>
      </c>
      <c r="BY31" s="122"/>
      <c r="BZ31" s="71" t="s">
        <v>263</v>
      </c>
      <c r="CA31" s="73" t="e">
        <f xml:space="preserve"> _xlfn.TEXTJOIN(" ", FALSE,#REF!)</f>
        <v>#REF!</v>
      </c>
      <c r="CB31" s="122"/>
      <c r="CC31" s="71" t="s">
        <v>264</v>
      </c>
      <c r="CD31" s="73" t="e">
        <f xml:space="preserve"> _xlfn.TEXTJOIN(" ", FALSE,#REF!)</f>
        <v>#REF!</v>
      </c>
      <c r="CE31" s="122"/>
      <c r="CF31" s="71" t="s">
        <v>265</v>
      </c>
      <c r="CG31" s="73" t="e">
        <f xml:space="preserve"> _xlfn.TEXTJOIN(" ", FALSE,#REF!)</f>
        <v>#REF!</v>
      </c>
      <c r="CH31" s="122"/>
      <c r="CI31" s="74" t="s">
        <v>278</v>
      </c>
      <c r="CJ31" s="73" t="e">
        <f xml:space="preserve"> _xlfn.TEXTJOIN(" ", FALSE,#REF!)</f>
        <v>#REF!</v>
      </c>
      <c r="CK31" s="65" t="s">
        <v>277</v>
      </c>
      <c r="CL31" s="70" t="e">
        <f t="shared" si="3"/>
        <v>#REF!</v>
      </c>
      <c r="CM31" s="64" t="s">
        <v>267</v>
      </c>
      <c r="CN31" s="122"/>
      <c r="CO31" s="71" t="s">
        <v>268</v>
      </c>
      <c r="CP31" s="73" t="e">
        <f xml:space="preserve"> _xlfn.TEXTJOIN(" ", FALSE,#REF!)</f>
        <v>#REF!</v>
      </c>
      <c r="CQ31" s="122"/>
      <c r="CR31" s="71" t="s">
        <v>269</v>
      </c>
      <c r="CS31" s="73" t="e">
        <f xml:space="preserve"> _xlfn.TEXTJOIN(" ", FALSE,#REF!)</f>
        <v>#REF!</v>
      </c>
      <c r="CT31" s="122"/>
      <c r="CU31" s="71" t="s">
        <v>270</v>
      </c>
      <c r="CV31" s="72" t="e">
        <f xml:space="preserve"> _xlfn.TEXTJOIN(" ", FALSE,#REF!)</f>
        <v>#REF!</v>
      </c>
      <c r="CW31" s="122"/>
      <c r="CX31" s="71" t="s">
        <v>271</v>
      </c>
      <c r="CY31" s="72" t="e">
        <f xml:space="preserve"> _xlfn.TEXTJOIN(" ", FALSE,#REF!)</f>
        <v>#REF!</v>
      </c>
      <c r="CZ31" s="122"/>
      <c r="DA31" s="71" t="s">
        <v>272</v>
      </c>
      <c r="DB31" s="73" t="e">
        <f xml:space="preserve"> _xlfn.TEXTJOIN(" ", FALSE,#REF!)</f>
        <v>#REF!</v>
      </c>
      <c r="DC31" s="65" t="s">
        <v>277</v>
      </c>
      <c r="DD31" s="70" t="e">
        <f t="shared" si="4"/>
        <v>#REF!</v>
      </c>
      <c r="DE31" s="64" t="s">
        <v>273</v>
      </c>
      <c r="DF31" s="122"/>
      <c r="DG31" s="71" t="s">
        <v>274</v>
      </c>
      <c r="DH31" s="72" t="e">
        <f xml:space="preserve"> _xlfn.TEXTJOIN(" ", FALSE,#REF!)</f>
        <v>#REF!</v>
      </c>
      <c r="DI31" s="122"/>
      <c r="DJ31" s="71" t="s">
        <v>275</v>
      </c>
      <c r="DK31" s="73" t="e">
        <f xml:space="preserve"> _xlfn.TEXTJOIN(" ", FALSE,#REF!)</f>
        <v>#REF!</v>
      </c>
      <c r="DL31" s="65" t="s">
        <v>277</v>
      </c>
      <c r="DM31" s="70" t="e">
        <f t="shared" si="5"/>
        <v>#REF!</v>
      </c>
      <c r="DN31" s="70" t="e">
        <f t="shared" si="6"/>
        <v>#REF!</v>
      </c>
    </row>
    <row r="32" spans="1:118" ht="108" customHeight="1">
      <c r="A32" s="122" t="e">
        <f>Summary!A32</f>
        <v>#REF!</v>
      </c>
      <c r="B32" s="64" t="s">
        <v>233</v>
      </c>
      <c r="C32" s="65" t="e">
        <f>Summary!B32</f>
        <v>#REF!</v>
      </c>
      <c r="D32" s="122"/>
      <c r="E32" s="64" t="s">
        <v>235</v>
      </c>
      <c r="F32" s="132" t="e">
        <f>Summary!C32</f>
        <v>#REF!</v>
      </c>
      <c r="G32" s="64" t="s">
        <v>236</v>
      </c>
      <c r="H32" s="132" t="e">
        <f>Summary!D32</f>
        <v>#REF!</v>
      </c>
      <c r="I32" s="64" t="s">
        <v>237</v>
      </c>
      <c r="J32" s="66">
        <f>Summary!E32</f>
        <v>6</v>
      </c>
      <c r="K32" s="64" t="s">
        <v>238</v>
      </c>
      <c r="L32" s="132" t="e">
        <f>Summary!F32</f>
        <v>#REF!</v>
      </c>
      <c r="M32" s="64" t="s">
        <v>239</v>
      </c>
      <c r="N32" s="132" t="e">
        <f>Summary!G32</f>
        <v>#REF!</v>
      </c>
      <c r="O32" s="64" t="s">
        <v>240</v>
      </c>
      <c r="P32" s="132" t="e">
        <f>Summary!H32</f>
        <v>#REF!</v>
      </c>
      <c r="Q32" s="65" t="s">
        <v>277</v>
      </c>
      <c r="R32" s="70" t="e">
        <f t="shared" si="0"/>
        <v>#REF!</v>
      </c>
      <c r="S32" s="64" t="s">
        <v>243</v>
      </c>
      <c r="T32" s="122"/>
      <c r="U32" s="71" t="s">
        <v>244</v>
      </c>
      <c r="V32" s="72" t="e">
        <f xml:space="preserve"> _xlfn.TEXTJOIN(" ", FALSE,#REF!)</f>
        <v>#REF!</v>
      </c>
      <c r="W32" s="122"/>
      <c r="X32" s="71" t="s">
        <v>245</v>
      </c>
      <c r="Y32" s="72" t="e">
        <f xml:space="preserve"> _xlfn.TEXTJOIN(" ", FALSE,#REF!)</f>
        <v>#REF!</v>
      </c>
      <c r="Z32" s="122"/>
      <c r="AA32" s="71" t="s">
        <v>246</v>
      </c>
      <c r="AB32" s="72" t="e">
        <f xml:space="preserve"> _xlfn.TEXTJOIN(" ", FALSE,#REF!)</f>
        <v>#REF!</v>
      </c>
      <c r="AC32" s="122"/>
      <c r="AD32" s="71" t="s">
        <v>247</v>
      </c>
      <c r="AE32" s="72" t="e">
        <f xml:space="preserve"> _xlfn.TEXTJOIN(" ", FALSE,#REF!)</f>
        <v>#REF!</v>
      </c>
      <c r="AF32" s="122"/>
      <c r="AG32" s="71" t="s">
        <v>248</v>
      </c>
      <c r="AH32" s="73" t="e">
        <f xml:space="preserve"> _xlfn.TEXTJOIN(" ", FALSE,#REF!)</f>
        <v>#REF!</v>
      </c>
      <c r="AI32" s="122"/>
      <c r="AJ32" s="71" t="s">
        <v>249</v>
      </c>
      <c r="AK32" s="73" t="e">
        <f xml:space="preserve"> _xlfn.TEXTJOIN(" ", FALSE,#REF!)</f>
        <v>#REF!</v>
      </c>
      <c r="AL32" s="122"/>
      <c r="AM32" s="71" t="s">
        <v>250</v>
      </c>
      <c r="AN32" s="73" t="e">
        <f xml:space="preserve"> _xlfn.TEXTJOIN(" ", FALSE,#REF!)</f>
        <v>#REF!</v>
      </c>
      <c r="AO32" s="122"/>
      <c r="AP32" s="71" t="s">
        <v>251</v>
      </c>
      <c r="AQ32" s="72" t="e">
        <f xml:space="preserve"> _xlfn.TEXTJOIN(" ", FALSE,#REF!)</f>
        <v>#REF!</v>
      </c>
      <c r="AR32" s="122"/>
      <c r="AS32" s="71" t="s">
        <v>252</v>
      </c>
      <c r="AT32" s="72" t="e">
        <f xml:space="preserve"> _xlfn.TEXTJOIN(" ", FALSE,#REF!)</f>
        <v>#REF!</v>
      </c>
      <c r="AU32" s="122"/>
      <c r="AV32" s="71" t="s">
        <v>253</v>
      </c>
      <c r="AW32" s="73" t="e">
        <f xml:space="preserve"> _xlfn.TEXTJOIN(" ", FALSE,#REF!)</f>
        <v>#REF!</v>
      </c>
      <c r="AX32" s="122"/>
      <c r="AY32" s="71" t="s">
        <v>254</v>
      </c>
      <c r="AZ32" s="72" t="e">
        <f xml:space="preserve"> _xlfn.TEXTJOIN(" ", FALSE,#REF!)</f>
        <v>#REF!</v>
      </c>
      <c r="BA32" s="122"/>
      <c r="BB32" s="71" t="s">
        <v>255</v>
      </c>
      <c r="BC32" s="72" t="e">
        <f xml:space="preserve"> _xlfn.TEXTJOIN(" ", FALSE,#REF!)</f>
        <v>#REF!</v>
      </c>
      <c r="BD32" s="122"/>
      <c r="BE32" s="71" t="s">
        <v>256</v>
      </c>
      <c r="BF32" s="72" t="e">
        <f xml:space="preserve"> _xlfn.TEXTJOIN(" ", FALSE,#REF!)</f>
        <v>#REF!</v>
      </c>
      <c r="BG32" s="65" t="s">
        <v>277</v>
      </c>
      <c r="BH32" s="70" t="e">
        <f t="shared" si="1"/>
        <v>#REF!</v>
      </c>
      <c r="BI32" s="64" t="s">
        <v>257</v>
      </c>
      <c r="BJ32" s="122"/>
      <c r="BK32" s="71" t="s">
        <v>258</v>
      </c>
      <c r="BL32" s="74" t="str">
        <f>_xlfn.TEXTJOIN(" ", FALSE, 'Task 2a - Mitigating the Proble'!U32:AC32)</f>
        <v xml:space="preserve">1 0 1 1 0 1 0 0 </v>
      </c>
      <c r="BM32" s="65" t="s">
        <v>277</v>
      </c>
      <c r="BN32" s="70" t="str">
        <f t="shared" si="2"/>
        <v>[Details for Task 2a:]  /Question 12: 1 0 1 1 0 1 0 0  .</v>
      </c>
      <c r="BO32" s="64" t="s">
        <v>259</v>
      </c>
      <c r="BP32" s="122"/>
      <c r="BQ32" s="71" t="s">
        <v>260</v>
      </c>
      <c r="BR32" s="73" t="e">
        <f xml:space="preserve"> _xlfn.TEXTJOIN(" ", FALSE,#REF!)</f>
        <v>#REF!</v>
      </c>
      <c r="BS32" s="122"/>
      <c r="BT32" s="71" t="s">
        <v>261</v>
      </c>
      <c r="BU32" s="73" t="e">
        <f xml:space="preserve"> _xlfn.TEXTJOIN(" ", FALSE,#REF!)</f>
        <v>#REF!</v>
      </c>
      <c r="BV32" s="122"/>
      <c r="BW32" s="71" t="s">
        <v>262</v>
      </c>
      <c r="BX32" s="73" t="e">
        <f xml:space="preserve"> _xlfn.TEXTJOIN(" ", FALSE,#REF!)</f>
        <v>#REF!</v>
      </c>
      <c r="BY32" s="122"/>
      <c r="BZ32" s="71" t="s">
        <v>263</v>
      </c>
      <c r="CA32" s="73" t="e">
        <f xml:space="preserve"> _xlfn.TEXTJOIN(" ", FALSE,#REF!)</f>
        <v>#REF!</v>
      </c>
      <c r="CB32" s="122"/>
      <c r="CC32" s="71" t="s">
        <v>264</v>
      </c>
      <c r="CD32" s="73" t="e">
        <f xml:space="preserve"> _xlfn.TEXTJOIN(" ", FALSE,#REF!)</f>
        <v>#REF!</v>
      </c>
      <c r="CE32" s="122"/>
      <c r="CF32" s="71" t="s">
        <v>265</v>
      </c>
      <c r="CG32" s="73" t="e">
        <f xml:space="preserve"> _xlfn.TEXTJOIN(" ", FALSE,#REF!)</f>
        <v>#REF!</v>
      </c>
      <c r="CH32" s="122"/>
      <c r="CI32" s="74" t="s">
        <v>278</v>
      </c>
      <c r="CJ32" s="73" t="e">
        <f xml:space="preserve"> _xlfn.TEXTJOIN(" ", FALSE,#REF!)</f>
        <v>#REF!</v>
      </c>
      <c r="CK32" s="65" t="s">
        <v>277</v>
      </c>
      <c r="CL32" s="70" t="e">
        <f t="shared" si="3"/>
        <v>#REF!</v>
      </c>
      <c r="CM32" s="64" t="s">
        <v>267</v>
      </c>
      <c r="CN32" s="122"/>
      <c r="CO32" s="71" t="s">
        <v>268</v>
      </c>
      <c r="CP32" s="73" t="e">
        <f xml:space="preserve"> _xlfn.TEXTJOIN(" ", FALSE,#REF!)</f>
        <v>#REF!</v>
      </c>
      <c r="CQ32" s="122"/>
      <c r="CR32" s="71" t="s">
        <v>269</v>
      </c>
      <c r="CS32" s="73" t="e">
        <f xml:space="preserve"> _xlfn.TEXTJOIN(" ", FALSE,#REF!)</f>
        <v>#REF!</v>
      </c>
      <c r="CT32" s="122"/>
      <c r="CU32" s="71" t="s">
        <v>270</v>
      </c>
      <c r="CV32" s="72" t="e">
        <f xml:space="preserve"> _xlfn.TEXTJOIN(" ", FALSE,#REF!)</f>
        <v>#REF!</v>
      </c>
      <c r="CW32" s="122"/>
      <c r="CX32" s="71" t="s">
        <v>271</v>
      </c>
      <c r="CY32" s="72" t="e">
        <f xml:space="preserve"> _xlfn.TEXTJOIN(" ", FALSE,#REF!)</f>
        <v>#REF!</v>
      </c>
      <c r="CZ32" s="122"/>
      <c r="DA32" s="71" t="s">
        <v>272</v>
      </c>
      <c r="DB32" s="73" t="e">
        <f xml:space="preserve"> _xlfn.TEXTJOIN(" ", FALSE,#REF!)</f>
        <v>#REF!</v>
      </c>
      <c r="DC32" s="65" t="s">
        <v>277</v>
      </c>
      <c r="DD32" s="70" t="e">
        <f t="shared" si="4"/>
        <v>#REF!</v>
      </c>
      <c r="DE32" s="64" t="s">
        <v>273</v>
      </c>
      <c r="DF32" s="122"/>
      <c r="DG32" s="71" t="s">
        <v>274</v>
      </c>
      <c r="DH32" s="72" t="e">
        <f xml:space="preserve"> _xlfn.TEXTJOIN(" ", FALSE,#REF!)</f>
        <v>#REF!</v>
      </c>
      <c r="DI32" s="122"/>
      <c r="DJ32" s="71" t="s">
        <v>275</v>
      </c>
      <c r="DK32" s="73" t="e">
        <f xml:space="preserve"> _xlfn.TEXTJOIN(" ", FALSE,#REF!)</f>
        <v>#REF!</v>
      </c>
      <c r="DL32" s="65" t="s">
        <v>277</v>
      </c>
      <c r="DM32" s="70" t="e">
        <f t="shared" si="5"/>
        <v>#REF!</v>
      </c>
      <c r="DN32" s="70" t="e">
        <f t="shared" si="6"/>
        <v>#REF!</v>
      </c>
    </row>
    <row r="33" spans="1:118" ht="108" customHeight="1">
      <c r="A33" s="122" t="e">
        <f>Summary!A33</f>
        <v>#REF!</v>
      </c>
      <c r="B33" s="64" t="s">
        <v>233</v>
      </c>
      <c r="C33" s="65" t="e">
        <f>Summary!B33</f>
        <v>#REF!</v>
      </c>
      <c r="D33" s="122"/>
      <c r="E33" s="64" t="s">
        <v>235</v>
      </c>
      <c r="F33" s="132" t="e">
        <f>Summary!C33</f>
        <v>#REF!</v>
      </c>
      <c r="G33" s="64" t="s">
        <v>236</v>
      </c>
      <c r="H33" s="132" t="e">
        <f>Summary!D33</f>
        <v>#REF!</v>
      </c>
      <c r="I33" s="64" t="s">
        <v>237</v>
      </c>
      <c r="J33" s="66">
        <f>Summary!E33</f>
        <v>8</v>
      </c>
      <c r="K33" s="64" t="s">
        <v>238</v>
      </c>
      <c r="L33" s="132" t="e">
        <f>Summary!F33</f>
        <v>#REF!</v>
      </c>
      <c r="M33" s="64" t="s">
        <v>239</v>
      </c>
      <c r="N33" s="132" t="e">
        <f>Summary!G33</f>
        <v>#REF!</v>
      </c>
      <c r="O33" s="64" t="s">
        <v>240</v>
      </c>
      <c r="P33" s="132" t="e">
        <f>Summary!H33</f>
        <v>#REF!</v>
      </c>
      <c r="Q33" s="65" t="s">
        <v>277</v>
      </c>
      <c r="R33" s="70" t="e">
        <f t="shared" si="0"/>
        <v>#REF!</v>
      </c>
      <c r="S33" s="64" t="s">
        <v>243</v>
      </c>
      <c r="T33" s="122"/>
      <c r="U33" s="71" t="s">
        <v>244</v>
      </c>
      <c r="V33" s="72" t="e">
        <f xml:space="preserve"> _xlfn.TEXTJOIN(" ", FALSE,#REF!)</f>
        <v>#REF!</v>
      </c>
      <c r="W33" s="122"/>
      <c r="X33" s="71" t="s">
        <v>245</v>
      </c>
      <c r="Y33" s="72" t="e">
        <f xml:space="preserve"> _xlfn.TEXTJOIN(" ", FALSE,#REF!)</f>
        <v>#REF!</v>
      </c>
      <c r="Z33" s="122"/>
      <c r="AA33" s="71" t="s">
        <v>246</v>
      </c>
      <c r="AB33" s="72" t="e">
        <f xml:space="preserve"> _xlfn.TEXTJOIN(" ", FALSE,#REF!)</f>
        <v>#REF!</v>
      </c>
      <c r="AC33" s="122"/>
      <c r="AD33" s="71" t="s">
        <v>247</v>
      </c>
      <c r="AE33" s="72" t="e">
        <f xml:space="preserve"> _xlfn.TEXTJOIN(" ", FALSE,#REF!)</f>
        <v>#REF!</v>
      </c>
      <c r="AF33" s="122"/>
      <c r="AG33" s="71" t="s">
        <v>248</v>
      </c>
      <c r="AH33" s="73" t="e">
        <f xml:space="preserve"> _xlfn.TEXTJOIN(" ", FALSE,#REF!)</f>
        <v>#REF!</v>
      </c>
      <c r="AI33" s="122"/>
      <c r="AJ33" s="71" t="s">
        <v>249</v>
      </c>
      <c r="AK33" s="73" t="e">
        <f xml:space="preserve"> _xlfn.TEXTJOIN(" ", FALSE,#REF!)</f>
        <v>#REF!</v>
      </c>
      <c r="AL33" s="122"/>
      <c r="AM33" s="71" t="s">
        <v>250</v>
      </c>
      <c r="AN33" s="73" t="e">
        <f xml:space="preserve"> _xlfn.TEXTJOIN(" ", FALSE,#REF!)</f>
        <v>#REF!</v>
      </c>
      <c r="AO33" s="122"/>
      <c r="AP33" s="71" t="s">
        <v>251</v>
      </c>
      <c r="AQ33" s="72" t="e">
        <f xml:space="preserve"> _xlfn.TEXTJOIN(" ", FALSE,#REF!)</f>
        <v>#REF!</v>
      </c>
      <c r="AR33" s="122"/>
      <c r="AS33" s="71" t="s">
        <v>252</v>
      </c>
      <c r="AT33" s="72" t="e">
        <f xml:space="preserve"> _xlfn.TEXTJOIN(" ", FALSE,#REF!)</f>
        <v>#REF!</v>
      </c>
      <c r="AU33" s="122"/>
      <c r="AV33" s="71" t="s">
        <v>253</v>
      </c>
      <c r="AW33" s="73" t="e">
        <f xml:space="preserve"> _xlfn.TEXTJOIN(" ", FALSE,#REF!)</f>
        <v>#REF!</v>
      </c>
      <c r="AX33" s="122"/>
      <c r="AY33" s="71" t="s">
        <v>254</v>
      </c>
      <c r="AZ33" s="72" t="e">
        <f xml:space="preserve"> _xlfn.TEXTJOIN(" ", FALSE,#REF!)</f>
        <v>#REF!</v>
      </c>
      <c r="BA33" s="122"/>
      <c r="BB33" s="71" t="s">
        <v>255</v>
      </c>
      <c r="BC33" s="72" t="e">
        <f xml:space="preserve"> _xlfn.TEXTJOIN(" ", FALSE,#REF!)</f>
        <v>#REF!</v>
      </c>
      <c r="BD33" s="122"/>
      <c r="BE33" s="71" t="s">
        <v>256</v>
      </c>
      <c r="BF33" s="72" t="e">
        <f xml:space="preserve"> _xlfn.TEXTJOIN(" ", FALSE,#REF!)</f>
        <v>#REF!</v>
      </c>
      <c r="BG33" s="65" t="s">
        <v>277</v>
      </c>
      <c r="BH33" s="70" t="e">
        <f t="shared" si="1"/>
        <v>#REF!</v>
      </c>
      <c r="BI33" s="64" t="s">
        <v>257</v>
      </c>
      <c r="BJ33" s="122"/>
      <c r="BK33" s="71" t="s">
        <v>258</v>
      </c>
      <c r="BL33" s="74" t="str">
        <f>_xlfn.TEXTJOIN(" ", FALSE, 'Task 2a - Mitigating the Proble'!U33:AC33)</f>
        <v xml:space="preserve">1 1 1 1 1 1 0 0 </v>
      </c>
      <c r="BM33" s="65" t="s">
        <v>277</v>
      </c>
      <c r="BN33" s="70" t="str">
        <f t="shared" si="2"/>
        <v>[Details for Task 2a:]  /Question 12: 1 1 1 1 1 1 0 0  .</v>
      </c>
      <c r="BO33" s="64" t="s">
        <v>259</v>
      </c>
      <c r="BP33" s="122"/>
      <c r="BQ33" s="71" t="s">
        <v>260</v>
      </c>
      <c r="BR33" s="73" t="e">
        <f xml:space="preserve"> _xlfn.TEXTJOIN(" ", FALSE,#REF!)</f>
        <v>#REF!</v>
      </c>
      <c r="BS33" s="122"/>
      <c r="BT33" s="71" t="s">
        <v>261</v>
      </c>
      <c r="BU33" s="73" t="e">
        <f xml:space="preserve"> _xlfn.TEXTJOIN(" ", FALSE,#REF!)</f>
        <v>#REF!</v>
      </c>
      <c r="BV33" s="122"/>
      <c r="BW33" s="71" t="s">
        <v>262</v>
      </c>
      <c r="BX33" s="73" t="e">
        <f xml:space="preserve"> _xlfn.TEXTJOIN(" ", FALSE,#REF!)</f>
        <v>#REF!</v>
      </c>
      <c r="BY33" s="122"/>
      <c r="BZ33" s="71" t="s">
        <v>263</v>
      </c>
      <c r="CA33" s="73" t="e">
        <f xml:space="preserve"> _xlfn.TEXTJOIN(" ", FALSE,#REF!)</f>
        <v>#REF!</v>
      </c>
      <c r="CB33" s="122"/>
      <c r="CC33" s="71" t="s">
        <v>264</v>
      </c>
      <c r="CD33" s="73" t="e">
        <f xml:space="preserve"> _xlfn.TEXTJOIN(" ", FALSE,#REF!)</f>
        <v>#REF!</v>
      </c>
      <c r="CE33" s="122"/>
      <c r="CF33" s="71" t="s">
        <v>265</v>
      </c>
      <c r="CG33" s="73" t="e">
        <f xml:space="preserve"> _xlfn.TEXTJOIN(" ", FALSE,#REF!)</f>
        <v>#REF!</v>
      </c>
      <c r="CH33" s="122"/>
      <c r="CI33" s="74" t="s">
        <v>278</v>
      </c>
      <c r="CJ33" s="73" t="e">
        <f xml:space="preserve"> _xlfn.TEXTJOIN(" ", FALSE,#REF!)</f>
        <v>#REF!</v>
      </c>
      <c r="CK33" s="65" t="s">
        <v>277</v>
      </c>
      <c r="CL33" s="70" t="e">
        <f t="shared" si="3"/>
        <v>#REF!</v>
      </c>
      <c r="CM33" s="64" t="s">
        <v>267</v>
      </c>
      <c r="CN33" s="122"/>
      <c r="CO33" s="71" t="s">
        <v>268</v>
      </c>
      <c r="CP33" s="73" t="e">
        <f xml:space="preserve"> _xlfn.TEXTJOIN(" ", FALSE,#REF!)</f>
        <v>#REF!</v>
      </c>
      <c r="CQ33" s="122"/>
      <c r="CR33" s="71" t="s">
        <v>269</v>
      </c>
      <c r="CS33" s="73" t="e">
        <f xml:space="preserve"> _xlfn.TEXTJOIN(" ", FALSE,#REF!)</f>
        <v>#REF!</v>
      </c>
      <c r="CT33" s="122"/>
      <c r="CU33" s="71" t="s">
        <v>270</v>
      </c>
      <c r="CV33" s="72" t="e">
        <f xml:space="preserve"> _xlfn.TEXTJOIN(" ", FALSE,#REF!)</f>
        <v>#REF!</v>
      </c>
      <c r="CW33" s="122"/>
      <c r="CX33" s="71" t="s">
        <v>271</v>
      </c>
      <c r="CY33" s="72" t="e">
        <f xml:space="preserve"> _xlfn.TEXTJOIN(" ", FALSE,#REF!)</f>
        <v>#REF!</v>
      </c>
      <c r="CZ33" s="122"/>
      <c r="DA33" s="71" t="s">
        <v>272</v>
      </c>
      <c r="DB33" s="73" t="e">
        <f xml:space="preserve"> _xlfn.TEXTJOIN(" ", FALSE,#REF!)</f>
        <v>#REF!</v>
      </c>
      <c r="DC33" s="65" t="s">
        <v>277</v>
      </c>
      <c r="DD33" s="70" t="e">
        <f t="shared" si="4"/>
        <v>#REF!</v>
      </c>
      <c r="DE33" s="64" t="s">
        <v>273</v>
      </c>
      <c r="DF33" s="122"/>
      <c r="DG33" s="71" t="s">
        <v>274</v>
      </c>
      <c r="DH33" s="72" t="e">
        <f xml:space="preserve"> _xlfn.TEXTJOIN(" ", FALSE,#REF!)</f>
        <v>#REF!</v>
      </c>
      <c r="DI33" s="122"/>
      <c r="DJ33" s="71" t="s">
        <v>275</v>
      </c>
      <c r="DK33" s="73" t="e">
        <f xml:space="preserve"> _xlfn.TEXTJOIN(" ", FALSE,#REF!)</f>
        <v>#REF!</v>
      </c>
      <c r="DL33" s="65" t="s">
        <v>277</v>
      </c>
      <c r="DM33" s="70" t="e">
        <f t="shared" si="5"/>
        <v>#REF!</v>
      </c>
      <c r="DN33" s="70" t="e">
        <f t="shared" si="6"/>
        <v>#REF!</v>
      </c>
    </row>
    <row r="34" spans="1:118" ht="108" customHeight="1">
      <c r="A34" s="122" t="e">
        <f>Summary!A34</f>
        <v>#REF!</v>
      </c>
      <c r="B34" s="64" t="s">
        <v>233</v>
      </c>
      <c r="C34" s="65" t="e">
        <f>Summary!B34</f>
        <v>#REF!</v>
      </c>
      <c r="D34" s="122"/>
      <c r="E34" s="64" t="s">
        <v>235</v>
      </c>
      <c r="F34" s="132" t="e">
        <f>Summary!C34</f>
        <v>#REF!</v>
      </c>
      <c r="G34" s="64" t="s">
        <v>236</v>
      </c>
      <c r="H34" s="132" t="e">
        <f>Summary!D34</f>
        <v>#REF!</v>
      </c>
      <c r="I34" s="64" t="s">
        <v>237</v>
      </c>
      <c r="J34" s="66">
        <f>Summary!E34</f>
        <v>6</v>
      </c>
      <c r="K34" s="64" t="s">
        <v>238</v>
      </c>
      <c r="L34" s="132" t="e">
        <f>Summary!F34</f>
        <v>#REF!</v>
      </c>
      <c r="M34" s="64" t="s">
        <v>239</v>
      </c>
      <c r="N34" s="132" t="e">
        <f>Summary!G34</f>
        <v>#REF!</v>
      </c>
      <c r="O34" s="64" t="s">
        <v>240</v>
      </c>
      <c r="P34" s="132" t="e">
        <f>Summary!H34</f>
        <v>#REF!</v>
      </c>
      <c r="Q34" s="65" t="s">
        <v>277</v>
      </c>
      <c r="R34" s="70" t="e">
        <f t="shared" si="0"/>
        <v>#REF!</v>
      </c>
      <c r="S34" s="64" t="s">
        <v>243</v>
      </c>
      <c r="T34" s="122"/>
      <c r="U34" s="71" t="s">
        <v>244</v>
      </c>
      <c r="V34" s="72" t="e">
        <f xml:space="preserve"> _xlfn.TEXTJOIN(" ", FALSE,#REF!)</f>
        <v>#REF!</v>
      </c>
      <c r="W34" s="122"/>
      <c r="X34" s="71" t="s">
        <v>245</v>
      </c>
      <c r="Y34" s="72" t="e">
        <f xml:space="preserve"> _xlfn.TEXTJOIN(" ", FALSE,#REF!)</f>
        <v>#REF!</v>
      </c>
      <c r="Z34" s="122"/>
      <c r="AA34" s="71" t="s">
        <v>246</v>
      </c>
      <c r="AB34" s="72" t="e">
        <f xml:space="preserve"> _xlfn.TEXTJOIN(" ", FALSE,#REF!)</f>
        <v>#REF!</v>
      </c>
      <c r="AC34" s="122"/>
      <c r="AD34" s="71" t="s">
        <v>247</v>
      </c>
      <c r="AE34" s="72" t="e">
        <f xml:space="preserve"> _xlfn.TEXTJOIN(" ", FALSE,#REF!)</f>
        <v>#REF!</v>
      </c>
      <c r="AF34" s="122"/>
      <c r="AG34" s="71" t="s">
        <v>248</v>
      </c>
      <c r="AH34" s="73" t="e">
        <f xml:space="preserve"> _xlfn.TEXTJOIN(" ", FALSE,#REF!)</f>
        <v>#REF!</v>
      </c>
      <c r="AI34" s="122"/>
      <c r="AJ34" s="71" t="s">
        <v>249</v>
      </c>
      <c r="AK34" s="73" t="e">
        <f xml:space="preserve"> _xlfn.TEXTJOIN(" ", FALSE,#REF!)</f>
        <v>#REF!</v>
      </c>
      <c r="AL34" s="122"/>
      <c r="AM34" s="71" t="s">
        <v>250</v>
      </c>
      <c r="AN34" s="73" t="e">
        <f xml:space="preserve"> _xlfn.TEXTJOIN(" ", FALSE,#REF!)</f>
        <v>#REF!</v>
      </c>
      <c r="AO34" s="122"/>
      <c r="AP34" s="71" t="s">
        <v>251</v>
      </c>
      <c r="AQ34" s="72" t="e">
        <f xml:space="preserve"> _xlfn.TEXTJOIN(" ", FALSE,#REF!)</f>
        <v>#REF!</v>
      </c>
      <c r="AR34" s="122"/>
      <c r="AS34" s="71" t="s">
        <v>252</v>
      </c>
      <c r="AT34" s="72" t="e">
        <f xml:space="preserve"> _xlfn.TEXTJOIN(" ", FALSE,#REF!)</f>
        <v>#REF!</v>
      </c>
      <c r="AU34" s="122"/>
      <c r="AV34" s="71" t="s">
        <v>253</v>
      </c>
      <c r="AW34" s="73" t="e">
        <f xml:space="preserve"> _xlfn.TEXTJOIN(" ", FALSE,#REF!)</f>
        <v>#REF!</v>
      </c>
      <c r="AX34" s="122"/>
      <c r="AY34" s="71" t="s">
        <v>254</v>
      </c>
      <c r="AZ34" s="72" t="e">
        <f xml:space="preserve"> _xlfn.TEXTJOIN(" ", FALSE,#REF!)</f>
        <v>#REF!</v>
      </c>
      <c r="BA34" s="122"/>
      <c r="BB34" s="71" t="s">
        <v>255</v>
      </c>
      <c r="BC34" s="72" t="e">
        <f xml:space="preserve"> _xlfn.TEXTJOIN(" ", FALSE,#REF!)</f>
        <v>#REF!</v>
      </c>
      <c r="BD34" s="122"/>
      <c r="BE34" s="71" t="s">
        <v>256</v>
      </c>
      <c r="BF34" s="72" t="e">
        <f xml:space="preserve"> _xlfn.TEXTJOIN(" ", FALSE,#REF!)</f>
        <v>#REF!</v>
      </c>
      <c r="BG34" s="65" t="s">
        <v>277</v>
      </c>
      <c r="BH34" s="70" t="e">
        <f t="shared" si="1"/>
        <v>#REF!</v>
      </c>
      <c r="BI34" s="64" t="s">
        <v>257</v>
      </c>
      <c r="BJ34" s="122"/>
      <c r="BK34" s="71" t="s">
        <v>258</v>
      </c>
      <c r="BL34" s="74" t="str">
        <f>_xlfn.TEXTJOIN(" ", FALSE, 'Task 2a - Mitigating the Proble'!U34:AC34)</f>
        <v xml:space="preserve">1 1 0 0 0 1 0 0 </v>
      </c>
      <c r="BM34" s="65" t="s">
        <v>277</v>
      </c>
      <c r="BN34" s="70" t="str">
        <f t="shared" si="2"/>
        <v>[Details for Task 2a:]  /Question 12: 1 1 0 0 0 1 0 0  .</v>
      </c>
      <c r="BO34" s="64" t="s">
        <v>259</v>
      </c>
      <c r="BP34" s="122"/>
      <c r="BQ34" s="71" t="s">
        <v>260</v>
      </c>
      <c r="BR34" s="73" t="e">
        <f xml:space="preserve"> _xlfn.TEXTJOIN(" ", FALSE,#REF!)</f>
        <v>#REF!</v>
      </c>
      <c r="BS34" s="122"/>
      <c r="BT34" s="71" t="s">
        <v>261</v>
      </c>
      <c r="BU34" s="73" t="e">
        <f xml:space="preserve"> _xlfn.TEXTJOIN(" ", FALSE,#REF!)</f>
        <v>#REF!</v>
      </c>
      <c r="BV34" s="122"/>
      <c r="BW34" s="71" t="s">
        <v>262</v>
      </c>
      <c r="BX34" s="73" t="e">
        <f xml:space="preserve"> _xlfn.TEXTJOIN(" ", FALSE,#REF!)</f>
        <v>#REF!</v>
      </c>
      <c r="BY34" s="122"/>
      <c r="BZ34" s="71" t="s">
        <v>263</v>
      </c>
      <c r="CA34" s="73" t="e">
        <f xml:space="preserve"> _xlfn.TEXTJOIN(" ", FALSE,#REF!)</f>
        <v>#REF!</v>
      </c>
      <c r="CB34" s="122"/>
      <c r="CC34" s="71" t="s">
        <v>264</v>
      </c>
      <c r="CD34" s="73" t="e">
        <f xml:space="preserve"> _xlfn.TEXTJOIN(" ", FALSE,#REF!)</f>
        <v>#REF!</v>
      </c>
      <c r="CE34" s="122"/>
      <c r="CF34" s="71" t="s">
        <v>265</v>
      </c>
      <c r="CG34" s="73" t="e">
        <f xml:space="preserve"> _xlfn.TEXTJOIN(" ", FALSE,#REF!)</f>
        <v>#REF!</v>
      </c>
      <c r="CH34" s="122"/>
      <c r="CI34" s="74" t="s">
        <v>278</v>
      </c>
      <c r="CJ34" s="73" t="e">
        <f xml:space="preserve"> _xlfn.TEXTJOIN(" ", FALSE,#REF!)</f>
        <v>#REF!</v>
      </c>
      <c r="CK34" s="65" t="s">
        <v>277</v>
      </c>
      <c r="CL34" s="70" t="e">
        <f t="shared" si="3"/>
        <v>#REF!</v>
      </c>
      <c r="CM34" s="64" t="s">
        <v>267</v>
      </c>
      <c r="CN34" s="122"/>
      <c r="CO34" s="71" t="s">
        <v>268</v>
      </c>
      <c r="CP34" s="73" t="e">
        <f xml:space="preserve"> _xlfn.TEXTJOIN(" ", FALSE,#REF!)</f>
        <v>#REF!</v>
      </c>
      <c r="CQ34" s="122"/>
      <c r="CR34" s="71" t="s">
        <v>269</v>
      </c>
      <c r="CS34" s="73" t="e">
        <f xml:space="preserve"> _xlfn.TEXTJOIN(" ", FALSE,#REF!)</f>
        <v>#REF!</v>
      </c>
      <c r="CT34" s="122"/>
      <c r="CU34" s="71" t="s">
        <v>270</v>
      </c>
      <c r="CV34" s="72" t="e">
        <f xml:space="preserve"> _xlfn.TEXTJOIN(" ", FALSE,#REF!)</f>
        <v>#REF!</v>
      </c>
      <c r="CW34" s="122"/>
      <c r="CX34" s="71" t="s">
        <v>271</v>
      </c>
      <c r="CY34" s="72" t="e">
        <f xml:space="preserve"> _xlfn.TEXTJOIN(" ", FALSE,#REF!)</f>
        <v>#REF!</v>
      </c>
      <c r="CZ34" s="122"/>
      <c r="DA34" s="71" t="s">
        <v>272</v>
      </c>
      <c r="DB34" s="73" t="e">
        <f xml:space="preserve"> _xlfn.TEXTJOIN(" ", FALSE,#REF!)</f>
        <v>#REF!</v>
      </c>
      <c r="DC34" s="65" t="s">
        <v>277</v>
      </c>
      <c r="DD34" s="70" t="e">
        <f t="shared" si="4"/>
        <v>#REF!</v>
      </c>
      <c r="DE34" s="64" t="s">
        <v>273</v>
      </c>
      <c r="DF34" s="122"/>
      <c r="DG34" s="71" t="s">
        <v>274</v>
      </c>
      <c r="DH34" s="72" t="e">
        <f xml:space="preserve"> _xlfn.TEXTJOIN(" ", FALSE,#REF!)</f>
        <v>#REF!</v>
      </c>
      <c r="DI34" s="122"/>
      <c r="DJ34" s="71" t="s">
        <v>275</v>
      </c>
      <c r="DK34" s="73" t="e">
        <f xml:space="preserve"> _xlfn.TEXTJOIN(" ", FALSE,#REF!)</f>
        <v>#REF!</v>
      </c>
      <c r="DL34" s="65" t="s">
        <v>277</v>
      </c>
      <c r="DM34" s="70" t="e">
        <f t="shared" si="5"/>
        <v>#REF!</v>
      </c>
      <c r="DN34" s="70" t="e">
        <f t="shared" si="6"/>
        <v>#REF!</v>
      </c>
    </row>
    <row r="35" spans="1:118" ht="108" customHeight="1">
      <c r="A35" s="122" t="e">
        <f>Summary!A35</f>
        <v>#REF!</v>
      </c>
      <c r="B35" s="64" t="s">
        <v>233</v>
      </c>
      <c r="C35" s="65" t="e">
        <f>Summary!B35</f>
        <v>#REF!</v>
      </c>
      <c r="D35" s="122"/>
      <c r="E35" s="64" t="s">
        <v>235</v>
      </c>
      <c r="F35" s="132" t="e">
        <f>Summary!C35</f>
        <v>#REF!</v>
      </c>
      <c r="G35" s="64" t="s">
        <v>236</v>
      </c>
      <c r="H35" s="132" t="e">
        <f>Summary!D35</f>
        <v>#REF!</v>
      </c>
      <c r="I35" s="64" t="s">
        <v>237</v>
      </c>
      <c r="J35" s="66">
        <f>Summary!E35</f>
        <v>7</v>
      </c>
      <c r="K35" s="64" t="s">
        <v>238</v>
      </c>
      <c r="L35" s="132" t="e">
        <f>Summary!F35</f>
        <v>#REF!</v>
      </c>
      <c r="M35" s="64" t="s">
        <v>239</v>
      </c>
      <c r="N35" s="132" t="e">
        <f>Summary!G35</f>
        <v>#REF!</v>
      </c>
      <c r="O35" s="64" t="s">
        <v>240</v>
      </c>
      <c r="P35" s="132" t="e">
        <f>Summary!H35</f>
        <v>#REF!</v>
      </c>
      <c r="Q35" s="65" t="s">
        <v>277</v>
      </c>
      <c r="R35" s="70" t="e">
        <f t="shared" si="0"/>
        <v>#REF!</v>
      </c>
      <c r="S35" s="64" t="s">
        <v>243</v>
      </c>
      <c r="T35" s="122"/>
      <c r="U35" s="71" t="s">
        <v>244</v>
      </c>
      <c r="V35" s="72" t="e">
        <f xml:space="preserve"> _xlfn.TEXTJOIN(" ", FALSE,#REF!)</f>
        <v>#REF!</v>
      </c>
      <c r="W35" s="122"/>
      <c r="X35" s="71" t="s">
        <v>245</v>
      </c>
      <c r="Y35" s="72" t="e">
        <f xml:space="preserve"> _xlfn.TEXTJOIN(" ", FALSE,#REF!)</f>
        <v>#REF!</v>
      </c>
      <c r="Z35" s="122"/>
      <c r="AA35" s="71" t="s">
        <v>246</v>
      </c>
      <c r="AB35" s="72" t="e">
        <f xml:space="preserve"> _xlfn.TEXTJOIN(" ", FALSE,#REF!)</f>
        <v>#REF!</v>
      </c>
      <c r="AC35" s="122"/>
      <c r="AD35" s="71" t="s">
        <v>247</v>
      </c>
      <c r="AE35" s="72" t="e">
        <f xml:space="preserve"> _xlfn.TEXTJOIN(" ", FALSE,#REF!)</f>
        <v>#REF!</v>
      </c>
      <c r="AF35" s="122"/>
      <c r="AG35" s="71" t="s">
        <v>248</v>
      </c>
      <c r="AH35" s="73" t="e">
        <f xml:space="preserve"> _xlfn.TEXTJOIN(" ", FALSE,#REF!)</f>
        <v>#REF!</v>
      </c>
      <c r="AI35" s="122"/>
      <c r="AJ35" s="71" t="s">
        <v>249</v>
      </c>
      <c r="AK35" s="73" t="e">
        <f xml:space="preserve"> _xlfn.TEXTJOIN(" ", FALSE,#REF!)</f>
        <v>#REF!</v>
      </c>
      <c r="AL35" s="122"/>
      <c r="AM35" s="71" t="s">
        <v>250</v>
      </c>
      <c r="AN35" s="73" t="e">
        <f xml:space="preserve"> _xlfn.TEXTJOIN(" ", FALSE,#REF!)</f>
        <v>#REF!</v>
      </c>
      <c r="AO35" s="122"/>
      <c r="AP35" s="71" t="s">
        <v>251</v>
      </c>
      <c r="AQ35" s="72" t="e">
        <f xml:space="preserve"> _xlfn.TEXTJOIN(" ", FALSE,#REF!)</f>
        <v>#REF!</v>
      </c>
      <c r="AR35" s="122"/>
      <c r="AS35" s="71" t="s">
        <v>252</v>
      </c>
      <c r="AT35" s="72" t="e">
        <f xml:space="preserve"> _xlfn.TEXTJOIN(" ", FALSE,#REF!)</f>
        <v>#REF!</v>
      </c>
      <c r="AU35" s="122"/>
      <c r="AV35" s="71" t="s">
        <v>253</v>
      </c>
      <c r="AW35" s="73" t="e">
        <f xml:space="preserve"> _xlfn.TEXTJOIN(" ", FALSE,#REF!)</f>
        <v>#REF!</v>
      </c>
      <c r="AX35" s="122"/>
      <c r="AY35" s="71" t="s">
        <v>254</v>
      </c>
      <c r="AZ35" s="72" t="e">
        <f xml:space="preserve"> _xlfn.TEXTJOIN(" ", FALSE,#REF!)</f>
        <v>#REF!</v>
      </c>
      <c r="BA35" s="122"/>
      <c r="BB35" s="71" t="s">
        <v>255</v>
      </c>
      <c r="BC35" s="72" t="e">
        <f xml:space="preserve"> _xlfn.TEXTJOIN(" ", FALSE,#REF!)</f>
        <v>#REF!</v>
      </c>
      <c r="BD35" s="122"/>
      <c r="BE35" s="71" t="s">
        <v>256</v>
      </c>
      <c r="BF35" s="72" t="e">
        <f xml:space="preserve"> _xlfn.TEXTJOIN(" ", FALSE,#REF!)</f>
        <v>#REF!</v>
      </c>
      <c r="BG35" s="65" t="s">
        <v>277</v>
      </c>
      <c r="BH35" s="70" t="e">
        <f t="shared" si="1"/>
        <v>#REF!</v>
      </c>
      <c r="BI35" s="64" t="s">
        <v>257</v>
      </c>
      <c r="BJ35" s="122"/>
      <c r="BK35" s="71" t="s">
        <v>258</v>
      </c>
      <c r="BL35" s="74" t="str">
        <f>_xlfn.TEXTJOIN(" ", FALSE, 'Task 2a - Mitigating the Proble'!U35:AC35)</f>
        <v xml:space="preserve">1 1 1 1 0 1 0 0 </v>
      </c>
      <c r="BM35" s="65" t="s">
        <v>277</v>
      </c>
      <c r="BN35" s="70" t="str">
        <f t="shared" si="2"/>
        <v>[Details for Task 2a:]  /Question 12: 1 1 1 1 0 1 0 0  .</v>
      </c>
      <c r="BO35" s="64" t="s">
        <v>259</v>
      </c>
      <c r="BP35" s="122"/>
      <c r="BQ35" s="71" t="s">
        <v>260</v>
      </c>
      <c r="BR35" s="73" t="e">
        <f xml:space="preserve"> _xlfn.TEXTJOIN(" ", FALSE,#REF!)</f>
        <v>#REF!</v>
      </c>
      <c r="BS35" s="122"/>
      <c r="BT35" s="71" t="s">
        <v>261</v>
      </c>
      <c r="BU35" s="73" t="e">
        <f xml:space="preserve"> _xlfn.TEXTJOIN(" ", FALSE,#REF!)</f>
        <v>#REF!</v>
      </c>
      <c r="BV35" s="122"/>
      <c r="BW35" s="71" t="s">
        <v>262</v>
      </c>
      <c r="BX35" s="73" t="e">
        <f xml:space="preserve"> _xlfn.TEXTJOIN(" ", FALSE,#REF!)</f>
        <v>#REF!</v>
      </c>
      <c r="BY35" s="122"/>
      <c r="BZ35" s="71" t="s">
        <v>263</v>
      </c>
      <c r="CA35" s="73" t="e">
        <f xml:space="preserve"> _xlfn.TEXTJOIN(" ", FALSE,#REF!)</f>
        <v>#REF!</v>
      </c>
      <c r="CB35" s="122"/>
      <c r="CC35" s="71" t="s">
        <v>264</v>
      </c>
      <c r="CD35" s="73" t="e">
        <f xml:space="preserve"> _xlfn.TEXTJOIN(" ", FALSE,#REF!)</f>
        <v>#REF!</v>
      </c>
      <c r="CE35" s="122"/>
      <c r="CF35" s="71" t="s">
        <v>265</v>
      </c>
      <c r="CG35" s="73" t="e">
        <f xml:space="preserve"> _xlfn.TEXTJOIN(" ", FALSE,#REF!)</f>
        <v>#REF!</v>
      </c>
      <c r="CH35" s="122"/>
      <c r="CI35" s="74" t="s">
        <v>278</v>
      </c>
      <c r="CJ35" s="73" t="e">
        <f xml:space="preserve"> _xlfn.TEXTJOIN(" ", FALSE,#REF!)</f>
        <v>#REF!</v>
      </c>
      <c r="CK35" s="65" t="s">
        <v>277</v>
      </c>
      <c r="CL35" s="70" t="e">
        <f t="shared" si="3"/>
        <v>#REF!</v>
      </c>
      <c r="CM35" s="64" t="s">
        <v>267</v>
      </c>
      <c r="CN35" s="122"/>
      <c r="CO35" s="71" t="s">
        <v>268</v>
      </c>
      <c r="CP35" s="73" t="e">
        <f xml:space="preserve"> _xlfn.TEXTJOIN(" ", FALSE,#REF!)</f>
        <v>#REF!</v>
      </c>
      <c r="CQ35" s="122"/>
      <c r="CR35" s="71" t="s">
        <v>269</v>
      </c>
      <c r="CS35" s="73" t="e">
        <f xml:space="preserve"> _xlfn.TEXTJOIN(" ", FALSE,#REF!)</f>
        <v>#REF!</v>
      </c>
      <c r="CT35" s="122"/>
      <c r="CU35" s="71" t="s">
        <v>270</v>
      </c>
      <c r="CV35" s="72" t="e">
        <f xml:space="preserve"> _xlfn.TEXTJOIN(" ", FALSE,#REF!)</f>
        <v>#REF!</v>
      </c>
      <c r="CW35" s="122"/>
      <c r="CX35" s="71" t="s">
        <v>271</v>
      </c>
      <c r="CY35" s="72" t="e">
        <f xml:space="preserve"> _xlfn.TEXTJOIN(" ", FALSE,#REF!)</f>
        <v>#REF!</v>
      </c>
      <c r="CZ35" s="122"/>
      <c r="DA35" s="71" t="s">
        <v>272</v>
      </c>
      <c r="DB35" s="73" t="e">
        <f xml:space="preserve"> _xlfn.TEXTJOIN(" ", FALSE,#REF!)</f>
        <v>#REF!</v>
      </c>
      <c r="DC35" s="65" t="s">
        <v>277</v>
      </c>
      <c r="DD35" s="70" t="e">
        <f t="shared" si="4"/>
        <v>#REF!</v>
      </c>
      <c r="DE35" s="64" t="s">
        <v>273</v>
      </c>
      <c r="DF35" s="122"/>
      <c r="DG35" s="71" t="s">
        <v>274</v>
      </c>
      <c r="DH35" s="72" t="e">
        <f xml:space="preserve"> _xlfn.TEXTJOIN(" ", FALSE,#REF!)</f>
        <v>#REF!</v>
      </c>
      <c r="DI35" s="122"/>
      <c r="DJ35" s="71" t="s">
        <v>275</v>
      </c>
      <c r="DK35" s="73" t="e">
        <f xml:space="preserve"> _xlfn.TEXTJOIN(" ", FALSE,#REF!)</f>
        <v>#REF!</v>
      </c>
      <c r="DL35" s="65" t="s">
        <v>277</v>
      </c>
      <c r="DM35" s="70" t="e">
        <f t="shared" si="5"/>
        <v>#REF!</v>
      </c>
      <c r="DN35" s="70" t="e">
        <f t="shared" si="6"/>
        <v>#REF!</v>
      </c>
    </row>
    <row r="36" spans="1:118" ht="108" customHeight="1">
      <c r="A36" s="122" t="e">
        <f>Summary!A36</f>
        <v>#REF!</v>
      </c>
      <c r="B36" s="64" t="s">
        <v>233</v>
      </c>
      <c r="C36" s="65" t="e">
        <f>Summary!B36</f>
        <v>#REF!</v>
      </c>
      <c r="D36" s="122"/>
      <c r="E36" s="64" t="s">
        <v>235</v>
      </c>
      <c r="F36" s="132">
        <f>Summary!C36</f>
        <v>45</v>
      </c>
      <c r="G36" s="64" t="s">
        <v>236</v>
      </c>
      <c r="H36" s="132" t="e">
        <f>Summary!D36</f>
        <v>#REF!</v>
      </c>
      <c r="I36" s="64" t="s">
        <v>237</v>
      </c>
      <c r="J36" s="66">
        <f>Summary!E36</f>
        <v>6</v>
      </c>
      <c r="K36" s="64" t="s">
        <v>238</v>
      </c>
      <c r="L36" s="132" t="e">
        <f>Summary!F36</f>
        <v>#REF!</v>
      </c>
      <c r="M36" s="64" t="s">
        <v>239</v>
      </c>
      <c r="N36" s="132" t="e">
        <f>Summary!G36</f>
        <v>#REF!</v>
      </c>
      <c r="O36" s="64" t="s">
        <v>240</v>
      </c>
      <c r="P36" s="132" t="e">
        <f>Summary!H36</f>
        <v>#REF!</v>
      </c>
      <c r="Q36" s="65" t="s">
        <v>277</v>
      </c>
      <c r="R36" s="70" t="e">
        <f t="shared" si="0"/>
        <v>#REF!</v>
      </c>
      <c r="S36" s="64" t="s">
        <v>243</v>
      </c>
      <c r="T36" s="122"/>
      <c r="U36" s="71" t="s">
        <v>244</v>
      </c>
      <c r="V36" s="72" t="e">
        <f xml:space="preserve"> _xlfn.TEXTJOIN(" ", FALSE,#REF!)</f>
        <v>#REF!</v>
      </c>
      <c r="W36" s="122"/>
      <c r="X36" s="71" t="s">
        <v>245</v>
      </c>
      <c r="Y36" s="72" t="e">
        <f xml:space="preserve"> _xlfn.TEXTJOIN(" ", FALSE,#REF!)</f>
        <v>#REF!</v>
      </c>
      <c r="Z36" s="122"/>
      <c r="AA36" s="71" t="s">
        <v>246</v>
      </c>
      <c r="AB36" s="72" t="e">
        <f xml:space="preserve"> _xlfn.TEXTJOIN(" ", FALSE,#REF!)</f>
        <v>#REF!</v>
      </c>
      <c r="AC36" s="122"/>
      <c r="AD36" s="71" t="s">
        <v>247</v>
      </c>
      <c r="AE36" s="72" t="e">
        <f xml:space="preserve"> _xlfn.TEXTJOIN(" ", FALSE,#REF!)</f>
        <v>#REF!</v>
      </c>
      <c r="AF36" s="122"/>
      <c r="AG36" s="71" t="s">
        <v>248</v>
      </c>
      <c r="AH36" s="73" t="e">
        <f xml:space="preserve"> _xlfn.TEXTJOIN(" ", FALSE,#REF!)</f>
        <v>#REF!</v>
      </c>
      <c r="AI36" s="122"/>
      <c r="AJ36" s="71" t="s">
        <v>249</v>
      </c>
      <c r="AK36" s="73" t="e">
        <f xml:space="preserve"> _xlfn.TEXTJOIN(" ", FALSE,#REF!)</f>
        <v>#REF!</v>
      </c>
      <c r="AL36" s="122"/>
      <c r="AM36" s="71" t="s">
        <v>250</v>
      </c>
      <c r="AN36" s="73" t="e">
        <f xml:space="preserve"> _xlfn.TEXTJOIN(" ", FALSE,#REF!)</f>
        <v>#REF!</v>
      </c>
      <c r="AO36" s="122"/>
      <c r="AP36" s="71" t="s">
        <v>251</v>
      </c>
      <c r="AQ36" s="72" t="e">
        <f xml:space="preserve"> _xlfn.TEXTJOIN(" ", FALSE,#REF!)</f>
        <v>#REF!</v>
      </c>
      <c r="AR36" s="122"/>
      <c r="AS36" s="71" t="s">
        <v>252</v>
      </c>
      <c r="AT36" s="72" t="e">
        <f xml:space="preserve"> _xlfn.TEXTJOIN(" ", FALSE,#REF!)</f>
        <v>#REF!</v>
      </c>
      <c r="AU36" s="122"/>
      <c r="AV36" s="71" t="s">
        <v>253</v>
      </c>
      <c r="AW36" s="73" t="e">
        <f xml:space="preserve"> _xlfn.TEXTJOIN(" ", FALSE,#REF!)</f>
        <v>#REF!</v>
      </c>
      <c r="AX36" s="122"/>
      <c r="AY36" s="71" t="s">
        <v>254</v>
      </c>
      <c r="AZ36" s="72" t="e">
        <f xml:space="preserve"> _xlfn.TEXTJOIN(" ", FALSE,#REF!)</f>
        <v>#REF!</v>
      </c>
      <c r="BA36" s="122"/>
      <c r="BB36" s="71" t="s">
        <v>255</v>
      </c>
      <c r="BC36" s="72" t="e">
        <f xml:space="preserve"> _xlfn.TEXTJOIN(" ", FALSE,#REF!)</f>
        <v>#REF!</v>
      </c>
      <c r="BD36" s="122"/>
      <c r="BE36" s="71" t="s">
        <v>256</v>
      </c>
      <c r="BF36" s="72" t="e">
        <f xml:space="preserve"> _xlfn.TEXTJOIN(" ", FALSE,#REF!)</f>
        <v>#REF!</v>
      </c>
      <c r="BG36" s="65" t="s">
        <v>277</v>
      </c>
      <c r="BH36" s="70" t="e">
        <f t="shared" si="1"/>
        <v>#REF!</v>
      </c>
      <c r="BI36" s="64" t="s">
        <v>257</v>
      </c>
      <c r="BJ36" s="122"/>
      <c r="BK36" s="71" t="s">
        <v>258</v>
      </c>
      <c r="BL36" s="74" t="str">
        <f>_xlfn.TEXTJOIN(" ", FALSE, 'Task 2a - Mitigating the Proble'!U36:AC36)</f>
        <v xml:space="preserve">1 0 1 1 0 1 0 0 </v>
      </c>
      <c r="BM36" s="65" t="s">
        <v>277</v>
      </c>
      <c r="BN36" s="70" t="str">
        <f t="shared" si="2"/>
        <v>[Details for Task 2a:]  /Question 12: 1 0 1 1 0 1 0 0  .</v>
      </c>
      <c r="BO36" s="64" t="s">
        <v>259</v>
      </c>
      <c r="BP36" s="122"/>
      <c r="BQ36" s="71" t="s">
        <v>260</v>
      </c>
      <c r="BR36" s="73" t="e">
        <f xml:space="preserve"> _xlfn.TEXTJOIN(" ", FALSE,#REF!)</f>
        <v>#REF!</v>
      </c>
      <c r="BS36" s="122"/>
      <c r="BT36" s="71" t="s">
        <v>261</v>
      </c>
      <c r="BU36" s="73" t="e">
        <f xml:space="preserve"> _xlfn.TEXTJOIN(" ", FALSE,#REF!)</f>
        <v>#REF!</v>
      </c>
      <c r="BV36" s="122"/>
      <c r="BW36" s="71" t="s">
        <v>262</v>
      </c>
      <c r="BX36" s="73" t="e">
        <f xml:space="preserve"> _xlfn.TEXTJOIN(" ", FALSE,#REF!)</f>
        <v>#REF!</v>
      </c>
      <c r="BY36" s="122"/>
      <c r="BZ36" s="71" t="s">
        <v>263</v>
      </c>
      <c r="CA36" s="73" t="e">
        <f xml:space="preserve"> _xlfn.TEXTJOIN(" ", FALSE,#REF!)</f>
        <v>#REF!</v>
      </c>
      <c r="CB36" s="122"/>
      <c r="CC36" s="71" t="s">
        <v>264</v>
      </c>
      <c r="CD36" s="73" t="e">
        <f xml:space="preserve"> _xlfn.TEXTJOIN(" ", FALSE,#REF!)</f>
        <v>#REF!</v>
      </c>
      <c r="CE36" s="122"/>
      <c r="CF36" s="71" t="s">
        <v>265</v>
      </c>
      <c r="CG36" s="73" t="e">
        <f xml:space="preserve"> _xlfn.TEXTJOIN(" ", FALSE,#REF!)</f>
        <v>#REF!</v>
      </c>
      <c r="CH36" s="122"/>
      <c r="CI36" s="74" t="s">
        <v>278</v>
      </c>
      <c r="CJ36" s="73" t="e">
        <f xml:space="preserve"> _xlfn.TEXTJOIN(" ", FALSE,#REF!)</f>
        <v>#REF!</v>
      </c>
      <c r="CK36" s="65" t="s">
        <v>277</v>
      </c>
      <c r="CL36" s="70" t="e">
        <f t="shared" si="3"/>
        <v>#REF!</v>
      </c>
      <c r="CM36" s="64" t="s">
        <v>267</v>
      </c>
      <c r="CN36" s="122"/>
      <c r="CO36" s="71" t="s">
        <v>268</v>
      </c>
      <c r="CP36" s="73" t="e">
        <f xml:space="preserve"> _xlfn.TEXTJOIN(" ", FALSE,#REF!)</f>
        <v>#REF!</v>
      </c>
      <c r="CQ36" s="122"/>
      <c r="CR36" s="71" t="s">
        <v>269</v>
      </c>
      <c r="CS36" s="73" t="e">
        <f xml:space="preserve"> _xlfn.TEXTJOIN(" ", FALSE,#REF!)</f>
        <v>#REF!</v>
      </c>
      <c r="CT36" s="122"/>
      <c r="CU36" s="71" t="s">
        <v>270</v>
      </c>
      <c r="CV36" s="72" t="e">
        <f xml:space="preserve"> _xlfn.TEXTJOIN(" ", FALSE,#REF!)</f>
        <v>#REF!</v>
      </c>
      <c r="CW36" s="122"/>
      <c r="CX36" s="71" t="s">
        <v>271</v>
      </c>
      <c r="CY36" s="72" t="e">
        <f xml:space="preserve"> _xlfn.TEXTJOIN(" ", FALSE,#REF!)</f>
        <v>#REF!</v>
      </c>
      <c r="CZ36" s="122"/>
      <c r="DA36" s="71" t="s">
        <v>272</v>
      </c>
      <c r="DB36" s="73" t="e">
        <f xml:space="preserve"> _xlfn.TEXTJOIN(" ", FALSE,#REF!)</f>
        <v>#REF!</v>
      </c>
      <c r="DC36" s="65" t="s">
        <v>277</v>
      </c>
      <c r="DD36" s="70" t="e">
        <f t="shared" si="4"/>
        <v>#REF!</v>
      </c>
      <c r="DE36" s="64" t="s">
        <v>273</v>
      </c>
      <c r="DF36" s="122"/>
      <c r="DG36" s="71" t="s">
        <v>274</v>
      </c>
      <c r="DH36" s="72" t="e">
        <f xml:space="preserve"> _xlfn.TEXTJOIN(" ", FALSE,#REF!)</f>
        <v>#REF!</v>
      </c>
      <c r="DI36" s="122"/>
      <c r="DJ36" s="71" t="s">
        <v>275</v>
      </c>
      <c r="DK36" s="73" t="e">
        <f xml:space="preserve"> _xlfn.TEXTJOIN(" ", FALSE,#REF!)</f>
        <v>#REF!</v>
      </c>
      <c r="DL36" s="65" t="s">
        <v>277</v>
      </c>
      <c r="DM36" s="70" t="e">
        <f t="shared" si="5"/>
        <v>#REF!</v>
      </c>
      <c r="DN36" s="70" t="e">
        <f t="shared" si="6"/>
        <v>#REF!</v>
      </c>
    </row>
    <row r="37" spans="1:118" ht="108" customHeight="1">
      <c r="A37" s="122" t="e">
        <f>Summary!A37</f>
        <v>#REF!</v>
      </c>
      <c r="B37" s="64" t="s">
        <v>233</v>
      </c>
      <c r="C37" s="65" t="e">
        <f>Summary!B37</f>
        <v>#REF!</v>
      </c>
      <c r="D37" s="122"/>
      <c r="E37" s="64" t="s">
        <v>235</v>
      </c>
      <c r="F37" s="132" t="e">
        <f>Summary!C37</f>
        <v>#REF!</v>
      </c>
      <c r="G37" s="64" t="s">
        <v>236</v>
      </c>
      <c r="H37" s="132" t="e">
        <f>Summary!D37</f>
        <v>#REF!</v>
      </c>
      <c r="I37" s="64" t="s">
        <v>237</v>
      </c>
      <c r="J37" s="66">
        <f>Summary!E37</f>
        <v>6</v>
      </c>
      <c r="K37" s="64" t="s">
        <v>238</v>
      </c>
      <c r="L37" s="132" t="e">
        <f>Summary!F37</f>
        <v>#REF!</v>
      </c>
      <c r="M37" s="64" t="s">
        <v>239</v>
      </c>
      <c r="N37" s="132" t="e">
        <f>Summary!G37</f>
        <v>#REF!</v>
      </c>
      <c r="O37" s="64" t="s">
        <v>240</v>
      </c>
      <c r="P37" s="132" t="e">
        <f>Summary!H37</f>
        <v>#REF!</v>
      </c>
      <c r="Q37" s="65" t="s">
        <v>277</v>
      </c>
      <c r="R37" s="70" t="e">
        <f t="shared" si="0"/>
        <v>#REF!</v>
      </c>
      <c r="S37" s="64" t="s">
        <v>243</v>
      </c>
      <c r="T37" s="122"/>
      <c r="U37" s="71" t="s">
        <v>244</v>
      </c>
      <c r="V37" s="72" t="e">
        <f xml:space="preserve"> _xlfn.TEXTJOIN(" ", FALSE,#REF!)</f>
        <v>#REF!</v>
      </c>
      <c r="W37" s="122"/>
      <c r="X37" s="71" t="s">
        <v>245</v>
      </c>
      <c r="Y37" s="72" t="e">
        <f xml:space="preserve"> _xlfn.TEXTJOIN(" ", FALSE,#REF!)</f>
        <v>#REF!</v>
      </c>
      <c r="Z37" s="122"/>
      <c r="AA37" s="71" t="s">
        <v>246</v>
      </c>
      <c r="AB37" s="72" t="e">
        <f xml:space="preserve"> _xlfn.TEXTJOIN(" ", FALSE,#REF!)</f>
        <v>#REF!</v>
      </c>
      <c r="AC37" s="122"/>
      <c r="AD37" s="71" t="s">
        <v>247</v>
      </c>
      <c r="AE37" s="72" t="e">
        <f xml:space="preserve"> _xlfn.TEXTJOIN(" ", FALSE,#REF!)</f>
        <v>#REF!</v>
      </c>
      <c r="AF37" s="122"/>
      <c r="AG37" s="71" t="s">
        <v>248</v>
      </c>
      <c r="AH37" s="73" t="e">
        <f xml:space="preserve"> _xlfn.TEXTJOIN(" ", FALSE,#REF!)</f>
        <v>#REF!</v>
      </c>
      <c r="AI37" s="122"/>
      <c r="AJ37" s="71" t="s">
        <v>249</v>
      </c>
      <c r="AK37" s="73" t="e">
        <f xml:space="preserve"> _xlfn.TEXTJOIN(" ", FALSE,#REF!)</f>
        <v>#REF!</v>
      </c>
      <c r="AL37" s="122"/>
      <c r="AM37" s="71" t="s">
        <v>250</v>
      </c>
      <c r="AN37" s="73" t="e">
        <f xml:space="preserve"> _xlfn.TEXTJOIN(" ", FALSE,#REF!)</f>
        <v>#REF!</v>
      </c>
      <c r="AO37" s="122"/>
      <c r="AP37" s="71" t="s">
        <v>251</v>
      </c>
      <c r="AQ37" s="72" t="e">
        <f xml:space="preserve"> _xlfn.TEXTJOIN(" ", FALSE,#REF!)</f>
        <v>#REF!</v>
      </c>
      <c r="AR37" s="122"/>
      <c r="AS37" s="71" t="s">
        <v>252</v>
      </c>
      <c r="AT37" s="72" t="e">
        <f xml:space="preserve"> _xlfn.TEXTJOIN(" ", FALSE,#REF!)</f>
        <v>#REF!</v>
      </c>
      <c r="AU37" s="122"/>
      <c r="AV37" s="71" t="s">
        <v>253</v>
      </c>
      <c r="AW37" s="73" t="e">
        <f xml:space="preserve"> _xlfn.TEXTJOIN(" ", FALSE,#REF!)</f>
        <v>#REF!</v>
      </c>
      <c r="AX37" s="122"/>
      <c r="AY37" s="71" t="s">
        <v>254</v>
      </c>
      <c r="AZ37" s="72" t="e">
        <f xml:space="preserve"> _xlfn.TEXTJOIN(" ", FALSE,#REF!)</f>
        <v>#REF!</v>
      </c>
      <c r="BA37" s="122"/>
      <c r="BB37" s="71" t="s">
        <v>255</v>
      </c>
      <c r="BC37" s="72" t="e">
        <f xml:space="preserve"> _xlfn.TEXTJOIN(" ", FALSE,#REF!)</f>
        <v>#REF!</v>
      </c>
      <c r="BD37" s="122"/>
      <c r="BE37" s="71" t="s">
        <v>256</v>
      </c>
      <c r="BF37" s="72" t="e">
        <f xml:space="preserve"> _xlfn.TEXTJOIN(" ", FALSE,#REF!)</f>
        <v>#REF!</v>
      </c>
      <c r="BG37" s="65" t="s">
        <v>277</v>
      </c>
      <c r="BH37" s="70" t="e">
        <f t="shared" si="1"/>
        <v>#REF!</v>
      </c>
      <c r="BI37" s="64" t="s">
        <v>257</v>
      </c>
      <c r="BJ37" s="122"/>
      <c r="BK37" s="71" t="s">
        <v>258</v>
      </c>
      <c r="BL37" s="74" t="str">
        <f>_xlfn.TEXTJOIN(" ", FALSE, 'Task 2a - Mitigating the Proble'!U37:AC37)</f>
        <v xml:space="preserve">1 0 1 0 0 1 0 0 </v>
      </c>
      <c r="BM37" s="65" t="s">
        <v>277</v>
      </c>
      <c r="BN37" s="70" t="str">
        <f t="shared" si="2"/>
        <v>[Details for Task 2a:]  /Question 12: 1 0 1 0 0 1 0 0  .</v>
      </c>
      <c r="BO37" s="64" t="s">
        <v>259</v>
      </c>
      <c r="BP37" s="122"/>
      <c r="BQ37" s="71" t="s">
        <v>260</v>
      </c>
      <c r="BR37" s="73" t="e">
        <f xml:space="preserve"> _xlfn.TEXTJOIN(" ", FALSE,#REF!)</f>
        <v>#REF!</v>
      </c>
      <c r="BS37" s="122"/>
      <c r="BT37" s="71" t="s">
        <v>261</v>
      </c>
      <c r="BU37" s="73" t="e">
        <f xml:space="preserve"> _xlfn.TEXTJOIN(" ", FALSE,#REF!)</f>
        <v>#REF!</v>
      </c>
      <c r="BV37" s="122"/>
      <c r="BW37" s="71" t="s">
        <v>262</v>
      </c>
      <c r="BX37" s="73" t="e">
        <f xml:space="preserve"> _xlfn.TEXTJOIN(" ", FALSE,#REF!)</f>
        <v>#REF!</v>
      </c>
      <c r="BY37" s="122"/>
      <c r="BZ37" s="71" t="s">
        <v>263</v>
      </c>
      <c r="CA37" s="73" t="e">
        <f xml:space="preserve"> _xlfn.TEXTJOIN(" ", FALSE,#REF!)</f>
        <v>#REF!</v>
      </c>
      <c r="CB37" s="122"/>
      <c r="CC37" s="71" t="s">
        <v>264</v>
      </c>
      <c r="CD37" s="73" t="e">
        <f xml:space="preserve"> _xlfn.TEXTJOIN(" ", FALSE,#REF!)</f>
        <v>#REF!</v>
      </c>
      <c r="CE37" s="122"/>
      <c r="CF37" s="71" t="s">
        <v>265</v>
      </c>
      <c r="CG37" s="73" t="e">
        <f xml:space="preserve"> _xlfn.TEXTJOIN(" ", FALSE,#REF!)</f>
        <v>#REF!</v>
      </c>
      <c r="CH37" s="122"/>
      <c r="CI37" s="74" t="s">
        <v>278</v>
      </c>
      <c r="CJ37" s="73" t="e">
        <f xml:space="preserve"> _xlfn.TEXTJOIN(" ", FALSE,#REF!)</f>
        <v>#REF!</v>
      </c>
      <c r="CK37" s="65" t="s">
        <v>277</v>
      </c>
      <c r="CL37" s="70" t="e">
        <f t="shared" si="3"/>
        <v>#REF!</v>
      </c>
      <c r="CM37" s="64" t="s">
        <v>267</v>
      </c>
      <c r="CN37" s="122"/>
      <c r="CO37" s="71" t="s">
        <v>268</v>
      </c>
      <c r="CP37" s="73" t="e">
        <f xml:space="preserve"> _xlfn.TEXTJOIN(" ", FALSE,#REF!)</f>
        <v>#REF!</v>
      </c>
      <c r="CQ37" s="122"/>
      <c r="CR37" s="71" t="s">
        <v>269</v>
      </c>
      <c r="CS37" s="73" t="e">
        <f xml:space="preserve"> _xlfn.TEXTJOIN(" ", FALSE,#REF!)</f>
        <v>#REF!</v>
      </c>
      <c r="CT37" s="122"/>
      <c r="CU37" s="71" t="s">
        <v>270</v>
      </c>
      <c r="CV37" s="72" t="e">
        <f xml:space="preserve"> _xlfn.TEXTJOIN(" ", FALSE,#REF!)</f>
        <v>#REF!</v>
      </c>
      <c r="CW37" s="122"/>
      <c r="CX37" s="71" t="s">
        <v>271</v>
      </c>
      <c r="CY37" s="72" t="e">
        <f xml:space="preserve"> _xlfn.TEXTJOIN(" ", FALSE,#REF!)</f>
        <v>#REF!</v>
      </c>
      <c r="CZ37" s="122"/>
      <c r="DA37" s="71" t="s">
        <v>272</v>
      </c>
      <c r="DB37" s="73" t="e">
        <f xml:space="preserve"> _xlfn.TEXTJOIN(" ", FALSE,#REF!)</f>
        <v>#REF!</v>
      </c>
      <c r="DC37" s="65" t="s">
        <v>277</v>
      </c>
      <c r="DD37" s="70" t="e">
        <f t="shared" si="4"/>
        <v>#REF!</v>
      </c>
      <c r="DE37" s="64" t="s">
        <v>273</v>
      </c>
      <c r="DF37" s="122"/>
      <c r="DG37" s="71" t="s">
        <v>274</v>
      </c>
      <c r="DH37" s="72" t="e">
        <f xml:space="preserve"> _xlfn.TEXTJOIN(" ", FALSE,#REF!)</f>
        <v>#REF!</v>
      </c>
      <c r="DI37" s="122"/>
      <c r="DJ37" s="71" t="s">
        <v>275</v>
      </c>
      <c r="DK37" s="73" t="e">
        <f xml:space="preserve"> _xlfn.TEXTJOIN(" ", FALSE,#REF!)</f>
        <v>#REF!</v>
      </c>
      <c r="DL37" s="65" t="s">
        <v>277</v>
      </c>
      <c r="DM37" s="70" t="e">
        <f t="shared" si="5"/>
        <v>#REF!</v>
      </c>
      <c r="DN37" s="70" t="e">
        <f t="shared" si="6"/>
        <v>#REF!</v>
      </c>
    </row>
    <row r="38" spans="1:118" ht="108" customHeight="1">
      <c r="A38" s="122" t="e">
        <f>Summary!A38</f>
        <v>#REF!</v>
      </c>
      <c r="B38" s="64" t="s">
        <v>233</v>
      </c>
      <c r="C38" s="65" t="e">
        <f>Summary!B38</f>
        <v>#REF!</v>
      </c>
      <c r="D38" s="122"/>
      <c r="E38" s="64" t="s">
        <v>235</v>
      </c>
      <c r="F38" s="132" t="e">
        <f>Summary!C38</f>
        <v>#REF!</v>
      </c>
      <c r="G38" s="64" t="s">
        <v>236</v>
      </c>
      <c r="H38" s="132" t="e">
        <f>Summary!D38</f>
        <v>#REF!</v>
      </c>
      <c r="I38" s="64" t="s">
        <v>237</v>
      </c>
      <c r="J38" s="66">
        <f>Summary!E38</f>
        <v>7</v>
      </c>
      <c r="K38" s="64" t="s">
        <v>238</v>
      </c>
      <c r="L38" s="132" t="e">
        <f>Summary!F38</f>
        <v>#REF!</v>
      </c>
      <c r="M38" s="64" t="s">
        <v>239</v>
      </c>
      <c r="N38" s="132" t="e">
        <f>Summary!G38</f>
        <v>#REF!</v>
      </c>
      <c r="O38" s="64" t="s">
        <v>240</v>
      </c>
      <c r="P38" s="132" t="e">
        <f>Summary!H38</f>
        <v>#REF!</v>
      </c>
      <c r="Q38" s="65" t="s">
        <v>277</v>
      </c>
      <c r="R38" s="70" t="e">
        <f t="shared" si="0"/>
        <v>#REF!</v>
      </c>
      <c r="S38" s="64" t="s">
        <v>243</v>
      </c>
      <c r="T38" s="122"/>
      <c r="U38" s="71" t="s">
        <v>244</v>
      </c>
      <c r="V38" s="72" t="e">
        <f xml:space="preserve"> _xlfn.TEXTJOIN(" ", FALSE,#REF!)</f>
        <v>#REF!</v>
      </c>
      <c r="W38" s="122"/>
      <c r="X38" s="71" t="s">
        <v>245</v>
      </c>
      <c r="Y38" s="72" t="e">
        <f xml:space="preserve"> _xlfn.TEXTJOIN(" ", FALSE,#REF!)</f>
        <v>#REF!</v>
      </c>
      <c r="Z38" s="122"/>
      <c r="AA38" s="71" t="s">
        <v>246</v>
      </c>
      <c r="AB38" s="72" t="e">
        <f xml:space="preserve"> _xlfn.TEXTJOIN(" ", FALSE,#REF!)</f>
        <v>#REF!</v>
      </c>
      <c r="AC38" s="122"/>
      <c r="AD38" s="71" t="s">
        <v>247</v>
      </c>
      <c r="AE38" s="72" t="e">
        <f xml:space="preserve"> _xlfn.TEXTJOIN(" ", FALSE,#REF!)</f>
        <v>#REF!</v>
      </c>
      <c r="AF38" s="122"/>
      <c r="AG38" s="71" t="s">
        <v>248</v>
      </c>
      <c r="AH38" s="73" t="e">
        <f xml:space="preserve"> _xlfn.TEXTJOIN(" ", FALSE,#REF!)</f>
        <v>#REF!</v>
      </c>
      <c r="AI38" s="122"/>
      <c r="AJ38" s="71" t="s">
        <v>249</v>
      </c>
      <c r="AK38" s="73" t="e">
        <f xml:space="preserve"> _xlfn.TEXTJOIN(" ", FALSE,#REF!)</f>
        <v>#REF!</v>
      </c>
      <c r="AL38" s="122"/>
      <c r="AM38" s="71" t="s">
        <v>250</v>
      </c>
      <c r="AN38" s="73" t="e">
        <f xml:space="preserve"> _xlfn.TEXTJOIN(" ", FALSE,#REF!)</f>
        <v>#REF!</v>
      </c>
      <c r="AO38" s="122"/>
      <c r="AP38" s="71" t="s">
        <v>251</v>
      </c>
      <c r="AQ38" s="72" t="e">
        <f xml:space="preserve"> _xlfn.TEXTJOIN(" ", FALSE,#REF!)</f>
        <v>#REF!</v>
      </c>
      <c r="AR38" s="122"/>
      <c r="AS38" s="71" t="s">
        <v>252</v>
      </c>
      <c r="AT38" s="72" t="e">
        <f xml:space="preserve"> _xlfn.TEXTJOIN(" ", FALSE,#REF!)</f>
        <v>#REF!</v>
      </c>
      <c r="AU38" s="122"/>
      <c r="AV38" s="71" t="s">
        <v>253</v>
      </c>
      <c r="AW38" s="73" t="e">
        <f xml:space="preserve"> _xlfn.TEXTJOIN(" ", FALSE,#REF!)</f>
        <v>#REF!</v>
      </c>
      <c r="AX38" s="122"/>
      <c r="AY38" s="71" t="s">
        <v>254</v>
      </c>
      <c r="AZ38" s="72" t="e">
        <f xml:space="preserve"> _xlfn.TEXTJOIN(" ", FALSE,#REF!)</f>
        <v>#REF!</v>
      </c>
      <c r="BA38" s="122"/>
      <c r="BB38" s="71" t="s">
        <v>255</v>
      </c>
      <c r="BC38" s="72" t="e">
        <f xml:space="preserve"> _xlfn.TEXTJOIN(" ", FALSE,#REF!)</f>
        <v>#REF!</v>
      </c>
      <c r="BD38" s="122"/>
      <c r="BE38" s="71" t="s">
        <v>256</v>
      </c>
      <c r="BF38" s="72" t="e">
        <f xml:space="preserve"> _xlfn.TEXTJOIN(" ", FALSE,#REF!)</f>
        <v>#REF!</v>
      </c>
      <c r="BG38" s="65" t="s">
        <v>277</v>
      </c>
      <c r="BH38" s="70" t="e">
        <f t="shared" si="1"/>
        <v>#REF!</v>
      </c>
      <c r="BI38" s="64" t="s">
        <v>257</v>
      </c>
      <c r="BJ38" s="122"/>
      <c r="BK38" s="71" t="s">
        <v>258</v>
      </c>
      <c r="BL38" s="74" t="str">
        <f>_xlfn.TEXTJOIN(" ", FALSE, 'Task 2a - Mitigating the Proble'!U38:AC38)</f>
        <v xml:space="preserve">1 1 1 0 1 1 0 0 </v>
      </c>
      <c r="BM38" s="65" t="s">
        <v>277</v>
      </c>
      <c r="BN38" s="70" t="str">
        <f t="shared" si="2"/>
        <v>[Details for Task 2a:]  /Question 12: 1 1 1 0 1 1 0 0  .</v>
      </c>
      <c r="BO38" s="64" t="s">
        <v>259</v>
      </c>
      <c r="BP38" s="122"/>
      <c r="BQ38" s="71" t="s">
        <v>260</v>
      </c>
      <c r="BR38" s="73" t="e">
        <f xml:space="preserve"> _xlfn.TEXTJOIN(" ", FALSE,#REF!)</f>
        <v>#REF!</v>
      </c>
      <c r="BS38" s="122"/>
      <c r="BT38" s="71" t="s">
        <v>261</v>
      </c>
      <c r="BU38" s="73" t="e">
        <f xml:space="preserve"> _xlfn.TEXTJOIN(" ", FALSE,#REF!)</f>
        <v>#REF!</v>
      </c>
      <c r="BV38" s="122"/>
      <c r="BW38" s="71" t="s">
        <v>262</v>
      </c>
      <c r="BX38" s="73" t="e">
        <f xml:space="preserve"> _xlfn.TEXTJOIN(" ", FALSE,#REF!)</f>
        <v>#REF!</v>
      </c>
      <c r="BY38" s="122"/>
      <c r="BZ38" s="71" t="s">
        <v>263</v>
      </c>
      <c r="CA38" s="73" t="e">
        <f xml:space="preserve"> _xlfn.TEXTJOIN(" ", FALSE,#REF!)</f>
        <v>#REF!</v>
      </c>
      <c r="CB38" s="122"/>
      <c r="CC38" s="71" t="s">
        <v>264</v>
      </c>
      <c r="CD38" s="73" t="e">
        <f xml:space="preserve"> _xlfn.TEXTJOIN(" ", FALSE,#REF!)</f>
        <v>#REF!</v>
      </c>
      <c r="CE38" s="122"/>
      <c r="CF38" s="71" t="s">
        <v>265</v>
      </c>
      <c r="CG38" s="73" t="e">
        <f xml:space="preserve"> _xlfn.TEXTJOIN(" ", FALSE,#REF!)</f>
        <v>#REF!</v>
      </c>
      <c r="CH38" s="122"/>
      <c r="CI38" s="74" t="s">
        <v>278</v>
      </c>
      <c r="CJ38" s="73" t="e">
        <f xml:space="preserve"> _xlfn.TEXTJOIN(" ", FALSE,#REF!)</f>
        <v>#REF!</v>
      </c>
      <c r="CK38" s="65" t="s">
        <v>277</v>
      </c>
      <c r="CL38" s="70" t="e">
        <f t="shared" si="3"/>
        <v>#REF!</v>
      </c>
      <c r="CM38" s="64" t="s">
        <v>267</v>
      </c>
      <c r="CN38" s="122"/>
      <c r="CO38" s="71" t="s">
        <v>268</v>
      </c>
      <c r="CP38" s="73" t="e">
        <f xml:space="preserve"> _xlfn.TEXTJOIN(" ", FALSE,#REF!)</f>
        <v>#REF!</v>
      </c>
      <c r="CQ38" s="122"/>
      <c r="CR38" s="71" t="s">
        <v>269</v>
      </c>
      <c r="CS38" s="73" t="e">
        <f xml:space="preserve"> _xlfn.TEXTJOIN(" ", FALSE,#REF!)</f>
        <v>#REF!</v>
      </c>
      <c r="CT38" s="122"/>
      <c r="CU38" s="71" t="s">
        <v>270</v>
      </c>
      <c r="CV38" s="72" t="e">
        <f xml:space="preserve"> _xlfn.TEXTJOIN(" ", FALSE,#REF!)</f>
        <v>#REF!</v>
      </c>
      <c r="CW38" s="122"/>
      <c r="CX38" s="71" t="s">
        <v>271</v>
      </c>
      <c r="CY38" s="72" t="e">
        <f xml:space="preserve"> _xlfn.TEXTJOIN(" ", FALSE,#REF!)</f>
        <v>#REF!</v>
      </c>
      <c r="CZ38" s="122"/>
      <c r="DA38" s="71" t="s">
        <v>272</v>
      </c>
      <c r="DB38" s="73" t="e">
        <f xml:space="preserve"> _xlfn.TEXTJOIN(" ", FALSE,#REF!)</f>
        <v>#REF!</v>
      </c>
      <c r="DC38" s="65" t="s">
        <v>277</v>
      </c>
      <c r="DD38" s="70" t="e">
        <f t="shared" si="4"/>
        <v>#REF!</v>
      </c>
      <c r="DE38" s="64" t="s">
        <v>273</v>
      </c>
      <c r="DF38" s="122"/>
      <c r="DG38" s="71" t="s">
        <v>274</v>
      </c>
      <c r="DH38" s="72" t="e">
        <f xml:space="preserve"> _xlfn.TEXTJOIN(" ", FALSE,#REF!)</f>
        <v>#REF!</v>
      </c>
      <c r="DI38" s="122"/>
      <c r="DJ38" s="71" t="s">
        <v>275</v>
      </c>
      <c r="DK38" s="73" t="e">
        <f xml:space="preserve"> _xlfn.TEXTJOIN(" ", FALSE,#REF!)</f>
        <v>#REF!</v>
      </c>
      <c r="DL38" s="65" t="s">
        <v>277</v>
      </c>
      <c r="DM38" s="70" t="e">
        <f t="shared" si="5"/>
        <v>#REF!</v>
      </c>
      <c r="DN38" s="70" t="e">
        <f t="shared" si="6"/>
        <v>#REF!</v>
      </c>
    </row>
    <row r="39" spans="1:118" ht="108" customHeight="1">
      <c r="A39" s="122" t="e">
        <f>Summary!A39</f>
        <v>#REF!</v>
      </c>
      <c r="B39" s="64" t="s">
        <v>233</v>
      </c>
      <c r="C39" s="65" t="e">
        <f>Summary!B39</f>
        <v>#REF!</v>
      </c>
      <c r="D39" s="122"/>
      <c r="E39" s="64" t="s">
        <v>235</v>
      </c>
      <c r="F39" s="132" t="e">
        <f>Summary!C39</f>
        <v>#REF!</v>
      </c>
      <c r="G39" s="64" t="s">
        <v>236</v>
      </c>
      <c r="H39" s="132" t="e">
        <f>Summary!D39</f>
        <v>#REF!</v>
      </c>
      <c r="I39" s="64" t="s">
        <v>237</v>
      </c>
      <c r="J39" s="66">
        <f>Summary!E39</f>
        <v>7</v>
      </c>
      <c r="K39" s="64" t="s">
        <v>238</v>
      </c>
      <c r="L39" s="132" t="e">
        <f>Summary!F39</f>
        <v>#REF!</v>
      </c>
      <c r="M39" s="64" t="s">
        <v>239</v>
      </c>
      <c r="N39" s="132" t="e">
        <f>Summary!G39</f>
        <v>#REF!</v>
      </c>
      <c r="O39" s="64" t="s">
        <v>240</v>
      </c>
      <c r="P39" s="132" t="e">
        <f>Summary!H39</f>
        <v>#REF!</v>
      </c>
      <c r="Q39" s="65" t="s">
        <v>277</v>
      </c>
      <c r="R39" s="70" t="e">
        <f t="shared" si="0"/>
        <v>#REF!</v>
      </c>
      <c r="S39" s="64" t="s">
        <v>243</v>
      </c>
      <c r="T39" s="122"/>
      <c r="U39" s="71" t="s">
        <v>244</v>
      </c>
      <c r="V39" s="72" t="e">
        <f xml:space="preserve"> _xlfn.TEXTJOIN(" ", FALSE,#REF!)</f>
        <v>#REF!</v>
      </c>
      <c r="W39" s="122"/>
      <c r="X39" s="71" t="s">
        <v>245</v>
      </c>
      <c r="Y39" s="72" t="e">
        <f xml:space="preserve"> _xlfn.TEXTJOIN(" ", FALSE,#REF!)</f>
        <v>#REF!</v>
      </c>
      <c r="Z39" s="122"/>
      <c r="AA39" s="71" t="s">
        <v>246</v>
      </c>
      <c r="AB39" s="72" t="e">
        <f xml:space="preserve"> _xlfn.TEXTJOIN(" ", FALSE,#REF!)</f>
        <v>#REF!</v>
      </c>
      <c r="AC39" s="122"/>
      <c r="AD39" s="71" t="s">
        <v>247</v>
      </c>
      <c r="AE39" s="72" t="e">
        <f xml:space="preserve"> _xlfn.TEXTJOIN(" ", FALSE,#REF!)</f>
        <v>#REF!</v>
      </c>
      <c r="AF39" s="122"/>
      <c r="AG39" s="71" t="s">
        <v>248</v>
      </c>
      <c r="AH39" s="73" t="e">
        <f xml:space="preserve"> _xlfn.TEXTJOIN(" ", FALSE,#REF!)</f>
        <v>#REF!</v>
      </c>
      <c r="AI39" s="122"/>
      <c r="AJ39" s="71" t="s">
        <v>249</v>
      </c>
      <c r="AK39" s="73" t="e">
        <f xml:space="preserve"> _xlfn.TEXTJOIN(" ", FALSE,#REF!)</f>
        <v>#REF!</v>
      </c>
      <c r="AL39" s="122"/>
      <c r="AM39" s="71" t="s">
        <v>250</v>
      </c>
      <c r="AN39" s="73" t="e">
        <f xml:space="preserve"> _xlfn.TEXTJOIN(" ", FALSE,#REF!)</f>
        <v>#REF!</v>
      </c>
      <c r="AO39" s="122"/>
      <c r="AP39" s="71" t="s">
        <v>251</v>
      </c>
      <c r="AQ39" s="72" t="e">
        <f xml:space="preserve"> _xlfn.TEXTJOIN(" ", FALSE,#REF!)</f>
        <v>#REF!</v>
      </c>
      <c r="AR39" s="122"/>
      <c r="AS39" s="71" t="s">
        <v>252</v>
      </c>
      <c r="AT39" s="72" t="e">
        <f xml:space="preserve"> _xlfn.TEXTJOIN(" ", FALSE,#REF!)</f>
        <v>#REF!</v>
      </c>
      <c r="AU39" s="122"/>
      <c r="AV39" s="71" t="s">
        <v>253</v>
      </c>
      <c r="AW39" s="73" t="e">
        <f xml:space="preserve"> _xlfn.TEXTJOIN(" ", FALSE,#REF!)</f>
        <v>#REF!</v>
      </c>
      <c r="AX39" s="122"/>
      <c r="AY39" s="71" t="s">
        <v>254</v>
      </c>
      <c r="AZ39" s="72" t="e">
        <f xml:space="preserve"> _xlfn.TEXTJOIN(" ", FALSE,#REF!)</f>
        <v>#REF!</v>
      </c>
      <c r="BA39" s="122"/>
      <c r="BB39" s="71" t="s">
        <v>255</v>
      </c>
      <c r="BC39" s="72" t="e">
        <f xml:space="preserve"> _xlfn.TEXTJOIN(" ", FALSE,#REF!)</f>
        <v>#REF!</v>
      </c>
      <c r="BD39" s="122"/>
      <c r="BE39" s="71" t="s">
        <v>256</v>
      </c>
      <c r="BF39" s="72" t="e">
        <f xml:space="preserve"> _xlfn.TEXTJOIN(" ", FALSE,#REF!)</f>
        <v>#REF!</v>
      </c>
      <c r="BG39" s="65" t="s">
        <v>277</v>
      </c>
      <c r="BH39" s="70" t="e">
        <f t="shared" si="1"/>
        <v>#REF!</v>
      </c>
      <c r="BI39" s="64" t="s">
        <v>257</v>
      </c>
      <c r="BJ39" s="122"/>
      <c r="BK39" s="71" t="s">
        <v>258</v>
      </c>
      <c r="BL39" s="74" t="str">
        <f>_xlfn.TEXTJOIN(" ", FALSE, 'Task 2a - Mitigating the Proble'!U39:AC39)</f>
        <v xml:space="preserve">1 0 1 1 1 1 0 0 </v>
      </c>
      <c r="BM39" s="65" t="s">
        <v>277</v>
      </c>
      <c r="BN39" s="70" t="str">
        <f t="shared" si="2"/>
        <v>[Details for Task 2a:]  /Question 12: 1 0 1 1 1 1 0 0  .</v>
      </c>
      <c r="BO39" s="64" t="s">
        <v>259</v>
      </c>
      <c r="BP39" s="122"/>
      <c r="BQ39" s="71" t="s">
        <v>260</v>
      </c>
      <c r="BR39" s="73" t="e">
        <f xml:space="preserve"> _xlfn.TEXTJOIN(" ", FALSE,#REF!)</f>
        <v>#REF!</v>
      </c>
      <c r="BS39" s="122"/>
      <c r="BT39" s="71" t="s">
        <v>261</v>
      </c>
      <c r="BU39" s="73" t="e">
        <f xml:space="preserve"> _xlfn.TEXTJOIN(" ", FALSE,#REF!)</f>
        <v>#REF!</v>
      </c>
      <c r="BV39" s="122"/>
      <c r="BW39" s="71" t="s">
        <v>262</v>
      </c>
      <c r="BX39" s="73" t="e">
        <f xml:space="preserve"> _xlfn.TEXTJOIN(" ", FALSE,#REF!)</f>
        <v>#REF!</v>
      </c>
      <c r="BY39" s="122"/>
      <c r="BZ39" s="71" t="s">
        <v>263</v>
      </c>
      <c r="CA39" s="73" t="e">
        <f xml:space="preserve"> _xlfn.TEXTJOIN(" ", FALSE,#REF!)</f>
        <v>#REF!</v>
      </c>
      <c r="CB39" s="122"/>
      <c r="CC39" s="71" t="s">
        <v>264</v>
      </c>
      <c r="CD39" s="73" t="e">
        <f xml:space="preserve"> _xlfn.TEXTJOIN(" ", FALSE,#REF!)</f>
        <v>#REF!</v>
      </c>
      <c r="CE39" s="122"/>
      <c r="CF39" s="71" t="s">
        <v>265</v>
      </c>
      <c r="CG39" s="73" t="e">
        <f xml:space="preserve"> _xlfn.TEXTJOIN(" ", FALSE,#REF!)</f>
        <v>#REF!</v>
      </c>
      <c r="CH39" s="122"/>
      <c r="CI39" s="74" t="s">
        <v>278</v>
      </c>
      <c r="CJ39" s="73" t="e">
        <f xml:space="preserve"> _xlfn.TEXTJOIN(" ", FALSE,#REF!)</f>
        <v>#REF!</v>
      </c>
      <c r="CK39" s="65" t="s">
        <v>277</v>
      </c>
      <c r="CL39" s="70" t="e">
        <f t="shared" si="3"/>
        <v>#REF!</v>
      </c>
      <c r="CM39" s="64" t="s">
        <v>267</v>
      </c>
      <c r="CN39" s="122"/>
      <c r="CO39" s="71" t="s">
        <v>268</v>
      </c>
      <c r="CP39" s="73" t="e">
        <f xml:space="preserve"> _xlfn.TEXTJOIN(" ", FALSE,#REF!)</f>
        <v>#REF!</v>
      </c>
      <c r="CQ39" s="122"/>
      <c r="CR39" s="71" t="s">
        <v>269</v>
      </c>
      <c r="CS39" s="73" t="e">
        <f xml:space="preserve"> _xlfn.TEXTJOIN(" ", FALSE,#REF!)</f>
        <v>#REF!</v>
      </c>
      <c r="CT39" s="122"/>
      <c r="CU39" s="71" t="s">
        <v>270</v>
      </c>
      <c r="CV39" s="72" t="e">
        <f xml:space="preserve"> _xlfn.TEXTJOIN(" ", FALSE,#REF!)</f>
        <v>#REF!</v>
      </c>
      <c r="CW39" s="122"/>
      <c r="CX39" s="71" t="s">
        <v>271</v>
      </c>
      <c r="CY39" s="72" t="e">
        <f xml:space="preserve"> _xlfn.TEXTJOIN(" ", FALSE,#REF!)</f>
        <v>#REF!</v>
      </c>
      <c r="CZ39" s="122"/>
      <c r="DA39" s="71" t="s">
        <v>272</v>
      </c>
      <c r="DB39" s="73" t="e">
        <f xml:space="preserve"> _xlfn.TEXTJOIN(" ", FALSE,#REF!)</f>
        <v>#REF!</v>
      </c>
      <c r="DC39" s="65" t="s">
        <v>277</v>
      </c>
      <c r="DD39" s="70" t="e">
        <f t="shared" si="4"/>
        <v>#REF!</v>
      </c>
      <c r="DE39" s="64" t="s">
        <v>273</v>
      </c>
      <c r="DF39" s="122"/>
      <c r="DG39" s="71" t="s">
        <v>274</v>
      </c>
      <c r="DH39" s="72" t="e">
        <f xml:space="preserve"> _xlfn.TEXTJOIN(" ", FALSE,#REF!)</f>
        <v>#REF!</v>
      </c>
      <c r="DI39" s="122"/>
      <c r="DJ39" s="71" t="s">
        <v>275</v>
      </c>
      <c r="DK39" s="73" t="e">
        <f xml:space="preserve"> _xlfn.TEXTJOIN(" ", FALSE,#REF!)</f>
        <v>#REF!</v>
      </c>
      <c r="DL39" s="65" t="s">
        <v>277</v>
      </c>
      <c r="DM39" s="70" t="e">
        <f t="shared" si="5"/>
        <v>#REF!</v>
      </c>
      <c r="DN39" s="70" t="e">
        <f t="shared" si="6"/>
        <v>#REF!</v>
      </c>
    </row>
    <row r="40" spans="1:118" ht="108" customHeight="1">
      <c r="A40" s="122" t="e">
        <f>Summary!A40</f>
        <v>#REF!</v>
      </c>
      <c r="B40" s="64" t="s">
        <v>233</v>
      </c>
      <c r="C40" s="65" t="e">
        <f>Summary!B40</f>
        <v>#REF!</v>
      </c>
      <c r="D40" s="122"/>
      <c r="E40" s="64" t="s">
        <v>235</v>
      </c>
      <c r="F40" s="132" t="e">
        <f>Summary!C40</f>
        <v>#REF!</v>
      </c>
      <c r="G40" s="64" t="s">
        <v>236</v>
      </c>
      <c r="H40" s="132" t="e">
        <f>Summary!D40</f>
        <v>#REF!</v>
      </c>
      <c r="I40" s="64" t="s">
        <v>237</v>
      </c>
      <c r="J40" s="66">
        <f>Summary!E40</f>
        <v>6</v>
      </c>
      <c r="K40" s="64" t="s">
        <v>238</v>
      </c>
      <c r="L40" s="132" t="e">
        <f>Summary!F40</f>
        <v>#REF!</v>
      </c>
      <c r="M40" s="64" t="s">
        <v>239</v>
      </c>
      <c r="N40" s="132" t="e">
        <f>Summary!G40</f>
        <v>#REF!</v>
      </c>
      <c r="O40" s="64" t="s">
        <v>240</v>
      </c>
      <c r="P40" s="132" t="e">
        <f>Summary!H40</f>
        <v>#REF!</v>
      </c>
      <c r="Q40" s="65" t="s">
        <v>277</v>
      </c>
      <c r="R40" s="70" t="e">
        <f t="shared" si="0"/>
        <v>#REF!</v>
      </c>
      <c r="S40" s="64" t="s">
        <v>243</v>
      </c>
      <c r="T40" s="122"/>
      <c r="U40" s="71" t="s">
        <v>244</v>
      </c>
      <c r="V40" s="72" t="e">
        <f xml:space="preserve"> _xlfn.TEXTJOIN(" ", FALSE,#REF!)</f>
        <v>#REF!</v>
      </c>
      <c r="W40" s="122"/>
      <c r="X40" s="71" t="s">
        <v>245</v>
      </c>
      <c r="Y40" s="72" t="e">
        <f xml:space="preserve"> _xlfn.TEXTJOIN(" ", FALSE,#REF!)</f>
        <v>#REF!</v>
      </c>
      <c r="Z40" s="122"/>
      <c r="AA40" s="71" t="s">
        <v>246</v>
      </c>
      <c r="AB40" s="72" t="e">
        <f xml:space="preserve"> _xlfn.TEXTJOIN(" ", FALSE,#REF!)</f>
        <v>#REF!</v>
      </c>
      <c r="AC40" s="122"/>
      <c r="AD40" s="71" t="s">
        <v>247</v>
      </c>
      <c r="AE40" s="72" t="e">
        <f xml:space="preserve"> _xlfn.TEXTJOIN(" ", FALSE,#REF!)</f>
        <v>#REF!</v>
      </c>
      <c r="AF40" s="122"/>
      <c r="AG40" s="71" t="s">
        <v>248</v>
      </c>
      <c r="AH40" s="73" t="e">
        <f xml:space="preserve"> _xlfn.TEXTJOIN(" ", FALSE,#REF!)</f>
        <v>#REF!</v>
      </c>
      <c r="AI40" s="122"/>
      <c r="AJ40" s="71" t="s">
        <v>249</v>
      </c>
      <c r="AK40" s="73" t="e">
        <f xml:space="preserve"> _xlfn.TEXTJOIN(" ", FALSE,#REF!)</f>
        <v>#REF!</v>
      </c>
      <c r="AL40" s="122"/>
      <c r="AM40" s="71" t="s">
        <v>250</v>
      </c>
      <c r="AN40" s="73" t="e">
        <f xml:space="preserve"> _xlfn.TEXTJOIN(" ", FALSE,#REF!)</f>
        <v>#REF!</v>
      </c>
      <c r="AO40" s="122"/>
      <c r="AP40" s="71" t="s">
        <v>251</v>
      </c>
      <c r="AQ40" s="72" t="e">
        <f xml:space="preserve"> _xlfn.TEXTJOIN(" ", FALSE,#REF!)</f>
        <v>#REF!</v>
      </c>
      <c r="AR40" s="122"/>
      <c r="AS40" s="71" t="s">
        <v>252</v>
      </c>
      <c r="AT40" s="72" t="e">
        <f xml:space="preserve"> _xlfn.TEXTJOIN(" ", FALSE,#REF!)</f>
        <v>#REF!</v>
      </c>
      <c r="AU40" s="122"/>
      <c r="AV40" s="71" t="s">
        <v>253</v>
      </c>
      <c r="AW40" s="73" t="e">
        <f xml:space="preserve"> _xlfn.TEXTJOIN(" ", FALSE,#REF!)</f>
        <v>#REF!</v>
      </c>
      <c r="AX40" s="122"/>
      <c r="AY40" s="71" t="s">
        <v>254</v>
      </c>
      <c r="AZ40" s="72" t="e">
        <f xml:space="preserve"> _xlfn.TEXTJOIN(" ", FALSE,#REF!)</f>
        <v>#REF!</v>
      </c>
      <c r="BA40" s="122"/>
      <c r="BB40" s="71" t="s">
        <v>255</v>
      </c>
      <c r="BC40" s="72" t="e">
        <f xml:space="preserve"> _xlfn.TEXTJOIN(" ", FALSE,#REF!)</f>
        <v>#REF!</v>
      </c>
      <c r="BD40" s="122"/>
      <c r="BE40" s="71" t="s">
        <v>256</v>
      </c>
      <c r="BF40" s="72" t="e">
        <f xml:space="preserve"> _xlfn.TEXTJOIN(" ", FALSE,#REF!)</f>
        <v>#REF!</v>
      </c>
      <c r="BG40" s="65" t="s">
        <v>277</v>
      </c>
      <c r="BH40" s="70" t="e">
        <f t="shared" si="1"/>
        <v>#REF!</v>
      </c>
      <c r="BI40" s="64" t="s">
        <v>257</v>
      </c>
      <c r="BJ40" s="122"/>
      <c r="BK40" s="71" t="s">
        <v>258</v>
      </c>
      <c r="BL40" s="74" t="str">
        <f>_xlfn.TEXTJOIN(" ", FALSE, 'Task 2a - Mitigating the Proble'!U40:AC40)</f>
        <v xml:space="preserve">1 1 1 0 0 1 0 0 </v>
      </c>
      <c r="BM40" s="65" t="s">
        <v>277</v>
      </c>
      <c r="BN40" s="70" t="str">
        <f t="shared" si="2"/>
        <v>[Details for Task 2a:]  /Question 12: 1 1 1 0 0 1 0 0  .</v>
      </c>
      <c r="BO40" s="64" t="s">
        <v>259</v>
      </c>
      <c r="BP40" s="122"/>
      <c r="BQ40" s="71" t="s">
        <v>260</v>
      </c>
      <c r="BR40" s="73" t="e">
        <f xml:space="preserve"> _xlfn.TEXTJOIN(" ", FALSE,#REF!)</f>
        <v>#REF!</v>
      </c>
      <c r="BS40" s="122"/>
      <c r="BT40" s="71" t="s">
        <v>261</v>
      </c>
      <c r="BU40" s="73" t="e">
        <f xml:space="preserve"> _xlfn.TEXTJOIN(" ", FALSE,#REF!)</f>
        <v>#REF!</v>
      </c>
      <c r="BV40" s="122"/>
      <c r="BW40" s="71" t="s">
        <v>262</v>
      </c>
      <c r="BX40" s="73" t="e">
        <f xml:space="preserve"> _xlfn.TEXTJOIN(" ", FALSE,#REF!)</f>
        <v>#REF!</v>
      </c>
      <c r="BY40" s="122"/>
      <c r="BZ40" s="71" t="s">
        <v>263</v>
      </c>
      <c r="CA40" s="73" t="e">
        <f xml:space="preserve"> _xlfn.TEXTJOIN(" ", FALSE,#REF!)</f>
        <v>#REF!</v>
      </c>
      <c r="CB40" s="122"/>
      <c r="CC40" s="71" t="s">
        <v>264</v>
      </c>
      <c r="CD40" s="73" t="e">
        <f xml:space="preserve"> _xlfn.TEXTJOIN(" ", FALSE,#REF!)</f>
        <v>#REF!</v>
      </c>
      <c r="CE40" s="122"/>
      <c r="CF40" s="71" t="s">
        <v>265</v>
      </c>
      <c r="CG40" s="73" t="e">
        <f xml:space="preserve"> _xlfn.TEXTJOIN(" ", FALSE,#REF!)</f>
        <v>#REF!</v>
      </c>
      <c r="CH40" s="122"/>
      <c r="CI40" s="74" t="s">
        <v>278</v>
      </c>
      <c r="CJ40" s="73" t="e">
        <f xml:space="preserve"> _xlfn.TEXTJOIN(" ", FALSE,#REF!)</f>
        <v>#REF!</v>
      </c>
      <c r="CK40" s="65" t="s">
        <v>277</v>
      </c>
      <c r="CL40" s="70" t="e">
        <f t="shared" si="3"/>
        <v>#REF!</v>
      </c>
      <c r="CM40" s="64" t="s">
        <v>267</v>
      </c>
      <c r="CN40" s="122"/>
      <c r="CO40" s="71" t="s">
        <v>268</v>
      </c>
      <c r="CP40" s="73" t="e">
        <f xml:space="preserve"> _xlfn.TEXTJOIN(" ", FALSE,#REF!)</f>
        <v>#REF!</v>
      </c>
      <c r="CQ40" s="122"/>
      <c r="CR40" s="71" t="s">
        <v>269</v>
      </c>
      <c r="CS40" s="73" t="e">
        <f xml:space="preserve"> _xlfn.TEXTJOIN(" ", FALSE,#REF!)</f>
        <v>#REF!</v>
      </c>
      <c r="CT40" s="122"/>
      <c r="CU40" s="71" t="s">
        <v>270</v>
      </c>
      <c r="CV40" s="72" t="e">
        <f xml:space="preserve"> _xlfn.TEXTJOIN(" ", FALSE,#REF!)</f>
        <v>#REF!</v>
      </c>
      <c r="CW40" s="122"/>
      <c r="CX40" s="71" t="s">
        <v>271</v>
      </c>
      <c r="CY40" s="72" t="e">
        <f xml:space="preserve"> _xlfn.TEXTJOIN(" ", FALSE,#REF!)</f>
        <v>#REF!</v>
      </c>
      <c r="CZ40" s="122"/>
      <c r="DA40" s="71" t="s">
        <v>272</v>
      </c>
      <c r="DB40" s="73" t="e">
        <f xml:space="preserve"> _xlfn.TEXTJOIN(" ", FALSE,#REF!)</f>
        <v>#REF!</v>
      </c>
      <c r="DC40" s="65" t="s">
        <v>277</v>
      </c>
      <c r="DD40" s="70" t="e">
        <f t="shared" si="4"/>
        <v>#REF!</v>
      </c>
      <c r="DE40" s="64" t="s">
        <v>273</v>
      </c>
      <c r="DF40" s="122"/>
      <c r="DG40" s="71" t="s">
        <v>274</v>
      </c>
      <c r="DH40" s="72" t="e">
        <f xml:space="preserve"> _xlfn.TEXTJOIN(" ", FALSE,#REF!)</f>
        <v>#REF!</v>
      </c>
      <c r="DI40" s="122"/>
      <c r="DJ40" s="71" t="s">
        <v>275</v>
      </c>
      <c r="DK40" s="73" t="e">
        <f xml:space="preserve"> _xlfn.TEXTJOIN(" ", FALSE,#REF!)</f>
        <v>#REF!</v>
      </c>
      <c r="DL40" s="65" t="s">
        <v>277</v>
      </c>
      <c r="DM40" s="70" t="e">
        <f t="shared" si="5"/>
        <v>#REF!</v>
      </c>
      <c r="DN40" s="70" t="e">
        <f t="shared" si="6"/>
        <v>#REF!</v>
      </c>
    </row>
    <row r="41" spans="1:118" ht="108" customHeight="1">
      <c r="A41" s="122" t="e">
        <f>Summary!A41</f>
        <v>#REF!</v>
      </c>
      <c r="B41" s="64" t="s">
        <v>233</v>
      </c>
      <c r="C41" s="65" t="e">
        <f>Summary!B41</f>
        <v>#REF!</v>
      </c>
      <c r="D41" s="122"/>
      <c r="E41" s="64" t="s">
        <v>235</v>
      </c>
      <c r="F41" s="132" t="e">
        <f>Summary!C41</f>
        <v>#REF!</v>
      </c>
      <c r="G41" s="64" t="s">
        <v>236</v>
      </c>
      <c r="H41" s="132" t="e">
        <f>Summary!D41</f>
        <v>#REF!</v>
      </c>
      <c r="I41" s="64" t="s">
        <v>237</v>
      </c>
      <c r="J41" s="66">
        <f>Summary!E41</f>
        <v>5</v>
      </c>
      <c r="K41" s="64" t="s">
        <v>238</v>
      </c>
      <c r="L41" s="132" t="e">
        <f>Summary!F41</f>
        <v>#REF!</v>
      </c>
      <c r="M41" s="64" t="s">
        <v>239</v>
      </c>
      <c r="N41" s="132" t="e">
        <f>Summary!G41</f>
        <v>#REF!</v>
      </c>
      <c r="O41" s="64" t="s">
        <v>240</v>
      </c>
      <c r="P41" s="132" t="e">
        <f>Summary!H41</f>
        <v>#REF!</v>
      </c>
      <c r="Q41" s="65" t="s">
        <v>277</v>
      </c>
      <c r="R41" s="70" t="e">
        <f t="shared" si="0"/>
        <v>#REF!</v>
      </c>
      <c r="S41" s="64" t="s">
        <v>243</v>
      </c>
      <c r="T41" s="122"/>
      <c r="U41" s="71" t="s">
        <v>244</v>
      </c>
      <c r="V41" s="72" t="e">
        <f xml:space="preserve"> _xlfn.TEXTJOIN(" ", FALSE,#REF!)</f>
        <v>#REF!</v>
      </c>
      <c r="W41" s="122"/>
      <c r="X41" s="71" t="s">
        <v>245</v>
      </c>
      <c r="Y41" s="72" t="e">
        <f xml:space="preserve"> _xlfn.TEXTJOIN(" ", FALSE,#REF!)</f>
        <v>#REF!</v>
      </c>
      <c r="Z41" s="122"/>
      <c r="AA41" s="71" t="s">
        <v>246</v>
      </c>
      <c r="AB41" s="72" t="e">
        <f xml:space="preserve"> _xlfn.TEXTJOIN(" ", FALSE,#REF!)</f>
        <v>#REF!</v>
      </c>
      <c r="AC41" s="122"/>
      <c r="AD41" s="71" t="s">
        <v>247</v>
      </c>
      <c r="AE41" s="72" t="e">
        <f xml:space="preserve"> _xlfn.TEXTJOIN(" ", FALSE,#REF!)</f>
        <v>#REF!</v>
      </c>
      <c r="AF41" s="122"/>
      <c r="AG41" s="71" t="s">
        <v>248</v>
      </c>
      <c r="AH41" s="73" t="e">
        <f xml:space="preserve"> _xlfn.TEXTJOIN(" ", FALSE,#REF!)</f>
        <v>#REF!</v>
      </c>
      <c r="AI41" s="122"/>
      <c r="AJ41" s="71" t="s">
        <v>249</v>
      </c>
      <c r="AK41" s="73" t="e">
        <f xml:space="preserve"> _xlfn.TEXTJOIN(" ", FALSE,#REF!)</f>
        <v>#REF!</v>
      </c>
      <c r="AL41" s="122"/>
      <c r="AM41" s="71" t="s">
        <v>250</v>
      </c>
      <c r="AN41" s="73" t="e">
        <f xml:space="preserve"> _xlfn.TEXTJOIN(" ", FALSE,#REF!)</f>
        <v>#REF!</v>
      </c>
      <c r="AO41" s="122"/>
      <c r="AP41" s="71" t="s">
        <v>251</v>
      </c>
      <c r="AQ41" s="72" t="e">
        <f xml:space="preserve"> _xlfn.TEXTJOIN(" ", FALSE,#REF!)</f>
        <v>#REF!</v>
      </c>
      <c r="AR41" s="122"/>
      <c r="AS41" s="71" t="s">
        <v>252</v>
      </c>
      <c r="AT41" s="72" t="e">
        <f xml:space="preserve"> _xlfn.TEXTJOIN(" ", FALSE,#REF!)</f>
        <v>#REF!</v>
      </c>
      <c r="AU41" s="122"/>
      <c r="AV41" s="71" t="s">
        <v>253</v>
      </c>
      <c r="AW41" s="73" t="e">
        <f xml:space="preserve"> _xlfn.TEXTJOIN(" ", FALSE,#REF!)</f>
        <v>#REF!</v>
      </c>
      <c r="AX41" s="122"/>
      <c r="AY41" s="71" t="s">
        <v>254</v>
      </c>
      <c r="AZ41" s="72" t="e">
        <f xml:space="preserve"> _xlfn.TEXTJOIN(" ", FALSE,#REF!)</f>
        <v>#REF!</v>
      </c>
      <c r="BA41" s="122"/>
      <c r="BB41" s="71" t="s">
        <v>255</v>
      </c>
      <c r="BC41" s="72" t="e">
        <f xml:space="preserve"> _xlfn.TEXTJOIN(" ", FALSE,#REF!)</f>
        <v>#REF!</v>
      </c>
      <c r="BD41" s="122"/>
      <c r="BE41" s="71" t="s">
        <v>256</v>
      </c>
      <c r="BF41" s="72" t="e">
        <f xml:space="preserve"> _xlfn.TEXTJOIN(" ", FALSE,#REF!)</f>
        <v>#REF!</v>
      </c>
      <c r="BG41" s="65" t="s">
        <v>277</v>
      </c>
      <c r="BH41" s="70" t="e">
        <f t="shared" si="1"/>
        <v>#REF!</v>
      </c>
      <c r="BI41" s="64" t="s">
        <v>257</v>
      </c>
      <c r="BJ41" s="122"/>
      <c r="BK41" s="71" t="s">
        <v>258</v>
      </c>
      <c r="BL41" s="74" t="str">
        <f>_xlfn.TEXTJOIN(" ", FALSE, 'Task 2a - Mitigating the Proble'!U41:AC41)</f>
        <v xml:space="preserve">1 0 0 0 0 1 0 0 </v>
      </c>
      <c r="BM41" s="65" t="s">
        <v>277</v>
      </c>
      <c r="BN41" s="70" t="str">
        <f t="shared" si="2"/>
        <v>[Details for Task 2a:]  /Question 12: 1 0 0 0 0 1 0 0  .</v>
      </c>
      <c r="BO41" s="64" t="s">
        <v>259</v>
      </c>
      <c r="BP41" s="122"/>
      <c r="BQ41" s="71" t="s">
        <v>260</v>
      </c>
      <c r="BR41" s="73" t="e">
        <f xml:space="preserve"> _xlfn.TEXTJOIN(" ", FALSE,#REF!)</f>
        <v>#REF!</v>
      </c>
      <c r="BS41" s="122"/>
      <c r="BT41" s="71" t="s">
        <v>261</v>
      </c>
      <c r="BU41" s="73" t="e">
        <f xml:space="preserve"> _xlfn.TEXTJOIN(" ", FALSE,#REF!)</f>
        <v>#REF!</v>
      </c>
      <c r="BV41" s="122"/>
      <c r="BW41" s="71" t="s">
        <v>262</v>
      </c>
      <c r="BX41" s="73" t="e">
        <f xml:space="preserve"> _xlfn.TEXTJOIN(" ", FALSE,#REF!)</f>
        <v>#REF!</v>
      </c>
      <c r="BY41" s="122"/>
      <c r="BZ41" s="71" t="s">
        <v>263</v>
      </c>
      <c r="CA41" s="73" t="e">
        <f xml:space="preserve"> _xlfn.TEXTJOIN(" ", FALSE,#REF!)</f>
        <v>#REF!</v>
      </c>
      <c r="CB41" s="122"/>
      <c r="CC41" s="71" t="s">
        <v>264</v>
      </c>
      <c r="CD41" s="73" t="e">
        <f xml:space="preserve"> _xlfn.TEXTJOIN(" ", FALSE,#REF!)</f>
        <v>#REF!</v>
      </c>
      <c r="CE41" s="122"/>
      <c r="CF41" s="71" t="s">
        <v>265</v>
      </c>
      <c r="CG41" s="73" t="e">
        <f xml:space="preserve"> _xlfn.TEXTJOIN(" ", FALSE,#REF!)</f>
        <v>#REF!</v>
      </c>
      <c r="CH41" s="122"/>
      <c r="CI41" s="74" t="s">
        <v>278</v>
      </c>
      <c r="CJ41" s="73" t="e">
        <f xml:space="preserve"> _xlfn.TEXTJOIN(" ", FALSE,#REF!)</f>
        <v>#REF!</v>
      </c>
      <c r="CK41" s="65" t="s">
        <v>277</v>
      </c>
      <c r="CL41" s="70" t="e">
        <f t="shared" si="3"/>
        <v>#REF!</v>
      </c>
      <c r="CM41" s="64" t="s">
        <v>267</v>
      </c>
      <c r="CN41" s="122"/>
      <c r="CO41" s="71" t="s">
        <v>268</v>
      </c>
      <c r="CP41" s="73" t="e">
        <f xml:space="preserve"> _xlfn.TEXTJOIN(" ", FALSE,#REF!)</f>
        <v>#REF!</v>
      </c>
      <c r="CQ41" s="122"/>
      <c r="CR41" s="71" t="s">
        <v>269</v>
      </c>
      <c r="CS41" s="73" t="e">
        <f xml:space="preserve"> _xlfn.TEXTJOIN(" ", FALSE,#REF!)</f>
        <v>#REF!</v>
      </c>
      <c r="CT41" s="122"/>
      <c r="CU41" s="71" t="s">
        <v>270</v>
      </c>
      <c r="CV41" s="72" t="e">
        <f xml:space="preserve"> _xlfn.TEXTJOIN(" ", FALSE,#REF!)</f>
        <v>#REF!</v>
      </c>
      <c r="CW41" s="122"/>
      <c r="CX41" s="71" t="s">
        <v>271</v>
      </c>
      <c r="CY41" s="72" t="e">
        <f xml:space="preserve"> _xlfn.TEXTJOIN(" ", FALSE,#REF!)</f>
        <v>#REF!</v>
      </c>
      <c r="CZ41" s="122"/>
      <c r="DA41" s="71" t="s">
        <v>272</v>
      </c>
      <c r="DB41" s="73" t="e">
        <f xml:space="preserve"> _xlfn.TEXTJOIN(" ", FALSE,#REF!)</f>
        <v>#REF!</v>
      </c>
      <c r="DC41" s="65" t="s">
        <v>277</v>
      </c>
      <c r="DD41" s="70" t="e">
        <f t="shared" si="4"/>
        <v>#REF!</v>
      </c>
      <c r="DE41" s="64" t="s">
        <v>273</v>
      </c>
      <c r="DF41" s="122"/>
      <c r="DG41" s="71" t="s">
        <v>274</v>
      </c>
      <c r="DH41" s="72" t="e">
        <f xml:space="preserve"> _xlfn.TEXTJOIN(" ", FALSE,#REF!)</f>
        <v>#REF!</v>
      </c>
      <c r="DI41" s="122"/>
      <c r="DJ41" s="71" t="s">
        <v>275</v>
      </c>
      <c r="DK41" s="73" t="e">
        <f xml:space="preserve"> _xlfn.TEXTJOIN(" ", FALSE,#REF!)</f>
        <v>#REF!</v>
      </c>
      <c r="DL41" s="65" t="s">
        <v>277</v>
      </c>
      <c r="DM41" s="70" t="e">
        <f t="shared" si="5"/>
        <v>#REF!</v>
      </c>
      <c r="DN41" s="70" t="e">
        <f t="shared" si="6"/>
        <v>#REF!</v>
      </c>
    </row>
    <row r="42" spans="1:118" ht="108" customHeight="1">
      <c r="A42" s="122" t="e">
        <f>Summary!A42</f>
        <v>#REF!</v>
      </c>
      <c r="B42" s="64" t="s">
        <v>233</v>
      </c>
      <c r="C42" s="65" t="e">
        <f>Summary!B42</f>
        <v>#REF!</v>
      </c>
      <c r="D42" s="122"/>
      <c r="E42" s="64" t="s">
        <v>235</v>
      </c>
      <c r="F42" s="132" t="e">
        <f>Summary!C42</f>
        <v>#REF!</v>
      </c>
      <c r="G42" s="64" t="s">
        <v>236</v>
      </c>
      <c r="H42" s="132" t="e">
        <f>Summary!D42</f>
        <v>#REF!</v>
      </c>
      <c r="I42" s="64" t="s">
        <v>237</v>
      </c>
      <c r="J42" s="66">
        <f>Summary!E42</f>
        <v>7</v>
      </c>
      <c r="K42" s="64" t="s">
        <v>238</v>
      </c>
      <c r="L42" s="132" t="e">
        <f>Summary!F42</f>
        <v>#REF!</v>
      </c>
      <c r="M42" s="64" t="s">
        <v>239</v>
      </c>
      <c r="N42" s="132" t="e">
        <f>Summary!G42</f>
        <v>#REF!</v>
      </c>
      <c r="O42" s="64" t="s">
        <v>240</v>
      </c>
      <c r="P42" s="132" t="e">
        <f>Summary!H42</f>
        <v>#REF!</v>
      </c>
      <c r="Q42" s="65" t="s">
        <v>277</v>
      </c>
      <c r="R42" s="70" t="e">
        <f t="shared" si="0"/>
        <v>#REF!</v>
      </c>
      <c r="S42" s="64" t="s">
        <v>243</v>
      </c>
      <c r="T42" s="122"/>
      <c r="U42" s="71" t="s">
        <v>244</v>
      </c>
      <c r="V42" s="72" t="e">
        <f xml:space="preserve"> _xlfn.TEXTJOIN(" ", FALSE,#REF!)</f>
        <v>#REF!</v>
      </c>
      <c r="W42" s="122"/>
      <c r="X42" s="71" t="s">
        <v>245</v>
      </c>
      <c r="Y42" s="72" t="e">
        <f xml:space="preserve"> _xlfn.TEXTJOIN(" ", FALSE,#REF!)</f>
        <v>#REF!</v>
      </c>
      <c r="Z42" s="122"/>
      <c r="AA42" s="71" t="s">
        <v>246</v>
      </c>
      <c r="AB42" s="72" t="e">
        <f xml:space="preserve"> _xlfn.TEXTJOIN(" ", FALSE,#REF!)</f>
        <v>#REF!</v>
      </c>
      <c r="AC42" s="122"/>
      <c r="AD42" s="71" t="s">
        <v>247</v>
      </c>
      <c r="AE42" s="72" t="e">
        <f xml:space="preserve"> _xlfn.TEXTJOIN(" ", FALSE,#REF!)</f>
        <v>#REF!</v>
      </c>
      <c r="AF42" s="122"/>
      <c r="AG42" s="71" t="s">
        <v>248</v>
      </c>
      <c r="AH42" s="73" t="e">
        <f xml:space="preserve"> _xlfn.TEXTJOIN(" ", FALSE,#REF!)</f>
        <v>#REF!</v>
      </c>
      <c r="AI42" s="122"/>
      <c r="AJ42" s="71" t="s">
        <v>249</v>
      </c>
      <c r="AK42" s="73" t="e">
        <f xml:space="preserve"> _xlfn.TEXTJOIN(" ", FALSE,#REF!)</f>
        <v>#REF!</v>
      </c>
      <c r="AL42" s="122"/>
      <c r="AM42" s="71" t="s">
        <v>250</v>
      </c>
      <c r="AN42" s="73" t="e">
        <f xml:space="preserve"> _xlfn.TEXTJOIN(" ", FALSE,#REF!)</f>
        <v>#REF!</v>
      </c>
      <c r="AO42" s="122"/>
      <c r="AP42" s="71" t="s">
        <v>251</v>
      </c>
      <c r="AQ42" s="72" t="e">
        <f xml:space="preserve"> _xlfn.TEXTJOIN(" ", FALSE,#REF!)</f>
        <v>#REF!</v>
      </c>
      <c r="AR42" s="122"/>
      <c r="AS42" s="71" t="s">
        <v>252</v>
      </c>
      <c r="AT42" s="72" t="e">
        <f xml:space="preserve"> _xlfn.TEXTJOIN(" ", FALSE,#REF!)</f>
        <v>#REF!</v>
      </c>
      <c r="AU42" s="122"/>
      <c r="AV42" s="71" t="s">
        <v>253</v>
      </c>
      <c r="AW42" s="73" t="e">
        <f xml:space="preserve"> _xlfn.TEXTJOIN(" ", FALSE,#REF!)</f>
        <v>#REF!</v>
      </c>
      <c r="AX42" s="122"/>
      <c r="AY42" s="71" t="s">
        <v>254</v>
      </c>
      <c r="AZ42" s="72" t="e">
        <f xml:space="preserve"> _xlfn.TEXTJOIN(" ", FALSE,#REF!)</f>
        <v>#REF!</v>
      </c>
      <c r="BA42" s="122"/>
      <c r="BB42" s="71" t="s">
        <v>255</v>
      </c>
      <c r="BC42" s="72" t="e">
        <f xml:space="preserve"> _xlfn.TEXTJOIN(" ", FALSE,#REF!)</f>
        <v>#REF!</v>
      </c>
      <c r="BD42" s="122"/>
      <c r="BE42" s="71" t="s">
        <v>256</v>
      </c>
      <c r="BF42" s="72" t="e">
        <f xml:space="preserve"> _xlfn.TEXTJOIN(" ", FALSE,#REF!)</f>
        <v>#REF!</v>
      </c>
      <c r="BG42" s="65" t="s">
        <v>277</v>
      </c>
      <c r="BH42" s="70" t="e">
        <f t="shared" si="1"/>
        <v>#REF!</v>
      </c>
      <c r="BI42" s="64" t="s">
        <v>257</v>
      </c>
      <c r="BJ42" s="122"/>
      <c r="BK42" s="71" t="s">
        <v>258</v>
      </c>
      <c r="BL42" s="74" t="str">
        <f>_xlfn.TEXTJOIN(" ", FALSE, 'Task 2a - Mitigating the Proble'!U42:AC42)</f>
        <v xml:space="preserve">1 1 1 1 0 1 0 0 </v>
      </c>
      <c r="BM42" s="65" t="s">
        <v>277</v>
      </c>
      <c r="BN42" s="70" t="str">
        <f t="shared" si="2"/>
        <v>[Details for Task 2a:]  /Question 12: 1 1 1 1 0 1 0 0  .</v>
      </c>
      <c r="BO42" s="64" t="s">
        <v>259</v>
      </c>
      <c r="BP42" s="122"/>
      <c r="BQ42" s="71" t="s">
        <v>260</v>
      </c>
      <c r="BR42" s="73" t="e">
        <f xml:space="preserve"> _xlfn.TEXTJOIN(" ", FALSE,#REF!)</f>
        <v>#REF!</v>
      </c>
      <c r="BS42" s="122"/>
      <c r="BT42" s="71" t="s">
        <v>261</v>
      </c>
      <c r="BU42" s="73" t="e">
        <f xml:space="preserve"> _xlfn.TEXTJOIN(" ", FALSE,#REF!)</f>
        <v>#REF!</v>
      </c>
      <c r="BV42" s="122"/>
      <c r="BW42" s="71" t="s">
        <v>262</v>
      </c>
      <c r="BX42" s="73" t="e">
        <f xml:space="preserve"> _xlfn.TEXTJOIN(" ", FALSE,#REF!)</f>
        <v>#REF!</v>
      </c>
      <c r="BY42" s="122"/>
      <c r="BZ42" s="71" t="s">
        <v>263</v>
      </c>
      <c r="CA42" s="73" t="e">
        <f xml:space="preserve"> _xlfn.TEXTJOIN(" ", FALSE,#REF!)</f>
        <v>#REF!</v>
      </c>
      <c r="CB42" s="122"/>
      <c r="CC42" s="71" t="s">
        <v>264</v>
      </c>
      <c r="CD42" s="73" t="e">
        <f xml:space="preserve"> _xlfn.TEXTJOIN(" ", FALSE,#REF!)</f>
        <v>#REF!</v>
      </c>
      <c r="CE42" s="122"/>
      <c r="CF42" s="71" t="s">
        <v>265</v>
      </c>
      <c r="CG42" s="73" t="e">
        <f xml:space="preserve"> _xlfn.TEXTJOIN(" ", FALSE,#REF!)</f>
        <v>#REF!</v>
      </c>
      <c r="CH42" s="122"/>
      <c r="CI42" s="74" t="s">
        <v>278</v>
      </c>
      <c r="CJ42" s="73" t="e">
        <f xml:space="preserve"> _xlfn.TEXTJOIN(" ", FALSE,#REF!)</f>
        <v>#REF!</v>
      </c>
      <c r="CK42" s="65" t="s">
        <v>277</v>
      </c>
      <c r="CL42" s="70" t="e">
        <f t="shared" si="3"/>
        <v>#REF!</v>
      </c>
      <c r="CM42" s="64" t="s">
        <v>267</v>
      </c>
      <c r="CN42" s="122"/>
      <c r="CO42" s="71" t="s">
        <v>268</v>
      </c>
      <c r="CP42" s="73" t="e">
        <f xml:space="preserve"> _xlfn.TEXTJOIN(" ", FALSE,#REF!)</f>
        <v>#REF!</v>
      </c>
      <c r="CQ42" s="122"/>
      <c r="CR42" s="71" t="s">
        <v>269</v>
      </c>
      <c r="CS42" s="73" t="e">
        <f xml:space="preserve"> _xlfn.TEXTJOIN(" ", FALSE,#REF!)</f>
        <v>#REF!</v>
      </c>
      <c r="CT42" s="122"/>
      <c r="CU42" s="71" t="s">
        <v>270</v>
      </c>
      <c r="CV42" s="72" t="e">
        <f xml:space="preserve"> _xlfn.TEXTJOIN(" ", FALSE,#REF!)</f>
        <v>#REF!</v>
      </c>
      <c r="CW42" s="122"/>
      <c r="CX42" s="71" t="s">
        <v>271</v>
      </c>
      <c r="CY42" s="72" t="e">
        <f xml:space="preserve"> _xlfn.TEXTJOIN(" ", FALSE,#REF!)</f>
        <v>#REF!</v>
      </c>
      <c r="CZ42" s="122"/>
      <c r="DA42" s="71" t="s">
        <v>272</v>
      </c>
      <c r="DB42" s="73" t="e">
        <f xml:space="preserve"> _xlfn.TEXTJOIN(" ", FALSE,#REF!)</f>
        <v>#REF!</v>
      </c>
      <c r="DC42" s="65" t="s">
        <v>277</v>
      </c>
      <c r="DD42" s="70" t="e">
        <f t="shared" si="4"/>
        <v>#REF!</v>
      </c>
      <c r="DE42" s="64" t="s">
        <v>273</v>
      </c>
      <c r="DF42" s="122"/>
      <c r="DG42" s="71" t="s">
        <v>274</v>
      </c>
      <c r="DH42" s="72" t="e">
        <f xml:space="preserve"> _xlfn.TEXTJOIN(" ", FALSE,#REF!)</f>
        <v>#REF!</v>
      </c>
      <c r="DI42" s="122"/>
      <c r="DJ42" s="71" t="s">
        <v>275</v>
      </c>
      <c r="DK42" s="73" t="e">
        <f xml:space="preserve"> _xlfn.TEXTJOIN(" ", FALSE,#REF!)</f>
        <v>#REF!</v>
      </c>
      <c r="DL42" s="65" t="s">
        <v>277</v>
      </c>
      <c r="DM42" s="70" t="e">
        <f t="shared" si="5"/>
        <v>#REF!</v>
      </c>
      <c r="DN42" s="70" t="e">
        <f t="shared" si="6"/>
        <v>#REF!</v>
      </c>
    </row>
    <row r="43" spans="1:118" ht="108" customHeight="1">
      <c r="A43" s="122" t="e">
        <f>Summary!A43</f>
        <v>#REF!</v>
      </c>
      <c r="B43" s="64" t="s">
        <v>233</v>
      </c>
      <c r="C43" s="65" t="e">
        <f>Summary!B43</f>
        <v>#REF!</v>
      </c>
      <c r="D43" s="122"/>
      <c r="E43" s="64" t="s">
        <v>235</v>
      </c>
      <c r="F43" s="132" t="e">
        <f>Summary!C43</f>
        <v>#REF!</v>
      </c>
      <c r="G43" s="64" t="s">
        <v>236</v>
      </c>
      <c r="H43" s="132" t="e">
        <f>Summary!D43</f>
        <v>#REF!</v>
      </c>
      <c r="I43" s="64" t="s">
        <v>237</v>
      </c>
      <c r="J43" s="66">
        <f>Summary!E43</f>
        <v>7</v>
      </c>
      <c r="K43" s="64" t="s">
        <v>238</v>
      </c>
      <c r="L43" s="132" t="e">
        <f>Summary!F43</f>
        <v>#REF!</v>
      </c>
      <c r="M43" s="64" t="s">
        <v>239</v>
      </c>
      <c r="N43" s="132" t="e">
        <f>Summary!G43</f>
        <v>#REF!</v>
      </c>
      <c r="O43" s="64" t="s">
        <v>240</v>
      </c>
      <c r="P43" s="132" t="e">
        <f>Summary!H43</f>
        <v>#REF!</v>
      </c>
      <c r="Q43" s="65" t="s">
        <v>277</v>
      </c>
      <c r="R43" s="70" t="e">
        <f t="shared" si="0"/>
        <v>#REF!</v>
      </c>
      <c r="S43" s="64" t="s">
        <v>243</v>
      </c>
      <c r="T43" s="122"/>
      <c r="U43" s="71" t="s">
        <v>244</v>
      </c>
      <c r="V43" s="72" t="e">
        <f xml:space="preserve"> _xlfn.TEXTJOIN(" ", FALSE,#REF!)</f>
        <v>#REF!</v>
      </c>
      <c r="W43" s="122"/>
      <c r="X43" s="71" t="s">
        <v>245</v>
      </c>
      <c r="Y43" s="72" t="e">
        <f xml:space="preserve"> _xlfn.TEXTJOIN(" ", FALSE,#REF!)</f>
        <v>#REF!</v>
      </c>
      <c r="Z43" s="122"/>
      <c r="AA43" s="71" t="s">
        <v>246</v>
      </c>
      <c r="AB43" s="72" t="e">
        <f xml:space="preserve"> _xlfn.TEXTJOIN(" ", FALSE,#REF!)</f>
        <v>#REF!</v>
      </c>
      <c r="AC43" s="122"/>
      <c r="AD43" s="71" t="s">
        <v>247</v>
      </c>
      <c r="AE43" s="72" t="e">
        <f xml:space="preserve"> _xlfn.TEXTJOIN(" ", FALSE,#REF!)</f>
        <v>#REF!</v>
      </c>
      <c r="AF43" s="122"/>
      <c r="AG43" s="71" t="s">
        <v>248</v>
      </c>
      <c r="AH43" s="73" t="e">
        <f xml:space="preserve"> _xlfn.TEXTJOIN(" ", FALSE,#REF!)</f>
        <v>#REF!</v>
      </c>
      <c r="AI43" s="122"/>
      <c r="AJ43" s="71" t="s">
        <v>249</v>
      </c>
      <c r="AK43" s="73" t="e">
        <f xml:space="preserve"> _xlfn.TEXTJOIN(" ", FALSE,#REF!)</f>
        <v>#REF!</v>
      </c>
      <c r="AL43" s="122"/>
      <c r="AM43" s="71" t="s">
        <v>250</v>
      </c>
      <c r="AN43" s="73" t="e">
        <f xml:space="preserve"> _xlfn.TEXTJOIN(" ", FALSE,#REF!)</f>
        <v>#REF!</v>
      </c>
      <c r="AO43" s="122"/>
      <c r="AP43" s="71" t="s">
        <v>251</v>
      </c>
      <c r="AQ43" s="72" t="e">
        <f xml:space="preserve"> _xlfn.TEXTJOIN(" ", FALSE,#REF!)</f>
        <v>#REF!</v>
      </c>
      <c r="AR43" s="122"/>
      <c r="AS43" s="71" t="s">
        <v>252</v>
      </c>
      <c r="AT43" s="72" t="e">
        <f xml:space="preserve"> _xlfn.TEXTJOIN(" ", FALSE,#REF!)</f>
        <v>#REF!</v>
      </c>
      <c r="AU43" s="122"/>
      <c r="AV43" s="71" t="s">
        <v>253</v>
      </c>
      <c r="AW43" s="73" t="e">
        <f xml:space="preserve"> _xlfn.TEXTJOIN(" ", FALSE,#REF!)</f>
        <v>#REF!</v>
      </c>
      <c r="AX43" s="122"/>
      <c r="AY43" s="71" t="s">
        <v>254</v>
      </c>
      <c r="AZ43" s="72" t="e">
        <f xml:space="preserve"> _xlfn.TEXTJOIN(" ", FALSE,#REF!)</f>
        <v>#REF!</v>
      </c>
      <c r="BA43" s="122"/>
      <c r="BB43" s="71" t="s">
        <v>255</v>
      </c>
      <c r="BC43" s="72" t="e">
        <f xml:space="preserve"> _xlfn.TEXTJOIN(" ", FALSE,#REF!)</f>
        <v>#REF!</v>
      </c>
      <c r="BD43" s="122"/>
      <c r="BE43" s="71" t="s">
        <v>256</v>
      </c>
      <c r="BF43" s="72" t="e">
        <f xml:space="preserve"> _xlfn.TEXTJOIN(" ", FALSE,#REF!)</f>
        <v>#REF!</v>
      </c>
      <c r="BG43" s="65" t="s">
        <v>277</v>
      </c>
      <c r="BH43" s="70" t="e">
        <f t="shared" si="1"/>
        <v>#REF!</v>
      </c>
      <c r="BI43" s="64" t="s">
        <v>257</v>
      </c>
      <c r="BJ43" s="122"/>
      <c r="BK43" s="71" t="s">
        <v>258</v>
      </c>
      <c r="BL43" s="74" t="str">
        <f>_xlfn.TEXTJOIN(" ", FALSE, 'Task 2a - Mitigating the Proble'!U43:AC43)</f>
        <v xml:space="preserve">1 1 1 1 0 1 0 0 </v>
      </c>
      <c r="BM43" s="65" t="s">
        <v>277</v>
      </c>
      <c r="BN43" s="70" t="str">
        <f t="shared" si="2"/>
        <v>[Details for Task 2a:]  /Question 12: 1 1 1 1 0 1 0 0  .</v>
      </c>
      <c r="BO43" s="64" t="s">
        <v>259</v>
      </c>
      <c r="BP43" s="122"/>
      <c r="BQ43" s="71" t="s">
        <v>260</v>
      </c>
      <c r="BR43" s="73" t="e">
        <f xml:space="preserve"> _xlfn.TEXTJOIN(" ", FALSE,#REF!)</f>
        <v>#REF!</v>
      </c>
      <c r="BS43" s="122"/>
      <c r="BT43" s="71" t="s">
        <v>261</v>
      </c>
      <c r="BU43" s="73" t="e">
        <f xml:space="preserve"> _xlfn.TEXTJOIN(" ", FALSE,#REF!)</f>
        <v>#REF!</v>
      </c>
      <c r="BV43" s="122"/>
      <c r="BW43" s="71" t="s">
        <v>262</v>
      </c>
      <c r="BX43" s="73" t="e">
        <f xml:space="preserve"> _xlfn.TEXTJOIN(" ", FALSE,#REF!)</f>
        <v>#REF!</v>
      </c>
      <c r="BY43" s="122"/>
      <c r="BZ43" s="71" t="s">
        <v>263</v>
      </c>
      <c r="CA43" s="73" t="e">
        <f xml:space="preserve"> _xlfn.TEXTJOIN(" ", FALSE,#REF!)</f>
        <v>#REF!</v>
      </c>
      <c r="CB43" s="122"/>
      <c r="CC43" s="71" t="s">
        <v>264</v>
      </c>
      <c r="CD43" s="73" t="e">
        <f xml:space="preserve"> _xlfn.TEXTJOIN(" ", FALSE,#REF!)</f>
        <v>#REF!</v>
      </c>
      <c r="CE43" s="122"/>
      <c r="CF43" s="71" t="s">
        <v>265</v>
      </c>
      <c r="CG43" s="73" t="e">
        <f xml:space="preserve"> _xlfn.TEXTJOIN(" ", FALSE,#REF!)</f>
        <v>#REF!</v>
      </c>
      <c r="CH43" s="122"/>
      <c r="CI43" s="74" t="s">
        <v>278</v>
      </c>
      <c r="CJ43" s="73" t="e">
        <f xml:space="preserve"> _xlfn.TEXTJOIN(" ", FALSE,#REF!)</f>
        <v>#REF!</v>
      </c>
      <c r="CK43" s="65" t="s">
        <v>277</v>
      </c>
      <c r="CL43" s="70" t="e">
        <f t="shared" si="3"/>
        <v>#REF!</v>
      </c>
      <c r="CM43" s="64" t="s">
        <v>267</v>
      </c>
      <c r="CN43" s="122"/>
      <c r="CO43" s="71" t="s">
        <v>268</v>
      </c>
      <c r="CP43" s="73" t="e">
        <f xml:space="preserve"> _xlfn.TEXTJOIN(" ", FALSE,#REF!)</f>
        <v>#REF!</v>
      </c>
      <c r="CQ43" s="122"/>
      <c r="CR43" s="71" t="s">
        <v>269</v>
      </c>
      <c r="CS43" s="73" t="e">
        <f xml:space="preserve"> _xlfn.TEXTJOIN(" ", FALSE,#REF!)</f>
        <v>#REF!</v>
      </c>
      <c r="CT43" s="122"/>
      <c r="CU43" s="71" t="s">
        <v>270</v>
      </c>
      <c r="CV43" s="72" t="e">
        <f xml:space="preserve"> _xlfn.TEXTJOIN(" ", FALSE,#REF!)</f>
        <v>#REF!</v>
      </c>
      <c r="CW43" s="122"/>
      <c r="CX43" s="71" t="s">
        <v>271</v>
      </c>
      <c r="CY43" s="72" t="e">
        <f xml:space="preserve"> _xlfn.TEXTJOIN(" ", FALSE,#REF!)</f>
        <v>#REF!</v>
      </c>
      <c r="CZ43" s="122"/>
      <c r="DA43" s="71" t="s">
        <v>272</v>
      </c>
      <c r="DB43" s="73" t="e">
        <f xml:space="preserve"> _xlfn.TEXTJOIN(" ", FALSE,#REF!)</f>
        <v>#REF!</v>
      </c>
      <c r="DC43" s="65" t="s">
        <v>277</v>
      </c>
      <c r="DD43" s="70" t="e">
        <f t="shared" si="4"/>
        <v>#REF!</v>
      </c>
      <c r="DE43" s="64" t="s">
        <v>273</v>
      </c>
      <c r="DF43" s="122"/>
      <c r="DG43" s="71" t="s">
        <v>274</v>
      </c>
      <c r="DH43" s="72" t="e">
        <f xml:space="preserve"> _xlfn.TEXTJOIN(" ", FALSE,#REF!)</f>
        <v>#REF!</v>
      </c>
      <c r="DI43" s="122"/>
      <c r="DJ43" s="71" t="s">
        <v>275</v>
      </c>
      <c r="DK43" s="73" t="e">
        <f xml:space="preserve"> _xlfn.TEXTJOIN(" ", FALSE,#REF!)</f>
        <v>#REF!</v>
      </c>
      <c r="DL43" s="65" t="s">
        <v>277</v>
      </c>
      <c r="DM43" s="70" t="e">
        <f t="shared" si="5"/>
        <v>#REF!</v>
      </c>
      <c r="DN43" s="70" t="e">
        <f t="shared" si="6"/>
        <v>#REF!</v>
      </c>
    </row>
    <row r="44" spans="1:118" ht="108" customHeight="1">
      <c r="A44" s="122" t="e">
        <f>Summary!A44</f>
        <v>#REF!</v>
      </c>
      <c r="B44" s="64" t="s">
        <v>233</v>
      </c>
      <c r="C44" s="65" t="e">
        <f>Summary!B44</f>
        <v>#REF!</v>
      </c>
      <c r="D44" s="122"/>
      <c r="E44" s="64" t="s">
        <v>235</v>
      </c>
      <c r="F44" s="132" t="e">
        <f>Summary!C44</f>
        <v>#REF!</v>
      </c>
      <c r="G44" s="64" t="s">
        <v>236</v>
      </c>
      <c r="H44" s="132" t="e">
        <f>Summary!D44</f>
        <v>#REF!</v>
      </c>
      <c r="I44" s="64" t="s">
        <v>237</v>
      </c>
      <c r="J44" s="66">
        <f>Summary!E44</f>
        <v>6</v>
      </c>
      <c r="K44" s="64" t="s">
        <v>238</v>
      </c>
      <c r="L44" s="132" t="e">
        <f>Summary!F44</f>
        <v>#REF!</v>
      </c>
      <c r="M44" s="64" t="s">
        <v>239</v>
      </c>
      <c r="N44" s="132" t="e">
        <f>Summary!G44</f>
        <v>#REF!</v>
      </c>
      <c r="O44" s="64" t="s">
        <v>240</v>
      </c>
      <c r="P44" s="132" t="e">
        <f>Summary!H44</f>
        <v>#REF!</v>
      </c>
      <c r="Q44" s="65" t="s">
        <v>277</v>
      </c>
      <c r="R44" s="70" t="e">
        <f t="shared" si="0"/>
        <v>#REF!</v>
      </c>
      <c r="S44" s="64" t="s">
        <v>243</v>
      </c>
      <c r="T44" s="122"/>
      <c r="U44" s="71" t="s">
        <v>244</v>
      </c>
      <c r="V44" s="72" t="e">
        <f xml:space="preserve"> _xlfn.TEXTJOIN(" ", FALSE,#REF!)</f>
        <v>#REF!</v>
      </c>
      <c r="W44" s="122"/>
      <c r="X44" s="71" t="s">
        <v>245</v>
      </c>
      <c r="Y44" s="72" t="e">
        <f xml:space="preserve"> _xlfn.TEXTJOIN(" ", FALSE,#REF!)</f>
        <v>#REF!</v>
      </c>
      <c r="Z44" s="122"/>
      <c r="AA44" s="71" t="s">
        <v>246</v>
      </c>
      <c r="AB44" s="72" t="e">
        <f xml:space="preserve"> _xlfn.TEXTJOIN(" ", FALSE,#REF!)</f>
        <v>#REF!</v>
      </c>
      <c r="AC44" s="122"/>
      <c r="AD44" s="71" t="s">
        <v>247</v>
      </c>
      <c r="AE44" s="72" t="e">
        <f xml:space="preserve"> _xlfn.TEXTJOIN(" ", FALSE,#REF!)</f>
        <v>#REF!</v>
      </c>
      <c r="AF44" s="122"/>
      <c r="AG44" s="71" t="s">
        <v>248</v>
      </c>
      <c r="AH44" s="73" t="e">
        <f xml:space="preserve"> _xlfn.TEXTJOIN(" ", FALSE,#REF!)</f>
        <v>#REF!</v>
      </c>
      <c r="AI44" s="122"/>
      <c r="AJ44" s="71" t="s">
        <v>249</v>
      </c>
      <c r="AK44" s="73" t="e">
        <f xml:space="preserve"> _xlfn.TEXTJOIN(" ", FALSE,#REF!)</f>
        <v>#REF!</v>
      </c>
      <c r="AL44" s="122"/>
      <c r="AM44" s="71" t="s">
        <v>250</v>
      </c>
      <c r="AN44" s="73" t="e">
        <f xml:space="preserve"> _xlfn.TEXTJOIN(" ", FALSE,#REF!)</f>
        <v>#REF!</v>
      </c>
      <c r="AO44" s="122"/>
      <c r="AP44" s="71" t="s">
        <v>251</v>
      </c>
      <c r="AQ44" s="72" t="e">
        <f xml:space="preserve"> _xlfn.TEXTJOIN(" ", FALSE,#REF!)</f>
        <v>#REF!</v>
      </c>
      <c r="AR44" s="122"/>
      <c r="AS44" s="71" t="s">
        <v>252</v>
      </c>
      <c r="AT44" s="72" t="e">
        <f xml:space="preserve"> _xlfn.TEXTJOIN(" ", FALSE,#REF!)</f>
        <v>#REF!</v>
      </c>
      <c r="AU44" s="122"/>
      <c r="AV44" s="71" t="s">
        <v>253</v>
      </c>
      <c r="AW44" s="73" t="e">
        <f xml:space="preserve"> _xlfn.TEXTJOIN(" ", FALSE,#REF!)</f>
        <v>#REF!</v>
      </c>
      <c r="AX44" s="122"/>
      <c r="AY44" s="71" t="s">
        <v>254</v>
      </c>
      <c r="AZ44" s="72" t="e">
        <f xml:space="preserve"> _xlfn.TEXTJOIN(" ", FALSE,#REF!)</f>
        <v>#REF!</v>
      </c>
      <c r="BA44" s="122"/>
      <c r="BB44" s="71" t="s">
        <v>255</v>
      </c>
      <c r="BC44" s="72" t="e">
        <f xml:space="preserve"> _xlfn.TEXTJOIN(" ", FALSE,#REF!)</f>
        <v>#REF!</v>
      </c>
      <c r="BD44" s="122"/>
      <c r="BE44" s="71" t="s">
        <v>256</v>
      </c>
      <c r="BF44" s="72" t="e">
        <f xml:space="preserve"> _xlfn.TEXTJOIN(" ", FALSE,#REF!)</f>
        <v>#REF!</v>
      </c>
      <c r="BG44" s="65" t="s">
        <v>277</v>
      </c>
      <c r="BH44" s="70" t="e">
        <f t="shared" si="1"/>
        <v>#REF!</v>
      </c>
      <c r="BI44" s="64" t="s">
        <v>257</v>
      </c>
      <c r="BJ44" s="122"/>
      <c r="BK44" s="71" t="s">
        <v>258</v>
      </c>
      <c r="BL44" s="74" t="str">
        <f>_xlfn.TEXTJOIN(" ", FALSE, 'Task 2a - Mitigating the Proble'!U44:AC44)</f>
        <v xml:space="preserve">1 1 0 0 0 1 0 0 </v>
      </c>
      <c r="BM44" s="65" t="s">
        <v>277</v>
      </c>
      <c r="BN44" s="70" t="str">
        <f t="shared" si="2"/>
        <v>[Details for Task 2a:]  /Question 12: 1 1 0 0 0 1 0 0  .</v>
      </c>
      <c r="BO44" s="64" t="s">
        <v>259</v>
      </c>
      <c r="BP44" s="122"/>
      <c r="BQ44" s="71" t="s">
        <v>260</v>
      </c>
      <c r="BR44" s="73" t="e">
        <f xml:space="preserve"> _xlfn.TEXTJOIN(" ", FALSE,#REF!)</f>
        <v>#REF!</v>
      </c>
      <c r="BS44" s="122"/>
      <c r="BT44" s="71" t="s">
        <v>261</v>
      </c>
      <c r="BU44" s="73" t="e">
        <f xml:space="preserve"> _xlfn.TEXTJOIN(" ", FALSE,#REF!)</f>
        <v>#REF!</v>
      </c>
      <c r="BV44" s="122"/>
      <c r="BW44" s="71" t="s">
        <v>262</v>
      </c>
      <c r="BX44" s="73" t="e">
        <f xml:space="preserve"> _xlfn.TEXTJOIN(" ", FALSE,#REF!)</f>
        <v>#REF!</v>
      </c>
      <c r="BY44" s="122"/>
      <c r="BZ44" s="71" t="s">
        <v>263</v>
      </c>
      <c r="CA44" s="73" t="e">
        <f xml:space="preserve"> _xlfn.TEXTJOIN(" ", FALSE,#REF!)</f>
        <v>#REF!</v>
      </c>
      <c r="CB44" s="122"/>
      <c r="CC44" s="71" t="s">
        <v>264</v>
      </c>
      <c r="CD44" s="73" t="e">
        <f xml:space="preserve"> _xlfn.TEXTJOIN(" ", FALSE,#REF!)</f>
        <v>#REF!</v>
      </c>
      <c r="CE44" s="122"/>
      <c r="CF44" s="71" t="s">
        <v>265</v>
      </c>
      <c r="CG44" s="73" t="e">
        <f xml:space="preserve"> _xlfn.TEXTJOIN(" ", FALSE,#REF!)</f>
        <v>#REF!</v>
      </c>
      <c r="CH44" s="122"/>
      <c r="CI44" s="74" t="s">
        <v>278</v>
      </c>
      <c r="CJ44" s="73" t="e">
        <f xml:space="preserve"> _xlfn.TEXTJOIN(" ", FALSE,#REF!)</f>
        <v>#REF!</v>
      </c>
      <c r="CK44" s="65" t="s">
        <v>277</v>
      </c>
      <c r="CL44" s="70" t="e">
        <f t="shared" si="3"/>
        <v>#REF!</v>
      </c>
      <c r="CM44" s="64" t="s">
        <v>267</v>
      </c>
      <c r="CN44" s="122"/>
      <c r="CO44" s="71" t="s">
        <v>268</v>
      </c>
      <c r="CP44" s="73" t="e">
        <f xml:space="preserve"> _xlfn.TEXTJOIN(" ", FALSE,#REF!)</f>
        <v>#REF!</v>
      </c>
      <c r="CQ44" s="122"/>
      <c r="CR44" s="71" t="s">
        <v>269</v>
      </c>
      <c r="CS44" s="73" t="e">
        <f xml:space="preserve"> _xlfn.TEXTJOIN(" ", FALSE,#REF!)</f>
        <v>#REF!</v>
      </c>
      <c r="CT44" s="122"/>
      <c r="CU44" s="71" t="s">
        <v>270</v>
      </c>
      <c r="CV44" s="72" t="e">
        <f xml:space="preserve"> _xlfn.TEXTJOIN(" ", FALSE,#REF!)</f>
        <v>#REF!</v>
      </c>
      <c r="CW44" s="122"/>
      <c r="CX44" s="71" t="s">
        <v>271</v>
      </c>
      <c r="CY44" s="72" t="e">
        <f xml:space="preserve"> _xlfn.TEXTJOIN(" ", FALSE,#REF!)</f>
        <v>#REF!</v>
      </c>
      <c r="CZ44" s="122"/>
      <c r="DA44" s="71" t="s">
        <v>272</v>
      </c>
      <c r="DB44" s="73" t="e">
        <f xml:space="preserve"> _xlfn.TEXTJOIN(" ", FALSE,#REF!)</f>
        <v>#REF!</v>
      </c>
      <c r="DC44" s="65" t="s">
        <v>277</v>
      </c>
      <c r="DD44" s="70" t="e">
        <f t="shared" si="4"/>
        <v>#REF!</v>
      </c>
      <c r="DE44" s="64" t="s">
        <v>273</v>
      </c>
      <c r="DF44" s="122"/>
      <c r="DG44" s="71" t="s">
        <v>274</v>
      </c>
      <c r="DH44" s="72" t="e">
        <f xml:space="preserve"> _xlfn.TEXTJOIN(" ", FALSE,#REF!)</f>
        <v>#REF!</v>
      </c>
      <c r="DI44" s="122"/>
      <c r="DJ44" s="71" t="s">
        <v>275</v>
      </c>
      <c r="DK44" s="73" t="e">
        <f xml:space="preserve"> _xlfn.TEXTJOIN(" ", FALSE,#REF!)</f>
        <v>#REF!</v>
      </c>
      <c r="DL44" s="65" t="s">
        <v>277</v>
      </c>
      <c r="DM44" s="70" t="e">
        <f t="shared" si="5"/>
        <v>#REF!</v>
      </c>
      <c r="DN44" s="70" t="e">
        <f t="shared" si="6"/>
        <v>#REF!</v>
      </c>
    </row>
    <row r="45" spans="1:118" ht="108" customHeight="1">
      <c r="A45" s="122" t="e">
        <f>Summary!A45</f>
        <v>#REF!</v>
      </c>
      <c r="B45" s="64" t="s">
        <v>233</v>
      </c>
      <c r="C45" s="65" t="e">
        <f>Summary!B45</f>
        <v>#REF!</v>
      </c>
      <c r="D45" s="122"/>
      <c r="E45" s="64" t="s">
        <v>235</v>
      </c>
      <c r="F45" s="132" t="e">
        <f>Summary!C45</f>
        <v>#REF!</v>
      </c>
      <c r="G45" s="64" t="s">
        <v>236</v>
      </c>
      <c r="H45" s="132" t="e">
        <f>Summary!D45</f>
        <v>#REF!</v>
      </c>
      <c r="I45" s="64" t="s">
        <v>237</v>
      </c>
      <c r="J45" s="66">
        <f>Summary!E45</f>
        <v>5</v>
      </c>
      <c r="K45" s="64" t="s">
        <v>238</v>
      </c>
      <c r="L45" s="132" t="e">
        <f>Summary!F45</f>
        <v>#REF!</v>
      </c>
      <c r="M45" s="64" t="s">
        <v>239</v>
      </c>
      <c r="N45" s="132" t="e">
        <f>Summary!G45</f>
        <v>#REF!</v>
      </c>
      <c r="O45" s="64" t="s">
        <v>240</v>
      </c>
      <c r="P45" s="132" t="e">
        <f>Summary!H45</f>
        <v>#REF!</v>
      </c>
      <c r="Q45" s="65" t="s">
        <v>277</v>
      </c>
      <c r="R45" s="70" t="e">
        <f t="shared" si="0"/>
        <v>#REF!</v>
      </c>
      <c r="S45" s="64" t="s">
        <v>243</v>
      </c>
      <c r="T45" s="122"/>
      <c r="U45" s="71" t="s">
        <v>244</v>
      </c>
      <c r="V45" s="72" t="e">
        <f xml:space="preserve"> _xlfn.TEXTJOIN(" ", FALSE,#REF!)</f>
        <v>#REF!</v>
      </c>
      <c r="W45" s="122"/>
      <c r="X45" s="71" t="s">
        <v>245</v>
      </c>
      <c r="Y45" s="72" t="e">
        <f xml:space="preserve"> _xlfn.TEXTJOIN(" ", FALSE,#REF!)</f>
        <v>#REF!</v>
      </c>
      <c r="Z45" s="122"/>
      <c r="AA45" s="71" t="s">
        <v>246</v>
      </c>
      <c r="AB45" s="72" t="e">
        <f xml:space="preserve"> _xlfn.TEXTJOIN(" ", FALSE,#REF!)</f>
        <v>#REF!</v>
      </c>
      <c r="AC45" s="122"/>
      <c r="AD45" s="71" t="s">
        <v>247</v>
      </c>
      <c r="AE45" s="72" t="e">
        <f xml:space="preserve"> _xlfn.TEXTJOIN(" ", FALSE,#REF!)</f>
        <v>#REF!</v>
      </c>
      <c r="AF45" s="122"/>
      <c r="AG45" s="71" t="s">
        <v>248</v>
      </c>
      <c r="AH45" s="73" t="e">
        <f xml:space="preserve"> _xlfn.TEXTJOIN(" ", FALSE,#REF!)</f>
        <v>#REF!</v>
      </c>
      <c r="AI45" s="122"/>
      <c r="AJ45" s="71" t="s">
        <v>249</v>
      </c>
      <c r="AK45" s="73" t="e">
        <f xml:space="preserve"> _xlfn.TEXTJOIN(" ", FALSE,#REF!)</f>
        <v>#REF!</v>
      </c>
      <c r="AL45" s="122"/>
      <c r="AM45" s="71" t="s">
        <v>250</v>
      </c>
      <c r="AN45" s="73" t="e">
        <f xml:space="preserve"> _xlfn.TEXTJOIN(" ", FALSE,#REF!)</f>
        <v>#REF!</v>
      </c>
      <c r="AO45" s="122"/>
      <c r="AP45" s="71" t="s">
        <v>251</v>
      </c>
      <c r="AQ45" s="72" t="e">
        <f xml:space="preserve"> _xlfn.TEXTJOIN(" ", FALSE,#REF!)</f>
        <v>#REF!</v>
      </c>
      <c r="AR45" s="122"/>
      <c r="AS45" s="71" t="s">
        <v>252</v>
      </c>
      <c r="AT45" s="72" t="e">
        <f xml:space="preserve"> _xlfn.TEXTJOIN(" ", FALSE,#REF!)</f>
        <v>#REF!</v>
      </c>
      <c r="AU45" s="122"/>
      <c r="AV45" s="71" t="s">
        <v>253</v>
      </c>
      <c r="AW45" s="73" t="e">
        <f xml:space="preserve"> _xlfn.TEXTJOIN(" ", FALSE,#REF!)</f>
        <v>#REF!</v>
      </c>
      <c r="AX45" s="122"/>
      <c r="AY45" s="71" t="s">
        <v>254</v>
      </c>
      <c r="AZ45" s="72" t="e">
        <f xml:space="preserve"> _xlfn.TEXTJOIN(" ", FALSE,#REF!)</f>
        <v>#REF!</v>
      </c>
      <c r="BA45" s="122"/>
      <c r="BB45" s="71" t="s">
        <v>255</v>
      </c>
      <c r="BC45" s="72" t="e">
        <f xml:space="preserve"> _xlfn.TEXTJOIN(" ", FALSE,#REF!)</f>
        <v>#REF!</v>
      </c>
      <c r="BD45" s="122"/>
      <c r="BE45" s="71" t="s">
        <v>256</v>
      </c>
      <c r="BF45" s="72" t="e">
        <f xml:space="preserve"> _xlfn.TEXTJOIN(" ", FALSE,#REF!)</f>
        <v>#REF!</v>
      </c>
      <c r="BG45" s="65" t="s">
        <v>277</v>
      </c>
      <c r="BH45" s="70" t="e">
        <f t="shared" si="1"/>
        <v>#REF!</v>
      </c>
      <c r="BI45" s="64" t="s">
        <v>257</v>
      </c>
      <c r="BJ45" s="122"/>
      <c r="BK45" s="71" t="s">
        <v>258</v>
      </c>
      <c r="BL45" s="74" t="str">
        <f>_xlfn.TEXTJOIN(" ", FALSE, 'Task 2a - Mitigating the Proble'!U45:AC45)</f>
        <v xml:space="preserve">1 0 0 0 0 1 0 0 </v>
      </c>
      <c r="BM45" s="65" t="s">
        <v>277</v>
      </c>
      <c r="BN45" s="70" t="str">
        <f t="shared" si="2"/>
        <v>[Details for Task 2a:]  /Question 12: 1 0 0 0 0 1 0 0  .</v>
      </c>
      <c r="BO45" s="64" t="s">
        <v>259</v>
      </c>
      <c r="BP45" s="122"/>
      <c r="BQ45" s="71" t="s">
        <v>260</v>
      </c>
      <c r="BR45" s="73" t="e">
        <f xml:space="preserve"> _xlfn.TEXTJOIN(" ", FALSE,#REF!)</f>
        <v>#REF!</v>
      </c>
      <c r="BS45" s="122"/>
      <c r="BT45" s="71" t="s">
        <v>261</v>
      </c>
      <c r="BU45" s="73" t="e">
        <f xml:space="preserve"> _xlfn.TEXTJOIN(" ", FALSE,#REF!)</f>
        <v>#REF!</v>
      </c>
      <c r="BV45" s="122"/>
      <c r="BW45" s="71" t="s">
        <v>262</v>
      </c>
      <c r="BX45" s="73" t="e">
        <f xml:space="preserve"> _xlfn.TEXTJOIN(" ", FALSE,#REF!)</f>
        <v>#REF!</v>
      </c>
      <c r="BY45" s="122"/>
      <c r="BZ45" s="71" t="s">
        <v>263</v>
      </c>
      <c r="CA45" s="73" t="e">
        <f xml:space="preserve"> _xlfn.TEXTJOIN(" ", FALSE,#REF!)</f>
        <v>#REF!</v>
      </c>
      <c r="CB45" s="122"/>
      <c r="CC45" s="71" t="s">
        <v>264</v>
      </c>
      <c r="CD45" s="73" t="e">
        <f xml:space="preserve"> _xlfn.TEXTJOIN(" ", FALSE,#REF!)</f>
        <v>#REF!</v>
      </c>
      <c r="CE45" s="122"/>
      <c r="CF45" s="71" t="s">
        <v>265</v>
      </c>
      <c r="CG45" s="73" t="e">
        <f xml:space="preserve"> _xlfn.TEXTJOIN(" ", FALSE,#REF!)</f>
        <v>#REF!</v>
      </c>
      <c r="CH45" s="122"/>
      <c r="CI45" s="74" t="s">
        <v>278</v>
      </c>
      <c r="CJ45" s="73" t="e">
        <f xml:space="preserve"> _xlfn.TEXTJOIN(" ", FALSE,#REF!)</f>
        <v>#REF!</v>
      </c>
      <c r="CK45" s="65" t="s">
        <v>277</v>
      </c>
      <c r="CL45" s="70" t="e">
        <f t="shared" si="3"/>
        <v>#REF!</v>
      </c>
      <c r="CM45" s="64" t="s">
        <v>267</v>
      </c>
      <c r="CN45" s="122"/>
      <c r="CO45" s="71" t="s">
        <v>268</v>
      </c>
      <c r="CP45" s="73" t="e">
        <f xml:space="preserve"> _xlfn.TEXTJOIN(" ", FALSE,#REF!)</f>
        <v>#REF!</v>
      </c>
      <c r="CQ45" s="122"/>
      <c r="CR45" s="71" t="s">
        <v>269</v>
      </c>
      <c r="CS45" s="73" t="e">
        <f xml:space="preserve"> _xlfn.TEXTJOIN(" ", FALSE,#REF!)</f>
        <v>#REF!</v>
      </c>
      <c r="CT45" s="122"/>
      <c r="CU45" s="71" t="s">
        <v>270</v>
      </c>
      <c r="CV45" s="72" t="e">
        <f xml:space="preserve"> _xlfn.TEXTJOIN(" ", FALSE,#REF!)</f>
        <v>#REF!</v>
      </c>
      <c r="CW45" s="122"/>
      <c r="CX45" s="71" t="s">
        <v>271</v>
      </c>
      <c r="CY45" s="72" t="e">
        <f xml:space="preserve"> _xlfn.TEXTJOIN(" ", FALSE,#REF!)</f>
        <v>#REF!</v>
      </c>
      <c r="CZ45" s="122"/>
      <c r="DA45" s="71" t="s">
        <v>272</v>
      </c>
      <c r="DB45" s="73" t="e">
        <f xml:space="preserve"> _xlfn.TEXTJOIN(" ", FALSE,#REF!)</f>
        <v>#REF!</v>
      </c>
      <c r="DC45" s="65" t="s">
        <v>277</v>
      </c>
      <c r="DD45" s="70" t="e">
        <f t="shared" si="4"/>
        <v>#REF!</v>
      </c>
      <c r="DE45" s="64" t="s">
        <v>273</v>
      </c>
      <c r="DF45" s="122"/>
      <c r="DG45" s="71" t="s">
        <v>274</v>
      </c>
      <c r="DH45" s="72" t="e">
        <f xml:space="preserve"> _xlfn.TEXTJOIN(" ", FALSE,#REF!)</f>
        <v>#REF!</v>
      </c>
      <c r="DI45" s="122"/>
      <c r="DJ45" s="71" t="s">
        <v>275</v>
      </c>
      <c r="DK45" s="73" t="e">
        <f xml:space="preserve"> _xlfn.TEXTJOIN(" ", FALSE,#REF!)</f>
        <v>#REF!</v>
      </c>
      <c r="DL45" s="65" t="s">
        <v>277</v>
      </c>
      <c r="DM45" s="70" t="e">
        <f t="shared" si="5"/>
        <v>#REF!</v>
      </c>
      <c r="DN45" s="70" t="e">
        <f t="shared" si="6"/>
        <v>#REF!</v>
      </c>
    </row>
    <row r="46" spans="1:118" ht="108" customHeight="1">
      <c r="A46" s="122" t="e">
        <f>Summary!A46</f>
        <v>#REF!</v>
      </c>
      <c r="B46" s="64" t="s">
        <v>233</v>
      </c>
      <c r="C46" s="65" t="e">
        <f>Summary!B46</f>
        <v>#REF!</v>
      </c>
      <c r="D46" s="122"/>
      <c r="E46" s="64" t="s">
        <v>235</v>
      </c>
      <c r="F46" s="132" t="e">
        <f>Summary!C46</f>
        <v>#REF!</v>
      </c>
      <c r="G46" s="64" t="s">
        <v>236</v>
      </c>
      <c r="H46" s="132" t="e">
        <f>Summary!D46</f>
        <v>#REF!</v>
      </c>
      <c r="I46" s="64" t="s">
        <v>237</v>
      </c>
      <c r="J46" s="66">
        <f>Summary!E46</f>
        <v>7</v>
      </c>
      <c r="K46" s="64" t="s">
        <v>238</v>
      </c>
      <c r="L46" s="132" t="e">
        <f>Summary!F46</f>
        <v>#REF!</v>
      </c>
      <c r="M46" s="64" t="s">
        <v>239</v>
      </c>
      <c r="N46" s="132" t="e">
        <f>Summary!G46</f>
        <v>#REF!</v>
      </c>
      <c r="O46" s="64" t="s">
        <v>240</v>
      </c>
      <c r="P46" s="132" t="e">
        <f>Summary!H46</f>
        <v>#REF!</v>
      </c>
      <c r="Q46" s="65" t="s">
        <v>277</v>
      </c>
      <c r="R46" s="70" t="e">
        <f t="shared" si="0"/>
        <v>#REF!</v>
      </c>
      <c r="S46" s="64" t="s">
        <v>243</v>
      </c>
      <c r="T46" s="122"/>
      <c r="U46" s="71" t="s">
        <v>244</v>
      </c>
      <c r="V46" s="72" t="e">
        <f xml:space="preserve"> _xlfn.TEXTJOIN(" ", FALSE,#REF!)</f>
        <v>#REF!</v>
      </c>
      <c r="W46" s="122"/>
      <c r="X46" s="71" t="s">
        <v>245</v>
      </c>
      <c r="Y46" s="72" t="e">
        <f xml:space="preserve"> _xlfn.TEXTJOIN(" ", FALSE,#REF!)</f>
        <v>#REF!</v>
      </c>
      <c r="Z46" s="122"/>
      <c r="AA46" s="71" t="s">
        <v>246</v>
      </c>
      <c r="AB46" s="72" t="e">
        <f xml:space="preserve"> _xlfn.TEXTJOIN(" ", FALSE,#REF!)</f>
        <v>#REF!</v>
      </c>
      <c r="AC46" s="122"/>
      <c r="AD46" s="71" t="s">
        <v>247</v>
      </c>
      <c r="AE46" s="72" t="e">
        <f xml:space="preserve"> _xlfn.TEXTJOIN(" ", FALSE,#REF!)</f>
        <v>#REF!</v>
      </c>
      <c r="AF46" s="122"/>
      <c r="AG46" s="71" t="s">
        <v>248</v>
      </c>
      <c r="AH46" s="73" t="e">
        <f xml:space="preserve"> _xlfn.TEXTJOIN(" ", FALSE,#REF!)</f>
        <v>#REF!</v>
      </c>
      <c r="AI46" s="122"/>
      <c r="AJ46" s="71" t="s">
        <v>249</v>
      </c>
      <c r="AK46" s="73" t="e">
        <f xml:space="preserve"> _xlfn.TEXTJOIN(" ", FALSE,#REF!)</f>
        <v>#REF!</v>
      </c>
      <c r="AL46" s="122"/>
      <c r="AM46" s="71" t="s">
        <v>250</v>
      </c>
      <c r="AN46" s="73" t="e">
        <f xml:space="preserve"> _xlfn.TEXTJOIN(" ", FALSE,#REF!)</f>
        <v>#REF!</v>
      </c>
      <c r="AO46" s="122"/>
      <c r="AP46" s="71" t="s">
        <v>251</v>
      </c>
      <c r="AQ46" s="72" t="e">
        <f xml:space="preserve"> _xlfn.TEXTJOIN(" ", FALSE,#REF!)</f>
        <v>#REF!</v>
      </c>
      <c r="AR46" s="122"/>
      <c r="AS46" s="71" t="s">
        <v>252</v>
      </c>
      <c r="AT46" s="72" t="e">
        <f xml:space="preserve"> _xlfn.TEXTJOIN(" ", FALSE,#REF!)</f>
        <v>#REF!</v>
      </c>
      <c r="AU46" s="122"/>
      <c r="AV46" s="71" t="s">
        <v>253</v>
      </c>
      <c r="AW46" s="73" t="e">
        <f xml:space="preserve"> _xlfn.TEXTJOIN(" ", FALSE,#REF!)</f>
        <v>#REF!</v>
      </c>
      <c r="AX46" s="122"/>
      <c r="AY46" s="71" t="s">
        <v>254</v>
      </c>
      <c r="AZ46" s="72" t="e">
        <f xml:space="preserve"> _xlfn.TEXTJOIN(" ", FALSE,#REF!)</f>
        <v>#REF!</v>
      </c>
      <c r="BA46" s="122"/>
      <c r="BB46" s="71" t="s">
        <v>255</v>
      </c>
      <c r="BC46" s="72" t="e">
        <f xml:space="preserve"> _xlfn.TEXTJOIN(" ", FALSE,#REF!)</f>
        <v>#REF!</v>
      </c>
      <c r="BD46" s="122"/>
      <c r="BE46" s="71" t="s">
        <v>256</v>
      </c>
      <c r="BF46" s="72" t="e">
        <f xml:space="preserve"> _xlfn.TEXTJOIN(" ", FALSE,#REF!)</f>
        <v>#REF!</v>
      </c>
      <c r="BG46" s="65" t="s">
        <v>277</v>
      </c>
      <c r="BH46" s="70" t="e">
        <f t="shared" si="1"/>
        <v>#REF!</v>
      </c>
      <c r="BI46" s="64" t="s">
        <v>257</v>
      </c>
      <c r="BJ46" s="122"/>
      <c r="BK46" s="71" t="s">
        <v>258</v>
      </c>
      <c r="BL46" s="74" t="str">
        <f>_xlfn.TEXTJOIN(" ", FALSE, 'Task 2a - Mitigating the Proble'!U46:AC46)</f>
        <v xml:space="preserve">1 1 1 1 0 1 0 0 </v>
      </c>
      <c r="BM46" s="65" t="s">
        <v>277</v>
      </c>
      <c r="BN46" s="70" t="str">
        <f t="shared" si="2"/>
        <v>[Details for Task 2a:]  /Question 12: 1 1 1 1 0 1 0 0  .</v>
      </c>
      <c r="BO46" s="64" t="s">
        <v>259</v>
      </c>
      <c r="BP46" s="122"/>
      <c r="BQ46" s="71" t="s">
        <v>260</v>
      </c>
      <c r="BR46" s="73" t="e">
        <f xml:space="preserve"> _xlfn.TEXTJOIN(" ", FALSE,#REF!)</f>
        <v>#REF!</v>
      </c>
      <c r="BS46" s="122"/>
      <c r="BT46" s="71" t="s">
        <v>261</v>
      </c>
      <c r="BU46" s="73" t="e">
        <f xml:space="preserve"> _xlfn.TEXTJOIN(" ", FALSE,#REF!)</f>
        <v>#REF!</v>
      </c>
      <c r="BV46" s="122"/>
      <c r="BW46" s="71" t="s">
        <v>262</v>
      </c>
      <c r="BX46" s="73" t="e">
        <f xml:space="preserve"> _xlfn.TEXTJOIN(" ", FALSE,#REF!)</f>
        <v>#REF!</v>
      </c>
      <c r="BY46" s="122"/>
      <c r="BZ46" s="71" t="s">
        <v>263</v>
      </c>
      <c r="CA46" s="73" t="e">
        <f xml:space="preserve"> _xlfn.TEXTJOIN(" ", FALSE,#REF!)</f>
        <v>#REF!</v>
      </c>
      <c r="CB46" s="122"/>
      <c r="CC46" s="71" t="s">
        <v>264</v>
      </c>
      <c r="CD46" s="73" t="e">
        <f xml:space="preserve"> _xlfn.TEXTJOIN(" ", FALSE,#REF!)</f>
        <v>#REF!</v>
      </c>
      <c r="CE46" s="122"/>
      <c r="CF46" s="71" t="s">
        <v>265</v>
      </c>
      <c r="CG46" s="73" t="e">
        <f xml:space="preserve"> _xlfn.TEXTJOIN(" ", FALSE,#REF!)</f>
        <v>#REF!</v>
      </c>
      <c r="CH46" s="122"/>
      <c r="CI46" s="74" t="s">
        <v>278</v>
      </c>
      <c r="CJ46" s="73" t="e">
        <f xml:space="preserve"> _xlfn.TEXTJOIN(" ", FALSE,#REF!)</f>
        <v>#REF!</v>
      </c>
      <c r="CK46" s="65" t="s">
        <v>277</v>
      </c>
      <c r="CL46" s="70" t="e">
        <f t="shared" si="3"/>
        <v>#REF!</v>
      </c>
      <c r="CM46" s="64" t="s">
        <v>267</v>
      </c>
      <c r="CN46" s="122"/>
      <c r="CO46" s="71" t="s">
        <v>268</v>
      </c>
      <c r="CP46" s="73" t="e">
        <f xml:space="preserve"> _xlfn.TEXTJOIN(" ", FALSE,#REF!)</f>
        <v>#REF!</v>
      </c>
      <c r="CQ46" s="122"/>
      <c r="CR46" s="71" t="s">
        <v>269</v>
      </c>
      <c r="CS46" s="73" t="e">
        <f xml:space="preserve"> _xlfn.TEXTJOIN(" ", FALSE,#REF!)</f>
        <v>#REF!</v>
      </c>
      <c r="CT46" s="122"/>
      <c r="CU46" s="71" t="s">
        <v>270</v>
      </c>
      <c r="CV46" s="72" t="e">
        <f xml:space="preserve"> _xlfn.TEXTJOIN(" ", FALSE,#REF!)</f>
        <v>#REF!</v>
      </c>
      <c r="CW46" s="122"/>
      <c r="CX46" s="71" t="s">
        <v>271</v>
      </c>
      <c r="CY46" s="72" t="e">
        <f xml:space="preserve"> _xlfn.TEXTJOIN(" ", FALSE,#REF!)</f>
        <v>#REF!</v>
      </c>
      <c r="CZ46" s="122"/>
      <c r="DA46" s="71" t="s">
        <v>272</v>
      </c>
      <c r="DB46" s="73" t="e">
        <f xml:space="preserve"> _xlfn.TEXTJOIN(" ", FALSE,#REF!)</f>
        <v>#REF!</v>
      </c>
      <c r="DC46" s="65" t="s">
        <v>277</v>
      </c>
      <c r="DD46" s="70" t="e">
        <f t="shared" si="4"/>
        <v>#REF!</v>
      </c>
      <c r="DE46" s="64" t="s">
        <v>273</v>
      </c>
      <c r="DF46" s="122"/>
      <c r="DG46" s="71" t="s">
        <v>274</v>
      </c>
      <c r="DH46" s="72" t="e">
        <f xml:space="preserve"> _xlfn.TEXTJOIN(" ", FALSE,#REF!)</f>
        <v>#REF!</v>
      </c>
      <c r="DI46" s="122"/>
      <c r="DJ46" s="71" t="s">
        <v>275</v>
      </c>
      <c r="DK46" s="73" t="e">
        <f xml:space="preserve"> _xlfn.TEXTJOIN(" ", FALSE,#REF!)</f>
        <v>#REF!</v>
      </c>
      <c r="DL46" s="65" t="s">
        <v>277</v>
      </c>
      <c r="DM46" s="70" t="e">
        <f t="shared" si="5"/>
        <v>#REF!</v>
      </c>
      <c r="DN46" s="70" t="e">
        <f t="shared" si="6"/>
        <v>#REF!</v>
      </c>
    </row>
    <row r="47" spans="1:118" ht="108" customHeight="1">
      <c r="A47" s="122" t="e">
        <f>Summary!A47</f>
        <v>#REF!</v>
      </c>
      <c r="B47" s="64" t="s">
        <v>233</v>
      </c>
      <c r="C47" s="65" t="e">
        <f>Summary!B47</f>
        <v>#REF!</v>
      </c>
      <c r="D47" s="122"/>
      <c r="E47" s="64" t="s">
        <v>235</v>
      </c>
      <c r="F47" s="132" t="e">
        <f>Summary!C47</f>
        <v>#REF!</v>
      </c>
      <c r="G47" s="64" t="s">
        <v>236</v>
      </c>
      <c r="H47" s="132" t="e">
        <f>Summary!D47</f>
        <v>#REF!</v>
      </c>
      <c r="I47" s="64" t="s">
        <v>237</v>
      </c>
      <c r="J47" s="66">
        <f>Summary!E47</f>
        <v>5</v>
      </c>
      <c r="K47" s="64" t="s">
        <v>238</v>
      </c>
      <c r="L47" s="132" t="e">
        <f>Summary!F47</f>
        <v>#REF!</v>
      </c>
      <c r="M47" s="64" t="s">
        <v>239</v>
      </c>
      <c r="N47" s="132" t="e">
        <f>Summary!G47</f>
        <v>#REF!</v>
      </c>
      <c r="O47" s="64" t="s">
        <v>240</v>
      </c>
      <c r="P47" s="132" t="e">
        <f>Summary!H47</f>
        <v>#REF!</v>
      </c>
      <c r="Q47" s="65" t="s">
        <v>277</v>
      </c>
      <c r="R47" s="70" t="e">
        <f t="shared" si="0"/>
        <v>#REF!</v>
      </c>
      <c r="S47" s="64" t="s">
        <v>243</v>
      </c>
      <c r="T47" s="122"/>
      <c r="U47" s="71" t="s">
        <v>244</v>
      </c>
      <c r="V47" s="72" t="e">
        <f xml:space="preserve"> _xlfn.TEXTJOIN(" ", FALSE,#REF!)</f>
        <v>#REF!</v>
      </c>
      <c r="W47" s="122"/>
      <c r="X47" s="71" t="s">
        <v>245</v>
      </c>
      <c r="Y47" s="72" t="e">
        <f xml:space="preserve"> _xlfn.TEXTJOIN(" ", FALSE,#REF!)</f>
        <v>#REF!</v>
      </c>
      <c r="Z47" s="122"/>
      <c r="AA47" s="71" t="s">
        <v>246</v>
      </c>
      <c r="AB47" s="72" t="e">
        <f xml:space="preserve"> _xlfn.TEXTJOIN(" ", FALSE,#REF!)</f>
        <v>#REF!</v>
      </c>
      <c r="AC47" s="122"/>
      <c r="AD47" s="71" t="s">
        <v>247</v>
      </c>
      <c r="AE47" s="72" t="e">
        <f xml:space="preserve"> _xlfn.TEXTJOIN(" ", FALSE,#REF!)</f>
        <v>#REF!</v>
      </c>
      <c r="AF47" s="122"/>
      <c r="AG47" s="71" t="s">
        <v>248</v>
      </c>
      <c r="AH47" s="73" t="e">
        <f xml:space="preserve"> _xlfn.TEXTJOIN(" ", FALSE,#REF!)</f>
        <v>#REF!</v>
      </c>
      <c r="AI47" s="122"/>
      <c r="AJ47" s="71" t="s">
        <v>249</v>
      </c>
      <c r="AK47" s="73" t="e">
        <f xml:space="preserve"> _xlfn.TEXTJOIN(" ", FALSE,#REF!)</f>
        <v>#REF!</v>
      </c>
      <c r="AL47" s="122"/>
      <c r="AM47" s="71" t="s">
        <v>250</v>
      </c>
      <c r="AN47" s="73" t="e">
        <f xml:space="preserve"> _xlfn.TEXTJOIN(" ", FALSE,#REF!)</f>
        <v>#REF!</v>
      </c>
      <c r="AO47" s="122"/>
      <c r="AP47" s="71" t="s">
        <v>251</v>
      </c>
      <c r="AQ47" s="72" t="e">
        <f xml:space="preserve"> _xlfn.TEXTJOIN(" ", FALSE,#REF!)</f>
        <v>#REF!</v>
      </c>
      <c r="AR47" s="122"/>
      <c r="AS47" s="71" t="s">
        <v>252</v>
      </c>
      <c r="AT47" s="72" t="e">
        <f xml:space="preserve"> _xlfn.TEXTJOIN(" ", FALSE,#REF!)</f>
        <v>#REF!</v>
      </c>
      <c r="AU47" s="122"/>
      <c r="AV47" s="71" t="s">
        <v>253</v>
      </c>
      <c r="AW47" s="73" t="e">
        <f xml:space="preserve"> _xlfn.TEXTJOIN(" ", FALSE,#REF!)</f>
        <v>#REF!</v>
      </c>
      <c r="AX47" s="122"/>
      <c r="AY47" s="71" t="s">
        <v>254</v>
      </c>
      <c r="AZ47" s="72" t="e">
        <f xml:space="preserve"> _xlfn.TEXTJOIN(" ", FALSE,#REF!)</f>
        <v>#REF!</v>
      </c>
      <c r="BA47" s="122"/>
      <c r="BB47" s="71" t="s">
        <v>255</v>
      </c>
      <c r="BC47" s="72" t="e">
        <f xml:space="preserve"> _xlfn.TEXTJOIN(" ", FALSE,#REF!)</f>
        <v>#REF!</v>
      </c>
      <c r="BD47" s="122"/>
      <c r="BE47" s="71" t="s">
        <v>256</v>
      </c>
      <c r="BF47" s="72" t="e">
        <f xml:space="preserve"> _xlfn.TEXTJOIN(" ", FALSE,#REF!)</f>
        <v>#REF!</v>
      </c>
      <c r="BG47" s="65" t="s">
        <v>277</v>
      </c>
      <c r="BH47" s="70" t="e">
        <f t="shared" si="1"/>
        <v>#REF!</v>
      </c>
      <c r="BI47" s="64" t="s">
        <v>257</v>
      </c>
      <c r="BJ47" s="122"/>
      <c r="BK47" s="71" t="s">
        <v>258</v>
      </c>
      <c r="BL47" s="74" t="str">
        <f>_xlfn.TEXTJOIN(" ", FALSE, 'Task 2a - Mitigating the Proble'!U47:AC47)</f>
        <v xml:space="preserve">1 0 0 0 0 1 0 0 </v>
      </c>
      <c r="BM47" s="65" t="s">
        <v>277</v>
      </c>
      <c r="BN47" s="70" t="str">
        <f t="shared" si="2"/>
        <v>[Details for Task 2a:]  /Question 12: 1 0 0 0 0 1 0 0  .</v>
      </c>
      <c r="BO47" s="64" t="s">
        <v>259</v>
      </c>
      <c r="BP47" s="122"/>
      <c r="BQ47" s="71" t="s">
        <v>260</v>
      </c>
      <c r="BR47" s="73" t="e">
        <f xml:space="preserve"> _xlfn.TEXTJOIN(" ", FALSE,#REF!)</f>
        <v>#REF!</v>
      </c>
      <c r="BS47" s="122"/>
      <c r="BT47" s="71" t="s">
        <v>261</v>
      </c>
      <c r="BU47" s="73" t="e">
        <f xml:space="preserve"> _xlfn.TEXTJOIN(" ", FALSE,#REF!)</f>
        <v>#REF!</v>
      </c>
      <c r="BV47" s="122"/>
      <c r="BW47" s="71" t="s">
        <v>262</v>
      </c>
      <c r="BX47" s="73" t="e">
        <f xml:space="preserve"> _xlfn.TEXTJOIN(" ", FALSE,#REF!)</f>
        <v>#REF!</v>
      </c>
      <c r="BY47" s="122"/>
      <c r="BZ47" s="71" t="s">
        <v>263</v>
      </c>
      <c r="CA47" s="73" t="e">
        <f xml:space="preserve"> _xlfn.TEXTJOIN(" ", FALSE,#REF!)</f>
        <v>#REF!</v>
      </c>
      <c r="CB47" s="122"/>
      <c r="CC47" s="71" t="s">
        <v>264</v>
      </c>
      <c r="CD47" s="73" t="e">
        <f xml:space="preserve"> _xlfn.TEXTJOIN(" ", FALSE,#REF!)</f>
        <v>#REF!</v>
      </c>
      <c r="CE47" s="122"/>
      <c r="CF47" s="71" t="s">
        <v>265</v>
      </c>
      <c r="CG47" s="73" t="e">
        <f xml:space="preserve"> _xlfn.TEXTJOIN(" ", FALSE,#REF!)</f>
        <v>#REF!</v>
      </c>
      <c r="CH47" s="122"/>
      <c r="CI47" s="74" t="s">
        <v>278</v>
      </c>
      <c r="CJ47" s="73" t="e">
        <f xml:space="preserve"> _xlfn.TEXTJOIN(" ", FALSE,#REF!)</f>
        <v>#REF!</v>
      </c>
      <c r="CK47" s="65" t="s">
        <v>277</v>
      </c>
      <c r="CL47" s="70" t="e">
        <f t="shared" si="3"/>
        <v>#REF!</v>
      </c>
      <c r="CM47" s="64" t="s">
        <v>267</v>
      </c>
      <c r="CN47" s="122"/>
      <c r="CO47" s="71" t="s">
        <v>268</v>
      </c>
      <c r="CP47" s="73" t="e">
        <f xml:space="preserve"> _xlfn.TEXTJOIN(" ", FALSE,#REF!)</f>
        <v>#REF!</v>
      </c>
      <c r="CQ47" s="122"/>
      <c r="CR47" s="71" t="s">
        <v>269</v>
      </c>
      <c r="CS47" s="73" t="e">
        <f xml:space="preserve"> _xlfn.TEXTJOIN(" ", FALSE,#REF!)</f>
        <v>#REF!</v>
      </c>
      <c r="CT47" s="122"/>
      <c r="CU47" s="71" t="s">
        <v>270</v>
      </c>
      <c r="CV47" s="72" t="e">
        <f xml:space="preserve"> _xlfn.TEXTJOIN(" ", FALSE,#REF!)</f>
        <v>#REF!</v>
      </c>
      <c r="CW47" s="122"/>
      <c r="CX47" s="71" t="s">
        <v>271</v>
      </c>
      <c r="CY47" s="72" t="e">
        <f xml:space="preserve"> _xlfn.TEXTJOIN(" ", FALSE,#REF!)</f>
        <v>#REF!</v>
      </c>
      <c r="CZ47" s="122"/>
      <c r="DA47" s="71" t="s">
        <v>272</v>
      </c>
      <c r="DB47" s="73" t="e">
        <f xml:space="preserve"> _xlfn.TEXTJOIN(" ", FALSE,#REF!)</f>
        <v>#REF!</v>
      </c>
      <c r="DC47" s="65" t="s">
        <v>277</v>
      </c>
      <c r="DD47" s="70" t="e">
        <f t="shared" si="4"/>
        <v>#REF!</v>
      </c>
      <c r="DE47" s="64" t="s">
        <v>273</v>
      </c>
      <c r="DF47" s="122"/>
      <c r="DG47" s="71" t="s">
        <v>274</v>
      </c>
      <c r="DH47" s="72" t="e">
        <f xml:space="preserve"> _xlfn.TEXTJOIN(" ", FALSE,#REF!)</f>
        <v>#REF!</v>
      </c>
      <c r="DI47" s="122"/>
      <c r="DJ47" s="71" t="s">
        <v>275</v>
      </c>
      <c r="DK47" s="73" t="e">
        <f xml:space="preserve"> _xlfn.TEXTJOIN(" ", FALSE,#REF!)</f>
        <v>#REF!</v>
      </c>
      <c r="DL47" s="65" t="s">
        <v>277</v>
      </c>
      <c r="DM47" s="70" t="e">
        <f t="shared" si="5"/>
        <v>#REF!</v>
      </c>
      <c r="DN47" s="70" t="e">
        <f t="shared" si="6"/>
        <v>#REF!</v>
      </c>
    </row>
    <row r="48" spans="1:118" ht="108" customHeight="1">
      <c r="A48" s="122" t="e">
        <f>Summary!A48</f>
        <v>#REF!</v>
      </c>
      <c r="B48" s="64" t="s">
        <v>233</v>
      </c>
      <c r="C48" s="65" t="e">
        <f>Summary!B48</f>
        <v>#REF!</v>
      </c>
      <c r="D48" s="122"/>
      <c r="E48" s="64" t="s">
        <v>235</v>
      </c>
      <c r="F48" s="132" t="e">
        <f>Summary!C48</f>
        <v>#REF!</v>
      </c>
      <c r="G48" s="64" t="s">
        <v>236</v>
      </c>
      <c r="H48" s="132" t="e">
        <f>Summary!D48</f>
        <v>#REF!</v>
      </c>
      <c r="I48" s="64" t="s">
        <v>237</v>
      </c>
      <c r="J48" s="66">
        <f>Summary!E48</f>
        <v>5</v>
      </c>
      <c r="K48" s="64" t="s">
        <v>238</v>
      </c>
      <c r="L48" s="132" t="e">
        <f>Summary!F48</f>
        <v>#REF!</v>
      </c>
      <c r="M48" s="64" t="s">
        <v>239</v>
      </c>
      <c r="N48" s="132" t="e">
        <f>Summary!G48</f>
        <v>#REF!</v>
      </c>
      <c r="O48" s="64" t="s">
        <v>240</v>
      </c>
      <c r="P48" s="132" t="e">
        <f>Summary!H48</f>
        <v>#REF!</v>
      </c>
      <c r="Q48" s="65" t="s">
        <v>277</v>
      </c>
      <c r="R48" s="70" t="e">
        <f t="shared" si="0"/>
        <v>#REF!</v>
      </c>
      <c r="S48" s="64" t="s">
        <v>243</v>
      </c>
      <c r="T48" s="122"/>
      <c r="U48" s="71" t="s">
        <v>244</v>
      </c>
      <c r="V48" s="72" t="e">
        <f xml:space="preserve"> _xlfn.TEXTJOIN(" ", FALSE,#REF!)</f>
        <v>#REF!</v>
      </c>
      <c r="W48" s="122"/>
      <c r="X48" s="71" t="s">
        <v>245</v>
      </c>
      <c r="Y48" s="72" t="e">
        <f xml:space="preserve"> _xlfn.TEXTJOIN(" ", FALSE,#REF!)</f>
        <v>#REF!</v>
      </c>
      <c r="Z48" s="122"/>
      <c r="AA48" s="71" t="s">
        <v>246</v>
      </c>
      <c r="AB48" s="72" t="e">
        <f xml:space="preserve"> _xlfn.TEXTJOIN(" ", FALSE,#REF!)</f>
        <v>#REF!</v>
      </c>
      <c r="AC48" s="122"/>
      <c r="AD48" s="71" t="s">
        <v>247</v>
      </c>
      <c r="AE48" s="72" t="e">
        <f xml:space="preserve"> _xlfn.TEXTJOIN(" ", FALSE,#REF!)</f>
        <v>#REF!</v>
      </c>
      <c r="AF48" s="122"/>
      <c r="AG48" s="71" t="s">
        <v>248</v>
      </c>
      <c r="AH48" s="73" t="e">
        <f xml:space="preserve"> _xlfn.TEXTJOIN(" ", FALSE,#REF!)</f>
        <v>#REF!</v>
      </c>
      <c r="AI48" s="122"/>
      <c r="AJ48" s="71" t="s">
        <v>249</v>
      </c>
      <c r="AK48" s="73" t="e">
        <f xml:space="preserve"> _xlfn.TEXTJOIN(" ", FALSE,#REF!)</f>
        <v>#REF!</v>
      </c>
      <c r="AL48" s="122"/>
      <c r="AM48" s="71" t="s">
        <v>250</v>
      </c>
      <c r="AN48" s="73" t="e">
        <f xml:space="preserve"> _xlfn.TEXTJOIN(" ", FALSE,#REF!)</f>
        <v>#REF!</v>
      </c>
      <c r="AO48" s="122"/>
      <c r="AP48" s="71" t="s">
        <v>251</v>
      </c>
      <c r="AQ48" s="72" t="e">
        <f xml:space="preserve"> _xlfn.TEXTJOIN(" ", FALSE,#REF!)</f>
        <v>#REF!</v>
      </c>
      <c r="AR48" s="122"/>
      <c r="AS48" s="71" t="s">
        <v>252</v>
      </c>
      <c r="AT48" s="72" t="e">
        <f xml:space="preserve"> _xlfn.TEXTJOIN(" ", FALSE,#REF!)</f>
        <v>#REF!</v>
      </c>
      <c r="AU48" s="122"/>
      <c r="AV48" s="71" t="s">
        <v>253</v>
      </c>
      <c r="AW48" s="73" t="e">
        <f xml:space="preserve"> _xlfn.TEXTJOIN(" ", FALSE,#REF!)</f>
        <v>#REF!</v>
      </c>
      <c r="AX48" s="122"/>
      <c r="AY48" s="71" t="s">
        <v>254</v>
      </c>
      <c r="AZ48" s="72" t="e">
        <f xml:space="preserve"> _xlfn.TEXTJOIN(" ", FALSE,#REF!)</f>
        <v>#REF!</v>
      </c>
      <c r="BA48" s="122"/>
      <c r="BB48" s="71" t="s">
        <v>255</v>
      </c>
      <c r="BC48" s="72" t="e">
        <f xml:space="preserve"> _xlfn.TEXTJOIN(" ", FALSE,#REF!)</f>
        <v>#REF!</v>
      </c>
      <c r="BD48" s="122"/>
      <c r="BE48" s="71" t="s">
        <v>256</v>
      </c>
      <c r="BF48" s="72" t="e">
        <f xml:space="preserve"> _xlfn.TEXTJOIN(" ", FALSE,#REF!)</f>
        <v>#REF!</v>
      </c>
      <c r="BG48" s="65" t="s">
        <v>277</v>
      </c>
      <c r="BH48" s="70" t="e">
        <f t="shared" si="1"/>
        <v>#REF!</v>
      </c>
      <c r="BI48" s="64" t="s">
        <v>257</v>
      </c>
      <c r="BJ48" s="122"/>
      <c r="BK48" s="71" t="s">
        <v>258</v>
      </c>
      <c r="BL48" s="74" t="str">
        <f>_xlfn.TEXTJOIN(" ", FALSE, 'Task 2a - Mitigating the Proble'!U48:AC48)</f>
        <v xml:space="preserve">0 1 1 0 0 1 0 0 </v>
      </c>
      <c r="BM48" s="65" t="s">
        <v>277</v>
      </c>
      <c r="BN48" s="70" t="str">
        <f t="shared" si="2"/>
        <v>[Details for Task 2a:]  /Question 12: 0 1 1 0 0 1 0 0  .</v>
      </c>
      <c r="BO48" s="64" t="s">
        <v>259</v>
      </c>
      <c r="BP48" s="122"/>
      <c r="BQ48" s="71" t="s">
        <v>260</v>
      </c>
      <c r="BR48" s="73" t="e">
        <f xml:space="preserve"> _xlfn.TEXTJOIN(" ", FALSE,#REF!)</f>
        <v>#REF!</v>
      </c>
      <c r="BS48" s="122"/>
      <c r="BT48" s="71" t="s">
        <v>261</v>
      </c>
      <c r="BU48" s="73" t="e">
        <f xml:space="preserve"> _xlfn.TEXTJOIN(" ", FALSE,#REF!)</f>
        <v>#REF!</v>
      </c>
      <c r="BV48" s="122"/>
      <c r="BW48" s="71" t="s">
        <v>262</v>
      </c>
      <c r="BX48" s="73" t="e">
        <f xml:space="preserve"> _xlfn.TEXTJOIN(" ", FALSE,#REF!)</f>
        <v>#REF!</v>
      </c>
      <c r="BY48" s="122"/>
      <c r="BZ48" s="71" t="s">
        <v>263</v>
      </c>
      <c r="CA48" s="73" t="e">
        <f xml:space="preserve"> _xlfn.TEXTJOIN(" ", FALSE,#REF!)</f>
        <v>#REF!</v>
      </c>
      <c r="CB48" s="122"/>
      <c r="CC48" s="71" t="s">
        <v>264</v>
      </c>
      <c r="CD48" s="73" t="e">
        <f xml:space="preserve"> _xlfn.TEXTJOIN(" ", FALSE,#REF!)</f>
        <v>#REF!</v>
      </c>
      <c r="CE48" s="122"/>
      <c r="CF48" s="71" t="s">
        <v>265</v>
      </c>
      <c r="CG48" s="73" t="e">
        <f xml:space="preserve"> _xlfn.TEXTJOIN(" ", FALSE,#REF!)</f>
        <v>#REF!</v>
      </c>
      <c r="CH48" s="122"/>
      <c r="CI48" s="74" t="s">
        <v>278</v>
      </c>
      <c r="CJ48" s="73" t="e">
        <f xml:space="preserve"> _xlfn.TEXTJOIN(" ", FALSE,#REF!)</f>
        <v>#REF!</v>
      </c>
      <c r="CK48" s="65" t="s">
        <v>277</v>
      </c>
      <c r="CL48" s="70" t="e">
        <f t="shared" si="3"/>
        <v>#REF!</v>
      </c>
      <c r="CM48" s="64" t="s">
        <v>267</v>
      </c>
      <c r="CN48" s="122"/>
      <c r="CO48" s="71" t="s">
        <v>268</v>
      </c>
      <c r="CP48" s="73" t="e">
        <f xml:space="preserve"> _xlfn.TEXTJOIN(" ", FALSE,#REF!)</f>
        <v>#REF!</v>
      </c>
      <c r="CQ48" s="122"/>
      <c r="CR48" s="71" t="s">
        <v>269</v>
      </c>
      <c r="CS48" s="73" t="e">
        <f xml:space="preserve"> _xlfn.TEXTJOIN(" ", FALSE,#REF!)</f>
        <v>#REF!</v>
      </c>
      <c r="CT48" s="122"/>
      <c r="CU48" s="71" t="s">
        <v>270</v>
      </c>
      <c r="CV48" s="72" t="e">
        <f xml:space="preserve"> _xlfn.TEXTJOIN(" ", FALSE,#REF!)</f>
        <v>#REF!</v>
      </c>
      <c r="CW48" s="122"/>
      <c r="CX48" s="71" t="s">
        <v>271</v>
      </c>
      <c r="CY48" s="72" t="e">
        <f xml:space="preserve"> _xlfn.TEXTJOIN(" ", FALSE,#REF!)</f>
        <v>#REF!</v>
      </c>
      <c r="CZ48" s="122"/>
      <c r="DA48" s="71" t="s">
        <v>272</v>
      </c>
      <c r="DB48" s="73" t="e">
        <f xml:space="preserve"> _xlfn.TEXTJOIN(" ", FALSE,#REF!)</f>
        <v>#REF!</v>
      </c>
      <c r="DC48" s="65" t="s">
        <v>277</v>
      </c>
      <c r="DD48" s="70" t="e">
        <f t="shared" si="4"/>
        <v>#REF!</v>
      </c>
      <c r="DE48" s="64" t="s">
        <v>273</v>
      </c>
      <c r="DF48" s="122"/>
      <c r="DG48" s="71" t="s">
        <v>274</v>
      </c>
      <c r="DH48" s="72" t="e">
        <f xml:space="preserve"> _xlfn.TEXTJOIN(" ", FALSE,#REF!)</f>
        <v>#REF!</v>
      </c>
      <c r="DI48" s="122"/>
      <c r="DJ48" s="71" t="s">
        <v>275</v>
      </c>
      <c r="DK48" s="73" t="e">
        <f xml:space="preserve"> _xlfn.TEXTJOIN(" ", FALSE,#REF!)</f>
        <v>#REF!</v>
      </c>
      <c r="DL48" s="65" t="s">
        <v>277</v>
      </c>
      <c r="DM48" s="70" t="e">
        <f t="shared" si="5"/>
        <v>#REF!</v>
      </c>
      <c r="DN48" s="70" t="e">
        <f t="shared" si="6"/>
        <v>#REF!</v>
      </c>
    </row>
    <row r="49" spans="1:118" ht="108" customHeight="1">
      <c r="A49" s="122" t="e">
        <f>Summary!A49</f>
        <v>#REF!</v>
      </c>
      <c r="B49" s="64" t="s">
        <v>233</v>
      </c>
      <c r="C49" s="65" t="e">
        <f>Summary!B49</f>
        <v>#REF!</v>
      </c>
      <c r="D49" s="122"/>
      <c r="E49" s="64" t="s">
        <v>235</v>
      </c>
      <c r="F49" s="132" t="e">
        <f>Summary!C49</f>
        <v>#REF!</v>
      </c>
      <c r="G49" s="64" t="s">
        <v>236</v>
      </c>
      <c r="H49" s="132" t="e">
        <f>Summary!D49</f>
        <v>#REF!</v>
      </c>
      <c r="I49" s="64" t="s">
        <v>237</v>
      </c>
      <c r="J49" s="66">
        <f>Summary!E49</f>
        <v>4</v>
      </c>
      <c r="K49" s="64" t="s">
        <v>238</v>
      </c>
      <c r="L49" s="132" t="e">
        <f>Summary!F49</f>
        <v>#REF!</v>
      </c>
      <c r="M49" s="64" t="s">
        <v>239</v>
      </c>
      <c r="N49" s="132" t="e">
        <f>Summary!G49</f>
        <v>#REF!</v>
      </c>
      <c r="O49" s="64" t="s">
        <v>240</v>
      </c>
      <c r="P49" s="132" t="e">
        <f>Summary!H49</f>
        <v>#REF!</v>
      </c>
      <c r="Q49" s="65" t="s">
        <v>277</v>
      </c>
      <c r="R49" s="70" t="e">
        <f t="shared" si="0"/>
        <v>#REF!</v>
      </c>
      <c r="S49" s="64" t="s">
        <v>243</v>
      </c>
      <c r="T49" s="122"/>
      <c r="U49" s="71" t="s">
        <v>244</v>
      </c>
      <c r="V49" s="72" t="e">
        <f xml:space="preserve"> _xlfn.TEXTJOIN(" ", FALSE,#REF!)</f>
        <v>#REF!</v>
      </c>
      <c r="W49" s="122"/>
      <c r="X49" s="71" t="s">
        <v>245</v>
      </c>
      <c r="Y49" s="72" t="e">
        <f xml:space="preserve"> _xlfn.TEXTJOIN(" ", FALSE,#REF!)</f>
        <v>#REF!</v>
      </c>
      <c r="Z49" s="122"/>
      <c r="AA49" s="71" t="s">
        <v>246</v>
      </c>
      <c r="AB49" s="72" t="e">
        <f xml:space="preserve"> _xlfn.TEXTJOIN(" ", FALSE,#REF!)</f>
        <v>#REF!</v>
      </c>
      <c r="AC49" s="122"/>
      <c r="AD49" s="71" t="s">
        <v>247</v>
      </c>
      <c r="AE49" s="72" t="e">
        <f xml:space="preserve"> _xlfn.TEXTJOIN(" ", FALSE,#REF!)</f>
        <v>#REF!</v>
      </c>
      <c r="AF49" s="122"/>
      <c r="AG49" s="71" t="s">
        <v>248</v>
      </c>
      <c r="AH49" s="73" t="e">
        <f xml:space="preserve"> _xlfn.TEXTJOIN(" ", FALSE,#REF!)</f>
        <v>#REF!</v>
      </c>
      <c r="AI49" s="122"/>
      <c r="AJ49" s="71" t="s">
        <v>249</v>
      </c>
      <c r="AK49" s="73" t="e">
        <f xml:space="preserve"> _xlfn.TEXTJOIN(" ", FALSE,#REF!)</f>
        <v>#REF!</v>
      </c>
      <c r="AL49" s="122"/>
      <c r="AM49" s="71" t="s">
        <v>250</v>
      </c>
      <c r="AN49" s="73" t="e">
        <f xml:space="preserve"> _xlfn.TEXTJOIN(" ", FALSE,#REF!)</f>
        <v>#REF!</v>
      </c>
      <c r="AO49" s="122"/>
      <c r="AP49" s="71" t="s">
        <v>251</v>
      </c>
      <c r="AQ49" s="72" t="e">
        <f xml:space="preserve"> _xlfn.TEXTJOIN(" ", FALSE,#REF!)</f>
        <v>#REF!</v>
      </c>
      <c r="AR49" s="122"/>
      <c r="AS49" s="71" t="s">
        <v>252</v>
      </c>
      <c r="AT49" s="72" t="e">
        <f xml:space="preserve"> _xlfn.TEXTJOIN(" ", FALSE,#REF!)</f>
        <v>#REF!</v>
      </c>
      <c r="AU49" s="122"/>
      <c r="AV49" s="71" t="s">
        <v>253</v>
      </c>
      <c r="AW49" s="73" t="e">
        <f xml:space="preserve"> _xlfn.TEXTJOIN(" ", FALSE,#REF!)</f>
        <v>#REF!</v>
      </c>
      <c r="AX49" s="122"/>
      <c r="AY49" s="71" t="s">
        <v>254</v>
      </c>
      <c r="AZ49" s="72" t="e">
        <f xml:space="preserve"> _xlfn.TEXTJOIN(" ", FALSE,#REF!)</f>
        <v>#REF!</v>
      </c>
      <c r="BA49" s="122"/>
      <c r="BB49" s="71" t="s">
        <v>255</v>
      </c>
      <c r="BC49" s="72" t="e">
        <f xml:space="preserve"> _xlfn.TEXTJOIN(" ", FALSE,#REF!)</f>
        <v>#REF!</v>
      </c>
      <c r="BD49" s="122"/>
      <c r="BE49" s="71" t="s">
        <v>256</v>
      </c>
      <c r="BF49" s="72" t="e">
        <f xml:space="preserve"> _xlfn.TEXTJOIN(" ", FALSE,#REF!)</f>
        <v>#REF!</v>
      </c>
      <c r="BG49" s="65" t="s">
        <v>277</v>
      </c>
      <c r="BH49" s="70" t="e">
        <f t="shared" si="1"/>
        <v>#REF!</v>
      </c>
      <c r="BI49" s="64" t="s">
        <v>257</v>
      </c>
      <c r="BJ49" s="122"/>
      <c r="BK49" s="71" t="s">
        <v>258</v>
      </c>
      <c r="BL49" s="74" t="str">
        <f>_xlfn.TEXTJOIN(" ", FALSE, 'Task 2a - Mitigating the Proble'!U49:AC49)</f>
        <v xml:space="preserve">0 0 0 0 0 1 0 0 </v>
      </c>
      <c r="BM49" s="65" t="s">
        <v>277</v>
      </c>
      <c r="BN49" s="70" t="str">
        <f t="shared" si="2"/>
        <v>[Details for Task 2a:]  /Question 12: 0 0 0 0 0 1 0 0  .</v>
      </c>
      <c r="BO49" s="64" t="s">
        <v>259</v>
      </c>
      <c r="BP49" s="122"/>
      <c r="BQ49" s="71" t="s">
        <v>260</v>
      </c>
      <c r="BR49" s="73" t="e">
        <f xml:space="preserve"> _xlfn.TEXTJOIN(" ", FALSE,#REF!)</f>
        <v>#REF!</v>
      </c>
      <c r="BS49" s="122"/>
      <c r="BT49" s="71" t="s">
        <v>261</v>
      </c>
      <c r="BU49" s="73" t="e">
        <f xml:space="preserve"> _xlfn.TEXTJOIN(" ", FALSE,#REF!)</f>
        <v>#REF!</v>
      </c>
      <c r="BV49" s="122"/>
      <c r="BW49" s="71" t="s">
        <v>262</v>
      </c>
      <c r="BX49" s="73" t="e">
        <f xml:space="preserve"> _xlfn.TEXTJOIN(" ", FALSE,#REF!)</f>
        <v>#REF!</v>
      </c>
      <c r="BY49" s="122"/>
      <c r="BZ49" s="71" t="s">
        <v>263</v>
      </c>
      <c r="CA49" s="73" t="e">
        <f xml:space="preserve"> _xlfn.TEXTJOIN(" ", FALSE,#REF!)</f>
        <v>#REF!</v>
      </c>
      <c r="CB49" s="122"/>
      <c r="CC49" s="71" t="s">
        <v>264</v>
      </c>
      <c r="CD49" s="73" t="e">
        <f xml:space="preserve"> _xlfn.TEXTJOIN(" ", FALSE,#REF!)</f>
        <v>#REF!</v>
      </c>
      <c r="CE49" s="122"/>
      <c r="CF49" s="71" t="s">
        <v>265</v>
      </c>
      <c r="CG49" s="73" t="e">
        <f xml:space="preserve"> _xlfn.TEXTJOIN(" ", FALSE,#REF!)</f>
        <v>#REF!</v>
      </c>
      <c r="CH49" s="122"/>
      <c r="CI49" s="74" t="s">
        <v>278</v>
      </c>
      <c r="CJ49" s="73" t="e">
        <f xml:space="preserve"> _xlfn.TEXTJOIN(" ", FALSE,#REF!)</f>
        <v>#REF!</v>
      </c>
      <c r="CK49" s="65" t="s">
        <v>277</v>
      </c>
      <c r="CL49" s="70" t="e">
        <f t="shared" si="3"/>
        <v>#REF!</v>
      </c>
      <c r="CM49" s="64" t="s">
        <v>267</v>
      </c>
      <c r="CN49" s="122"/>
      <c r="CO49" s="71" t="s">
        <v>268</v>
      </c>
      <c r="CP49" s="73" t="e">
        <f xml:space="preserve"> _xlfn.TEXTJOIN(" ", FALSE,#REF!)</f>
        <v>#REF!</v>
      </c>
      <c r="CQ49" s="122"/>
      <c r="CR49" s="71" t="s">
        <v>269</v>
      </c>
      <c r="CS49" s="73" t="e">
        <f xml:space="preserve"> _xlfn.TEXTJOIN(" ", FALSE,#REF!)</f>
        <v>#REF!</v>
      </c>
      <c r="CT49" s="122"/>
      <c r="CU49" s="71" t="s">
        <v>270</v>
      </c>
      <c r="CV49" s="72" t="e">
        <f xml:space="preserve"> _xlfn.TEXTJOIN(" ", FALSE,#REF!)</f>
        <v>#REF!</v>
      </c>
      <c r="CW49" s="122"/>
      <c r="CX49" s="71" t="s">
        <v>271</v>
      </c>
      <c r="CY49" s="72" t="e">
        <f xml:space="preserve"> _xlfn.TEXTJOIN(" ", FALSE,#REF!)</f>
        <v>#REF!</v>
      </c>
      <c r="CZ49" s="122"/>
      <c r="DA49" s="71" t="s">
        <v>272</v>
      </c>
      <c r="DB49" s="73" t="e">
        <f xml:space="preserve"> _xlfn.TEXTJOIN(" ", FALSE,#REF!)</f>
        <v>#REF!</v>
      </c>
      <c r="DC49" s="65" t="s">
        <v>277</v>
      </c>
      <c r="DD49" s="70" t="e">
        <f t="shared" si="4"/>
        <v>#REF!</v>
      </c>
      <c r="DE49" s="64" t="s">
        <v>273</v>
      </c>
      <c r="DF49" s="122"/>
      <c r="DG49" s="71" t="s">
        <v>274</v>
      </c>
      <c r="DH49" s="72" t="e">
        <f xml:space="preserve"> _xlfn.TEXTJOIN(" ", FALSE,#REF!)</f>
        <v>#REF!</v>
      </c>
      <c r="DI49" s="122"/>
      <c r="DJ49" s="71" t="s">
        <v>275</v>
      </c>
      <c r="DK49" s="73" t="e">
        <f xml:space="preserve"> _xlfn.TEXTJOIN(" ", FALSE,#REF!)</f>
        <v>#REF!</v>
      </c>
      <c r="DL49" s="65" t="s">
        <v>277</v>
      </c>
      <c r="DM49" s="70" t="e">
        <f t="shared" si="5"/>
        <v>#REF!</v>
      </c>
      <c r="DN49" s="70" t="e">
        <f t="shared" si="6"/>
        <v>#REF!</v>
      </c>
    </row>
    <row r="50" spans="1:118" ht="108" customHeight="1">
      <c r="A50" s="122" t="e">
        <f>Summary!A50</f>
        <v>#REF!</v>
      </c>
      <c r="B50" s="64" t="s">
        <v>233</v>
      </c>
      <c r="C50" s="65" t="e">
        <f>Summary!B50</f>
        <v>#REF!</v>
      </c>
      <c r="D50" s="122"/>
      <c r="E50" s="64" t="s">
        <v>235</v>
      </c>
      <c r="F50" s="132" t="e">
        <f>Summary!C50</f>
        <v>#REF!</v>
      </c>
      <c r="G50" s="64" t="s">
        <v>236</v>
      </c>
      <c r="H50" s="132" t="e">
        <f>Summary!D50</f>
        <v>#REF!</v>
      </c>
      <c r="I50" s="64" t="s">
        <v>237</v>
      </c>
      <c r="J50" s="66">
        <f>Summary!E50</f>
        <v>7</v>
      </c>
      <c r="K50" s="64" t="s">
        <v>238</v>
      </c>
      <c r="L50" s="132" t="e">
        <f>Summary!F50</f>
        <v>#REF!</v>
      </c>
      <c r="M50" s="64" t="s">
        <v>239</v>
      </c>
      <c r="N50" s="132" t="e">
        <f>Summary!G50</f>
        <v>#REF!</v>
      </c>
      <c r="O50" s="64" t="s">
        <v>240</v>
      </c>
      <c r="P50" s="132" t="e">
        <f>Summary!H50</f>
        <v>#REF!</v>
      </c>
      <c r="Q50" s="65" t="s">
        <v>277</v>
      </c>
      <c r="R50" s="70" t="e">
        <f t="shared" si="0"/>
        <v>#REF!</v>
      </c>
      <c r="S50" s="64" t="s">
        <v>243</v>
      </c>
      <c r="T50" s="122"/>
      <c r="U50" s="71" t="s">
        <v>244</v>
      </c>
      <c r="V50" s="72" t="e">
        <f xml:space="preserve"> _xlfn.TEXTJOIN(" ", FALSE,#REF!)</f>
        <v>#REF!</v>
      </c>
      <c r="W50" s="122"/>
      <c r="X50" s="71" t="s">
        <v>245</v>
      </c>
      <c r="Y50" s="72" t="e">
        <f xml:space="preserve"> _xlfn.TEXTJOIN(" ", FALSE,#REF!)</f>
        <v>#REF!</v>
      </c>
      <c r="Z50" s="122"/>
      <c r="AA50" s="71" t="s">
        <v>246</v>
      </c>
      <c r="AB50" s="72" t="e">
        <f xml:space="preserve"> _xlfn.TEXTJOIN(" ", FALSE,#REF!)</f>
        <v>#REF!</v>
      </c>
      <c r="AC50" s="122"/>
      <c r="AD50" s="71" t="s">
        <v>247</v>
      </c>
      <c r="AE50" s="72" t="e">
        <f xml:space="preserve"> _xlfn.TEXTJOIN(" ", FALSE,#REF!)</f>
        <v>#REF!</v>
      </c>
      <c r="AF50" s="122"/>
      <c r="AG50" s="71" t="s">
        <v>248</v>
      </c>
      <c r="AH50" s="73" t="e">
        <f xml:space="preserve"> _xlfn.TEXTJOIN(" ", FALSE,#REF!)</f>
        <v>#REF!</v>
      </c>
      <c r="AI50" s="122"/>
      <c r="AJ50" s="71" t="s">
        <v>249</v>
      </c>
      <c r="AK50" s="73" t="e">
        <f xml:space="preserve"> _xlfn.TEXTJOIN(" ", FALSE,#REF!)</f>
        <v>#REF!</v>
      </c>
      <c r="AL50" s="122"/>
      <c r="AM50" s="71" t="s">
        <v>250</v>
      </c>
      <c r="AN50" s="73" t="e">
        <f xml:space="preserve"> _xlfn.TEXTJOIN(" ", FALSE,#REF!)</f>
        <v>#REF!</v>
      </c>
      <c r="AO50" s="122"/>
      <c r="AP50" s="71" t="s">
        <v>251</v>
      </c>
      <c r="AQ50" s="72" t="e">
        <f xml:space="preserve"> _xlfn.TEXTJOIN(" ", FALSE,#REF!)</f>
        <v>#REF!</v>
      </c>
      <c r="AR50" s="122"/>
      <c r="AS50" s="71" t="s">
        <v>252</v>
      </c>
      <c r="AT50" s="72" t="e">
        <f xml:space="preserve"> _xlfn.TEXTJOIN(" ", FALSE,#REF!)</f>
        <v>#REF!</v>
      </c>
      <c r="AU50" s="122"/>
      <c r="AV50" s="71" t="s">
        <v>253</v>
      </c>
      <c r="AW50" s="73" t="e">
        <f xml:space="preserve"> _xlfn.TEXTJOIN(" ", FALSE,#REF!)</f>
        <v>#REF!</v>
      </c>
      <c r="AX50" s="122"/>
      <c r="AY50" s="71" t="s">
        <v>254</v>
      </c>
      <c r="AZ50" s="72" t="e">
        <f xml:space="preserve"> _xlfn.TEXTJOIN(" ", FALSE,#REF!)</f>
        <v>#REF!</v>
      </c>
      <c r="BA50" s="122"/>
      <c r="BB50" s="71" t="s">
        <v>255</v>
      </c>
      <c r="BC50" s="72" t="e">
        <f xml:space="preserve"> _xlfn.TEXTJOIN(" ", FALSE,#REF!)</f>
        <v>#REF!</v>
      </c>
      <c r="BD50" s="122"/>
      <c r="BE50" s="71" t="s">
        <v>256</v>
      </c>
      <c r="BF50" s="72" t="e">
        <f xml:space="preserve"> _xlfn.TEXTJOIN(" ", FALSE,#REF!)</f>
        <v>#REF!</v>
      </c>
      <c r="BG50" s="65" t="s">
        <v>277</v>
      </c>
      <c r="BH50" s="70" t="e">
        <f t="shared" si="1"/>
        <v>#REF!</v>
      </c>
      <c r="BI50" s="64" t="s">
        <v>257</v>
      </c>
      <c r="BJ50" s="122"/>
      <c r="BK50" s="71" t="s">
        <v>258</v>
      </c>
      <c r="BL50" s="74" t="str">
        <f>_xlfn.TEXTJOIN(" ", FALSE, 'Task 2a - Mitigating the Proble'!U50:AC50)</f>
        <v xml:space="preserve">0 1 1 1 1 0 1 0 </v>
      </c>
      <c r="BM50" s="65" t="s">
        <v>277</v>
      </c>
      <c r="BN50" s="70" t="str">
        <f t="shared" si="2"/>
        <v>[Details for Task 2a:]  /Question 12: 0 1 1 1 1 0 1 0  .</v>
      </c>
      <c r="BO50" s="64" t="s">
        <v>259</v>
      </c>
      <c r="BP50" s="122"/>
      <c r="BQ50" s="71" t="s">
        <v>260</v>
      </c>
      <c r="BR50" s="73" t="e">
        <f xml:space="preserve"> _xlfn.TEXTJOIN(" ", FALSE,#REF!)</f>
        <v>#REF!</v>
      </c>
      <c r="BS50" s="122"/>
      <c r="BT50" s="71" t="s">
        <v>261</v>
      </c>
      <c r="BU50" s="73" t="e">
        <f xml:space="preserve"> _xlfn.TEXTJOIN(" ", FALSE,#REF!)</f>
        <v>#REF!</v>
      </c>
      <c r="BV50" s="122"/>
      <c r="BW50" s="71" t="s">
        <v>262</v>
      </c>
      <c r="BX50" s="73" t="e">
        <f xml:space="preserve"> _xlfn.TEXTJOIN(" ", FALSE,#REF!)</f>
        <v>#REF!</v>
      </c>
      <c r="BY50" s="122"/>
      <c r="BZ50" s="71" t="s">
        <v>263</v>
      </c>
      <c r="CA50" s="73" t="e">
        <f xml:space="preserve"> _xlfn.TEXTJOIN(" ", FALSE,#REF!)</f>
        <v>#REF!</v>
      </c>
      <c r="CB50" s="122"/>
      <c r="CC50" s="71" t="s">
        <v>264</v>
      </c>
      <c r="CD50" s="73" t="e">
        <f xml:space="preserve"> _xlfn.TEXTJOIN(" ", FALSE,#REF!)</f>
        <v>#REF!</v>
      </c>
      <c r="CE50" s="122"/>
      <c r="CF50" s="71" t="s">
        <v>265</v>
      </c>
      <c r="CG50" s="73" t="e">
        <f xml:space="preserve"> _xlfn.TEXTJOIN(" ", FALSE,#REF!)</f>
        <v>#REF!</v>
      </c>
      <c r="CH50" s="122"/>
      <c r="CI50" s="74" t="s">
        <v>278</v>
      </c>
      <c r="CJ50" s="73" t="e">
        <f xml:space="preserve"> _xlfn.TEXTJOIN(" ", FALSE,#REF!)</f>
        <v>#REF!</v>
      </c>
      <c r="CK50" s="65" t="s">
        <v>277</v>
      </c>
      <c r="CL50" s="70" t="e">
        <f t="shared" si="3"/>
        <v>#REF!</v>
      </c>
      <c r="CM50" s="64" t="s">
        <v>267</v>
      </c>
      <c r="CN50" s="122"/>
      <c r="CO50" s="71" t="s">
        <v>268</v>
      </c>
      <c r="CP50" s="73" t="e">
        <f xml:space="preserve"> _xlfn.TEXTJOIN(" ", FALSE,#REF!)</f>
        <v>#REF!</v>
      </c>
      <c r="CQ50" s="122"/>
      <c r="CR50" s="71" t="s">
        <v>269</v>
      </c>
      <c r="CS50" s="73" t="e">
        <f xml:space="preserve"> _xlfn.TEXTJOIN(" ", FALSE,#REF!)</f>
        <v>#REF!</v>
      </c>
      <c r="CT50" s="122"/>
      <c r="CU50" s="71" t="s">
        <v>270</v>
      </c>
      <c r="CV50" s="72" t="e">
        <f xml:space="preserve"> _xlfn.TEXTJOIN(" ", FALSE,#REF!)</f>
        <v>#REF!</v>
      </c>
      <c r="CW50" s="122"/>
      <c r="CX50" s="71" t="s">
        <v>271</v>
      </c>
      <c r="CY50" s="72" t="e">
        <f xml:space="preserve"> _xlfn.TEXTJOIN(" ", FALSE,#REF!)</f>
        <v>#REF!</v>
      </c>
      <c r="CZ50" s="122"/>
      <c r="DA50" s="71" t="s">
        <v>272</v>
      </c>
      <c r="DB50" s="73" t="e">
        <f xml:space="preserve"> _xlfn.TEXTJOIN(" ", FALSE,#REF!)</f>
        <v>#REF!</v>
      </c>
      <c r="DC50" s="65" t="s">
        <v>277</v>
      </c>
      <c r="DD50" s="70" t="e">
        <f t="shared" si="4"/>
        <v>#REF!</v>
      </c>
      <c r="DE50" s="64" t="s">
        <v>273</v>
      </c>
      <c r="DF50" s="122"/>
      <c r="DG50" s="71" t="s">
        <v>274</v>
      </c>
      <c r="DH50" s="72" t="e">
        <f xml:space="preserve"> _xlfn.TEXTJOIN(" ", FALSE,#REF!)</f>
        <v>#REF!</v>
      </c>
      <c r="DI50" s="122"/>
      <c r="DJ50" s="71" t="s">
        <v>275</v>
      </c>
      <c r="DK50" s="73" t="e">
        <f xml:space="preserve"> _xlfn.TEXTJOIN(" ", FALSE,#REF!)</f>
        <v>#REF!</v>
      </c>
      <c r="DL50" s="65" t="s">
        <v>277</v>
      </c>
      <c r="DM50" s="70" t="e">
        <f t="shared" si="5"/>
        <v>#REF!</v>
      </c>
      <c r="DN50" s="70" t="e">
        <f t="shared" si="6"/>
        <v>#REF!</v>
      </c>
    </row>
    <row r="51" spans="1:118" ht="108" customHeight="1">
      <c r="A51" s="122" t="e">
        <f>Summary!A51</f>
        <v>#REF!</v>
      </c>
      <c r="B51" s="64" t="s">
        <v>233</v>
      </c>
      <c r="C51" s="65" t="e">
        <f>Summary!B51</f>
        <v>#REF!</v>
      </c>
      <c r="D51" s="122"/>
      <c r="E51" s="64" t="s">
        <v>235</v>
      </c>
      <c r="F51" s="132" t="e">
        <f>Summary!C51</f>
        <v>#REF!</v>
      </c>
      <c r="G51" s="64" t="s">
        <v>236</v>
      </c>
      <c r="H51" s="132" t="e">
        <f>Summary!D51</f>
        <v>#REF!</v>
      </c>
      <c r="I51" s="64" t="s">
        <v>237</v>
      </c>
      <c r="J51" s="66">
        <f>Summary!E51</f>
        <v>7</v>
      </c>
      <c r="K51" s="64" t="s">
        <v>238</v>
      </c>
      <c r="L51" s="132" t="e">
        <f>Summary!F51</f>
        <v>#REF!</v>
      </c>
      <c r="M51" s="64" t="s">
        <v>239</v>
      </c>
      <c r="N51" s="132" t="e">
        <f>Summary!G51</f>
        <v>#REF!</v>
      </c>
      <c r="O51" s="64" t="s">
        <v>240</v>
      </c>
      <c r="P51" s="132" t="e">
        <f>Summary!H51</f>
        <v>#REF!</v>
      </c>
      <c r="Q51" s="65" t="s">
        <v>277</v>
      </c>
      <c r="R51" s="70" t="e">
        <f t="shared" si="0"/>
        <v>#REF!</v>
      </c>
      <c r="S51" s="64" t="s">
        <v>243</v>
      </c>
      <c r="T51" s="122"/>
      <c r="U51" s="71" t="s">
        <v>244</v>
      </c>
      <c r="V51" s="72" t="e">
        <f xml:space="preserve"> _xlfn.TEXTJOIN(" ", FALSE,#REF!)</f>
        <v>#REF!</v>
      </c>
      <c r="W51" s="122"/>
      <c r="X51" s="71" t="s">
        <v>245</v>
      </c>
      <c r="Y51" s="72" t="e">
        <f xml:space="preserve"> _xlfn.TEXTJOIN(" ", FALSE,#REF!)</f>
        <v>#REF!</v>
      </c>
      <c r="Z51" s="122"/>
      <c r="AA51" s="71" t="s">
        <v>246</v>
      </c>
      <c r="AB51" s="72" t="e">
        <f xml:space="preserve"> _xlfn.TEXTJOIN(" ", FALSE,#REF!)</f>
        <v>#REF!</v>
      </c>
      <c r="AC51" s="122"/>
      <c r="AD51" s="71" t="s">
        <v>247</v>
      </c>
      <c r="AE51" s="72" t="e">
        <f xml:space="preserve"> _xlfn.TEXTJOIN(" ", FALSE,#REF!)</f>
        <v>#REF!</v>
      </c>
      <c r="AF51" s="122"/>
      <c r="AG51" s="71" t="s">
        <v>248</v>
      </c>
      <c r="AH51" s="73" t="e">
        <f xml:space="preserve"> _xlfn.TEXTJOIN(" ", FALSE,#REF!)</f>
        <v>#REF!</v>
      </c>
      <c r="AI51" s="122"/>
      <c r="AJ51" s="71" t="s">
        <v>249</v>
      </c>
      <c r="AK51" s="73" t="e">
        <f xml:space="preserve"> _xlfn.TEXTJOIN(" ", FALSE,#REF!)</f>
        <v>#REF!</v>
      </c>
      <c r="AL51" s="122"/>
      <c r="AM51" s="71" t="s">
        <v>250</v>
      </c>
      <c r="AN51" s="73" t="e">
        <f xml:space="preserve"> _xlfn.TEXTJOIN(" ", FALSE,#REF!)</f>
        <v>#REF!</v>
      </c>
      <c r="AO51" s="122"/>
      <c r="AP51" s="71" t="s">
        <v>251</v>
      </c>
      <c r="AQ51" s="72" t="e">
        <f xml:space="preserve"> _xlfn.TEXTJOIN(" ", FALSE,#REF!)</f>
        <v>#REF!</v>
      </c>
      <c r="AR51" s="122"/>
      <c r="AS51" s="71" t="s">
        <v>252</v>
      </c>
      <c r="AT51" s="72" t="e">
        <f xml:space="preserve"> _xlfn.TEXTJOIN(" ", FALSE,#REF!)</f>
        <v>#REF!</v>
      </c>
      <c r="AU51" s="122"/>
      <c r="AV51" s="71" t="s">
        <v>253</v>
      </c>
      <c r="AW51" s="73" t="e">
        <f xml:space="preserve"> _xlfn.TEXTJOIN(" ", FALSE,#REF!)</f>
        <v>#REF!</v>
      </c>
      <c r="AX51" s="122"/>
      <c r="AY51" s="71" t="s">
        <v>254</v>
      </c>
      <c r="AZ51" s="72" t="e">
        <f xml:space="preserve"> _xlfn.TEXTJOIN(" ", FALSE,#REF!)</f>
        <v>#REF!</v>
      </c>
      <c r="BA51" s="122"/>
      <c r="BB51" s="71" t="s">
        <v>255</v>
      </c>
      <c r="BC51" s="72" t="e">
        <f xml:space="preserve"> _xlfn.TEXTJOIN(" ", FALSE,#REF!)</f>
        <v>#REF!</v>
      </c>
      <c r="BD51" s="122"/>
      <c r="BE51" s="71" t="s">
        <v>256</v>
      </c>
      <c r="BF51" s="72" t="e">
        <f xml:space="preserve"> _xlfn.TEXTJOIN(" ", FALSE,#REF!)</f>
        <v>#REF!</v>
      </c>
      <c r="BG51" s="65" t="s">
        <v>277</v>
      </c>
      <c r="BH51" s="70" t="e">
        <f t="shared" si="1"/>
        <v>#REF!</v>
      </c>
      <c r="BI51" s="64" t="s">
        <v>257</v>
      </c>
      <c r="BJ51" s="122"/>
      <c r="BK51" s="71" t="s">
        <v>258</v>
      </c>
      <c r="BL51" s="74" t="str">
        <f>_xlfn.TEXTJOIN(" ", FALSE, 'Task 2a - Mitigating the Proble'!U51:AC51)</f>
        <v xml:space="preserve">0 1 1 1 1 1 0 0 </v>
      </c>
      <c r="BM51" s="65" t="s">
        <v>277</v>
      </c>
      <c r="BN51" s="70" t="str">
        <f t="shared" si="2"/>
        <v>[Details for Task 2a:]  /Question 12: 0 1 1 1 1 1 0 0  .</v>
      </c>
      <c r="BO51" s="64" t="s">
        <v>259</v>
      </c>
      <c r="BP51" s="122"/>
      <c r="BQ51" s="71" t="s">
        <v>260</v>
      </c>
      <c r="BR51" s="73" t="e">
        <f xml:space="preserve"> _xlfn.TEXTJOIN(" ", FALSE,#REF!)</f>
        <v>#REF!</v>
      </c>
      <c r="BS51" s="122"/>
      <c r="BT51" s="71" t="s">
        <v>261</v>
      </c>
      <c r="BU51" s="73" t="e">
        <f xml:space="preserve"> _xlfn.TEXTJOIN(" ", FALSE,#REF!)</f>
        <v>#REF!</v>
      </c>
      <c r="BV51" s="122"/>
      <c r="BW51" s="71" t="s">
        <v>262</v>
      </c>
      <c r="BX51" s="73" t="e">
        <f xml:space="preserve"> _xlfn.TEXTJOIN(" ", FALSE,#REF!)</f>
        <v>#REF!</v>
      </c>
      <c r="BY51" s="122"/>
      <c r="BZ51" s="71" t="s">
        <v>263</v>
      </c>
      <c r="CA51" s="73" t="e">
        <f xml:space="preserve"> _xlfn.TEXTJOIN(" ", FALSE,#REF!)</f>
        <v>#REF!</v>
      </c>
      <c r="CB51" s="122"/>
      <c r="CC51" s="71" t="s">
        <v>264</v>
      </c>
      <c r="CD51" s="73" t="e">
        <f xml:space="preserve"> _xlfn.TEXTJOIN(" ", FALSE,#REF!)</f>
        <v>#REF!</v>
      </c>
      <c r="CE51" s="122"/>
      <c r="CF51" s="71" t="s">
        <v>265</v>
      </c>
      <c r="CG51" s="73" t="e">
        <f xml:space="preserve"> _xlfn.TEXTJOIN(" ", FALSE,#REF!)</f>
        <v>#REF!</v>
      </c>
      <c r="CH51" s="122"/>
      <c r="CI51" s="74" t="s">
        <v>278</v>
      </c>
      <c r="CJ51" s="73" t="e">
        <f xml:space="preserve"> _xlfn.TEXTJOIN(" ", FALSE,#REF!)</f>
        <v>#REF!</v>
      </c>
      <c r="CK51" s="65" t="s">
        <v>277</v>
      </c>
      <c r="CL51" s="70" t="e">
        <f t="shared" si="3"/>
        <v>#REF!</v>
      </c>
      <c r="CM51" s="64" t="s">
        <v>267</v>
      </c>
      <c r="CN51" s="122"/>
      <c r="CO51" s="71" t="s">
        <v>268</v>
      </c>
      <c r="CP51" s="73" t="e">
        <f xml:space="preserve"> _xlfn.TEXTJOIN(" ", FALSE,#REF!)</f>
        <v>#REF!</v>
      </c>
      <c r="CQ51" s="122"/>
      <c r="CR51" s="71" t="s">
        <v>269</v>
      </c>
      <c r="CS51" s="73" t="e">
        <f xml:space="preserve"> _xlfn.TEXTJOIN(" ", FALSE,#REF!)</f>
        <v>#REF!</v>
      </c>
      <c r="CT51" s="122"/>
      <c r="CU51" s="71" t="s">
        <v>270</v>
      </c>
      <c r="CV51" s="72" t="e">
        <f xml:space="preserve"> _xlfn.TEXTJOIN(" ", FALSE,#REF!)</f>
        <v>#REF!</v>
      </c>
      <c r="CW51" s="122"/>
      <c r="CX51" s="71" t="s">
        <v>271</v>
      </c>
      <c r="CY51" s="72" t="e">
        <f xml:space="preserve"> _xlfn.TEXTJOIN(" ", FALSE,#REF!)</f>
        <v>#REF!</v>
      </c>
      <c r="CZ51" s="122"/>
      <c r="DA51" s="71" t="s">
        <v>272</v>
      </c>
      <c r="DB51" s="73" t="e">
        <f xml:space="preserve"> _xlfn.TEXTJOIN(" ", FALSE,#REF!)</f>
        <v>#REF!</v>
      </c>
      <c r="DC51" s="65" t="s">
        <v>277</v>
      </c>
      <c r="DD51" s="70" t="e">
        <f t="shared" si="4"/>
        <v>#REF!</v>
      </c>
      <c r="DE51" s="64" t="s">
        <v>273</v>
      </c>
      <c r="DF51" s="122"/>
      <c r="DG51" s="71" t="s">
        <v>274</v>
      </c>
      <c r="DH51" s="72" t="e">
        <f xml:space="preserve"> _xlfn.TEXTJOIN(" ", FALSE,#REF!)</f>
        <v>#REF!</v>
      </c>
      <c r="DI51" s="122"/>
      <c r="DJ51" s="71" t="s">
        <v>275</v>
      </c>
      <c r="DK51" s="73" t="e">
        <f xml:space="preserve"> _xlfn.TEXTJOIN(" ", FALSE,#REF!)</f>
        <v>#REF!</v>
      </c>
      <c r="DL51" s="65" t="s">
        <v>277</v>
      </c>
      <c r="DM51" s="70" t="e">
        <f t="shared" si="5"/>
        <v>#REF!</v>
      </c>
      <c r="DN51" s="70" t="e">
        <f t="shared" si="6"/>
        <v>#REF!</v>
      </c>
    </row>
    <row r="52" spans="1:118" ht="108" customHeight="1">
      <c r="A52" s="122" t="e">
        <f>Summary!A52</f>
        <v>#REF!</v>
      </c>
      <c r="B52" s="64" t="s">
        <v>233</v>
      </c>
      <c r="C52" s="65" t="e">
        <f>Summary!B52</f>
        <v>#REF!</v>
      </c>
      <c r="D52" s="122"/>
      <c r="E52" s="64" t="s">
        <v>235</v>
      </c>
      <c r="F52" s="132" t="e">
        <f>Summary!C52</f>
        <v>#REF!</v>
      </c>
      <c r="G52" s="64" t="s">
        <v>236</v>
      </c>
      <c r="H52" s="132" t="e">
        <f>Summary!D52</f>
        <v>#REF!</v>
      </c>
      <c r="I52" s="64" t="s">
        <v>237</v>
      </c>
      <c r="J52" s="66">
        <f>Summary!E52</f>
        <v>5</v>
      </c>
      <c r="K52" s="64" t="s">
        <v>238</v>
      </c>
      <c r="L52" s="132" t="e">
        <f>Summary!F52</f>
        <v>#REF!</v>
      </c>
      <c r="M52" s="64" t="s">
        <v>239</v>
      </c>
      <c r="N52" s="132" t="e">
        <f>Summary!G52</f>
        <v>#REF!</v>
      </c>
      <c r="O52" s="64" t="s">
        <v>240</v>
      </c>
      <c r="P52" s="132" t="e">
        <f>Summary!H52</f>
        <v>#REF!</v>
      </c>
      <c r="Q52" s="65" t="s">
        <v>277</v>
      </c>
      <c r="R52" s="70" t="e">
        <f t="shared" si="0"/>
        <v>#REF!</v>
      </c>
      <c r="S52" s="64" t="s">
        <v>243</v>
      </c>
      <c r="T52" s="122"/>
      <c r="U52" s="71" t="s">
        <v>244</v>
      </c>
      <c r="V52" s="72" t="e">
        <f xml:space="preserve"> _xlfn.TEXTJOIN(" ", FALSE,#REF!)</f>
        <v>#REF!</v>
      </c>
      <c r="W52" s="122"/>
      <c r="X52" s="71" t="s">
        <v>245</v>
      </c>
      <c r="Y52" s="72" t="e">
        <f xml:space="preserve"> _xlfn.TEXTJOIN(" ", FALSE,#REF!)</f>
        <v>#REF!</v>
      </c>
      <c r="Z52" s="122"/>
      <c r="AA52" s="71" t="s">
        <v>246</v>
      </c>
      <c r="AB52" s="72" t="e">
        <f xml:space="preserve"> _xlfn.TEXTJOIN(" ", FALSE,#REF!)</f>
        <v>#REF!</v>
      </c>
      <c r="AC52" s="122"/>
      <c r="AD52" s="71" t="s">
        <v>247</v>
      </c>
      <c r="AE52" s="72" t="e">
        <f xml:space="preserve"> _xlfn.TEXTJOIN(" ", FALSE,#REF!)</f>
        <v>#REF!</v>
      </c>
      <c r="AF52" s="122"/>
      <c r="AG52" s="71" t="s">
        <v>248</v>
      </c>
      <c r="AH52" s="73" t="e">
        <f xml:space="preserve"> _xlfn.TEXTJOIN(" ", FALSE,#REF!)</f>
        <v>#REF!</v>
      </c>
      <c r="AI52" s="122"/>
      <c r="AJ52" s="71" t="s">
        <v>249</v>
      </c>
      <c r="AK52" s="73" t="e">
        <f xml:space="preserve"> _xlfn.TEXTJOIN(" ", FALSE,#REF!)</f>
        <v>#REF!</v>
      </c>
      <c r="AL52" s="122"/>
      <c r="AM52" s="71" t="s">
        <v>250</v>
      </c>
      <c r="AN52" s="73" t="e">
        <f xml:space="preserve"> _xlfn.TEXTJOIN(" ", FALSE,#REF!)</f>
        <v>#REF!</v>
      </c>
      <c r="AO52" s="122"/>
      <c r="AP52" s="71" t="s">
        <v>251</v>
      </c>
      <c r="AQ52" s="72" t="e">
        <f xml:space="preserve"> _xlfn.TEXTJOIN(" ", FALSE,#REF!)</f>
        <v>#REF!</v>
      </c>
      <c r="AR52" s="122"/>
      <c r="AS52" s="71" t="s">
        <v>252</v>
      </c>
      <c r="AT52" s="72" t="e">
        <f xml:space="preserve"> _xlfn.TEXTJOIN(" ", FALSE,#REF!)</f>
        <v>#REF!</v>
      </c>
      <c r="AU52" s="122"/>
      <c r="AV52" s="71" t="s">
        <v>253</v>
      </c>
      <c r="AW52" s="73" t="e">
        <f xml:space="preserve"> _xlfn.TEXTJOIN(" ", FALSE,#REF!)</f>
        <v>#REF!</v>
      </c>
      <c r="AX52" s="122"/>
      <c r="AY52" s="71" t="s">
        <v>254</v>
      </c>
      <c r="AZ52" s="72" t="e">
        <f xml:space="preserve"> _xlfn.TEXTJOIN(" ", FALSE,#REF!)</f>
        <v>#REF!</v>
      </c>
      <c r="BA52" s="122"/>
      <c r="BB52" s="71" t="s">
        <v>255</v>
      </c>
      <c r="BC52" s="72" t="e">
        <f xml:space="preserve"> _xlfn.TEXTJOIN(" ", FALSE,#REF!)</f>
        <v>#REF!</v>
      </c>
      <c r="BD52" s="122"/>
      <c r="BE52" s="71" t="s">
        <v>256</v>
      </c>
      <c r="BF52" s="72" t="e">
        <f xml:space="preserve"> _xlfn.TEXTJOIN(" ", FALSE,#REF!)</f>
        <v>#REF!</v>
      </c>
      <c r="BG52" s="65" t="s">
        <v>277</v>
      </c>
      <c r="BH52" s="70" t="e">
        <f t="shared" si="1"/>
        <v>#REF!</v>
      </c>
      <c r="BI52" s="64" t="s">
        <v>257</v>
      </c>
      <c r="BJ52" s="122"/>
      <c r="BK52" s="71" t="s">
        <v>258</v>
      </c>
      <c r="BL52" s="74" t="str">
        <f>_xlfn.TEXTJOIN(" ", FALSE, 'Task 2a - Mitigating the Proble'!U52:AC52)</f>
        <v xml:space="preserve">0 0 1 1 0 1 0 0 </v>
      </c>
      <c r="BM52" s="65" t="s">
        <v>277</v>
      </c>
      <c r="BN52" s="70" t="str">
        <f t="shared" si="2"/>
        <v>[Details for Task 2a:]  /Question 12: 0 0 1 1 0 1 0 0  .</v>
      </c>
      <c r="BO52" s="64" t="s">
        <v>259</v>
      </c>
      <c r="BP52" s="122"/>
      <c r="BQ52" s="71" t="s">
        <v>260</v>
      </c>
      <c r="BR52" s="73" t="e">
        <f xml:space="preserve"> _xlfn.TEXTJOIN(" ", FALSE,#REF!)</f>
        <v>#REF!</v>
      </c>
      <c r="BS52" s="122"/>
      <c r="BT52" s="71" t="s">
        <v>261</v>
      </c>
      <c r="BU52" s="73" t="e">
        <f xml:space="preserve"> _xlfn.TEXTJOIN(" ", FALSE,#REF!)</f>
        <v>#REF!</v>
      </c>
      <c r="BV52" s="122"/>
      <c r="BW52" s="71" t="s">
        <v>262</v>
      </c>
      <c r="BX52" s="73" t="e">
        <f xml:space="preserve"> _xlfn.TEXTJOIN(" ", FALSE,#REF!)</f>
        <v>#REF!</v>
      </c>
      <c r="BY52" s="122"/>
      <c r="BZ52" s="71" t="s">
        <v>263</v>
      </c>
      <c r="CA52" s="73" t="e">
        <f xml:space="preserve"> _xlfn.TEXTJOIN(" ", FALSE,#REF!)</f>
        <v>#REF!</v>
      </c>
      <c r="CB52" s="122"/>
      <c r="CC52" s="71" t="s">
        <v>264</v>
      </c>
      <c r="CD52" s="73" t="e">
        <f xml:space="preserve"> _xlfn.TEXTJOIN(" ", FALSE,#REF!)</f>
        <v>#REF!</v>
      </c>
      <c r="CE52" s="122"/>
      <c r="CF52" s="71" t="s">
        <v>265</v>
      </c>
      <c r="CG52" s="73" t="e">
        <f xml:space="preserve"> _xlfn.TEXTJOIN(" ", FALSE,#REF!)</f>
        <v>#REF!</v>
      </c>
      <c r="CH52" s="122"/>
      <c r="CI52" s="74" t="s">
        <v>278</v>
      </c>
      <c r="CJ52" s="73" t="e">
        <f xml:space="preserve"> _xlfn.TEXTJOIN(" ", FALSE,#REF!)</f>
        <v>#REF!</v>
      </c>
      <c r="CK52" s="65" t="s">
        <v>277</v>
      </c>
      <c r="CL52" s="70" t="e">
        <f t="shared" si="3"/>
        <v>#REF!</v>
      </c>
      <c r="CM52" s="64" t="s">
        <v>267</v>
      </c>
      <c r="CN52" s="122"/>
      <c r="CO52" s="71" t="s">
        <v>268</v>
      </c>
      <c r="CP52" s="73" t="e">
        <f xml:space="preserve"> _xlfn.TEXTJOIN(" ", FALSE,#REF!)</f>
        <v>#REF!</v>
      </c>
      <c r="CQ52" s="122"/>
      <c r="CR52" s="71" t="s">
        <v>269</v>
      </c>
      <c r="CS52" s="73" t="e">
        <f xml:space="preserve"> _xlfn.TEXTJOIN(" ", FALSE,#REF!)</f>
        <v>#REF!</v>
      </c>
      <c r="CT52" s="122"/>
      <c r="CU52" s="71" t="s">
        <v>270</v>
      </c>
      <c r="CV52" s="72" t="e">
        <f xml:space="preserve"> _xlfn.TEXTJOIN(" ", FALSE,#REF!)</f>
        <v>#REF!</v>
      </c>
      <c r="CW52" s="122"/>
      <c r="CX52" s="71" t="s">
        <v>271</v>
      </c>
      <c r="CY52" s="72" t="e">
        <f xml:space="preserve"> _xlfn.TEXTJOIN(" ", FALSE,#REF!)</f>
        <v>#REF!</v>
      </c>
      <c r="CZ52" s="122"/>
      <c r="DA52" s="71" t="s">
        <v>272</v>
      </c>
      <c r="DB52" s="73" t="e">
        <f xml:space="preserve"> _xlfn.TEXTJOIN(" ", FALSE,#REF!)</f>
        <v>#REF!</v>
      </c>
      <c r="DC52" s="65" t="s">
        <v>277</v>
      </c>
      <c r="DD52" s="70" t="e">
        <f t="shared" si="4"/>
        <v>#REF!</v>
      </c>
      <c r="DE52" s="64" t="s">
        <v>273</v>
      </c>
      <c r="DF52" s="122"/>
      <c r="DG52" s="71" t="s">
        <v>274</v>
      </c>
      <c r="DH52" s="72" t="e">
        <f xml:space="preserve"> _xlfn.TEXTJOIN(" ", FALSE,#REF!)</f>
        <v>#REF!</v>
      </c>
      <c r="DI52" s="122"/>
      <c r="DJ52" s="71" t="s">
        <v>275</v>
      </c>
      <c r="DK52" s="73" t="e">
        <f xml:space="preserve"> _xlfn.TEXTJOIN(" ", FALSE,#REF!)</f>
        <v>#REF!</v>
      </c>
      <c r="DL52" s="65" t="s">
        <v>277</v>
      </c>
      <c r="DM52" s="70" t="e">
        <f t="shared" si="5"/>
        <v>#REF!</v>
      </c>
      <c r="DN52" s="70" t="e">
        <f t="shared" si="6"/>
        <v>#REF!</v>
      </c>
    </row>
    <row r="53" spans="1:118" ht="108" customHeight="1">
      <c r="A53" s="122" t="e">
        <f>Summary!A53</f>
        <v>#REF!</v>
      </c>
      <c r="B53" s="64" t="s">
        <v>233</v>
      </c>
      <c r="C53" s="65" t="e">
        <f>Summary!B53</f>
        <v>#REF!</v>
      </c>
      <c r="D53" s="122"/>
      <c r="E53" s="64" t="s">
        <v>235</v>
      </c>
      <c r="F53" s="132" t="e">
        <f>Summary!C53</f>
        <v>#REF!</v>
      </c>
      <c r="G53" s="64" t="s">
        <v>236</v>
      </c>
      <c r="H53" s="132" t="e">
        <f>Summary!D53</f>
        <v>#REF!</v>
      </c>
      <c r="I53" s="64" t="s">
        <v>237</v>
      </c>
      <c r="J53" s="66">
        <f>Summary!E53</f>
        <v>4</v>
      </c>
      <c r="K53" s="64" t="s">
        <v>238</v>
      </c>
      <c r="L53" s="132" t="e">
        <f>Summary!F53</f>
        <v>#REF!</v>
      </c>
      <c r="M53" s="64" t="s">
        <v>239</v>
      </c>
      <c r="N53" s="132" t="e">
        <f>Summary!G53</f>
        <v>#REF!</v>
      </c>
      <c r="O53" s="64" t="s">
        <v>240</v>
      </c>
      <c r="P53" s="132" t="e">
        <f>Summary!H53</f>
        <v>#REF!</v>
      </c>
      <c r="Q53" s="65" t="s">
        <v>277</v>
      </c>
      <c r="R53" s="70" t="e">
        <f t="shared" si="0"/>
        <v>#REF!</v>
      </c>
      <c r="S53" s="64" t="s">
        <v>243</v>
      </c>
      <c r="T53" s="122"/>
      <c r="U53" s="71" t="s">
        <v>244</v>
      </c>
      <c r="V53" s="72" t="e">
        <f xml:space="preserve"> _xlfn.TEXTJOIN(" ", FALSE,#REF!)</f>
        <v>#REF!</v>
      </c>
      <c r="W53" s="122"/>
      <c r="X53" s="71" t="s">
        <v>245</v>
      </c>
      <c r="Y53" s="72" t="e">
        <f xml:space="preserve"> _xlfn.TEXTJOIN(" ", FALSE,#REF!)</f>
        <v>#REF!</v>
      </c>
      <c r="Z53" s="122"/>
      <c r="AA53" s="71" t="s">
        <v>246</v>
      </c>
      <c r="AB53" s="72" t="e">
        <f xml:space="preserve"> _xlfn.TEXTJOIN(" ", FALSE,#REF!)</f>
        <v>#REF!</v>
      </c>
      <c r="AC53" s="122"/>
      <c r="AD53" s="71" t="s">
        <v>247</v>
      </c>
      <c r="AE53" s="72" t="e">
        <f xml:space="preserve"> _xlfn.TEXTJOIN(" ", FALSE,#REF!)</f>
        <v>#REF!</v>
      </c>
      <c r="AF53" s="122"/>
      <c r="AG53" s="71" t="s">
        <v>248</v>
      </c>
      <c r="AH53" s="73" t="e">
        <f xml:space="preserve"> _xlfn.TEXTJOIN(" ", FALSE,#REF!)</f>
        <v>#REF!</v>
      </c>
      <c r="AI53" s="122"/>
      <c r="AJ53" s="71" t="s">
        <v>249</v>
      </c>
      <c r="AK53" s="73" t="e">
        <f xml:space="preserve"> _xlfn.TEXTJOIN(" ", FALSE,#REF!)</f>
        <v>#REF!</v>
      </c>
      <c r="AL53" s="122"/>
      <c r="AM53" s="71" t="s">
        <v>250</v>
      </c>
      <c r="AN53" s="73" t="e">
        <f xml:space="preserve"> _xlfn.TEXTJOIN(" ", FALSE,#REF!)</f>
        <v>#REF!</v>
      </c>
      <c r="AO53" s="122"/>
      <c r="AP53" s="71" t="s">
        <v>251</v>
      </c>
      <c r="AQ53" s="72" t="e">
        <f xml:space="preserve"> _xlfn.TEXTJOIN(" ", FALSE,#REF!)</f>
        <v>#REF!</v>
      </c>
      <c r="AR53" s="122"/>
      <c r="AS53" s="71" t="s">
        <v>252</v>
      </c>
      <c r="AT53" s="72" t="e">
        <f xml:space="preserve"> _xlfn.TEXTJOIN(" ", FALSE,#REF!)</f>
        <v>#REF!</v>
      </c>
      <c r="AU53" s="122"/>
      <c r="AV53" s="71" t="s">
        <v>253</v>
      </c>
      <c r="AW53" s="73" t="e">
        <f xml:space="preserve"> _xlfn.TEXTJOIN(" ", FALSE,#REF!)</f>
        <v>#REF!</v>
      </c>
      <c r="AX53" s="122"/>
      <c r="AY53" s="71" t="s">
        <v>254</v>
      </c>
      <c r="AZ53" s="72" t="e">
        <f xml:space="preserve"> _xlfn.TEXTJOIN(" ", FALSE,#REF!)</f>
        <v>#REF!</v>
      </c>
      <c r="BA53" s="122"/>
      <c r="BB53" s="71" t="s">
        <v>255</v>
      </c>
      <c r="BC53" s="72" t="e">
        <f xml:space="preserve"> _xlfn.TEXTJOIN(" ", FALSE,#REF!)</f>
        <v>#REF!</v>
      </c>
      <c r="BD53" s="122"/>
      <c r="BE53" s="71" t="s">
        <v>256</v>
      </c>
      <c r="BF53" s="72" t="e">
        <f xml:space="preserve"> _xlfn.TEXTJOIN(" ", FALSE,#REF!)</f>
        <v>#REF!</v>
      </c>
      <c r="BG53" s="65" t="s">
        <v>277</v>
      </c>
      <c r="BH53" s="70" t="e">
        <f t="shared" si="1"/>
        <v>#REF!</v>
      </c>
      <c r="BI53" s="64" t="s">
        <v>257</v>
      </c>
      <c r="BJ53" s="122"/>
      <c r="BK53" s="71" t="s">
        <v>258</v>
      </c>
      <c r="BL53" s="74" t="str">
        <f>_xlfn.TEXTJOIN(" ", FALSE, 'Task 2a - Mitigating the Proble'!U53:AC53)</f>
        <v>1 0 0 0 0 0 0 0 You start discussing individual benefits. A discussion of their interplay would have ben meaningful. Other than that, this was about the "how".</v>
      </c>
      <c r="BM53" s="65" t="s">
        <v>277</v>
      </c>
      <c r="BN53" s="70" t="str">
        <f t="shared" si="2"/>
        <v>[Details for Task 2a:]  /Question 12: 1 0 0 0 0 0 0 0 You start discussing individual benefits. A discussion of their interplay would have ben meaningful. Other than that, this was about the "how". .</v>
      </c>
      <c r="BO53" s="64" t="s">
        <v>259</v>
      </c>
      <c r="BP53" s="122"/>
      <c r="BQ53" s="71" t="s">
        <v>260</v>
      </c>
      <c r="BR53" s="73" t="e">
        <f xml:space="preserve"> _xlfn.TEXTJOIN(" ", FALSE,#REF!)</f>
        <v>#REF!</v>
      </c>
      <c r="BS53" s="122"/>
      <c r="BT53" s="71" t="s">
        <v>261</v>
      </c>
      <c r="BU53" s="73" t="e">
        <f xml:space="preserve"> _xlfn.TEXTJOIN(" ", FALSE,#REF!)</f>
        <v>#REF!</v>
      </c>
      <c r="BV53" s="122"/>
      <c r="BW53" s="71" t="s">
        <v>262</v>
      </c>
      <c r="BX53" s="73" t="e">
        <f xml:space="preserve"> _xlfn.TEXTJOIN(" ", FALSE,#REF!)</f>
        <v>#REF!</v>
      </c>
      <c r="BY53" s="122"/>
      <c r="BZ53" s="71" t="s">
        <v>263</v>
      </c>
      <c r="CA53" s="73" t="e">
        <f xml:space="preserve"> _xlfn.TEXTJOIN(" ", FALSE,#REF!)</f>
        <v>#REF!</v>
      </c>
      <c r="CB53" s="122"/>
      <c r="CC53" s="71" t="s">
        <v>264</v>
      </c>
      <c r="CD53" s="73" t="e">
        <f xml:space="preserve"> _xlfn.TEXTJOIN(" ", FALSE,#REF!)</f>
        <v>#REF!</v>
      </c>
      <c r="CE53" s="122"/>
      <c r="CF53" s="71" t="s">
        <v>265</v>
      </c>
      <c r="CG53" s="73" t="e">
        <f xml:space="preserve"> _xlfn.TEXTJOIN(" ", FALSE,#REF!)</f>
        <v>#REF!</v>
      </c>
      <c r="CH53" s="122"/>
      <c r="CI53" s="74" t="s">
        <v>278</v>
      </c>
      <c r="CJ53" s="73" t="e">
        <f xml:space="preserve"> _xlfn.TEXTJOIN(" ", FALSE,#REF!)</f>
        <v>#REF!</v>
      </c>
      <c r="CK53" s="65" t="s">
        <v>277</v>
      </c>
      <c r="CL53" s="70" t="e">
        <f t="shared" si="3"/>
        <v>#REF!</v>
      </c>
      <c r="CM53" s="64" t="s">
        <v>267</v>
      </c>
      <c r="CN53" s="122"/>
      <c r="CO53" s="71" t="s">
        <v>268</v>
      </c>
      <c r="CP53" s="73" t="e">
        <f xml:space="preserve"> _xlfn.TEXTJOIN(" ", FALSE,#REF!)</f>
        <v>#REF!</v>
      </c>
      <c r="CQ53" s="122"/>
      <c r="CR53" s="71" t="s">
        <v>269</v>
      </c>
      <c r="CS53" s="73" t="e">
        <f xml:space="preserve"> _xlfn.TEXTJOIN(" ", FALSE,#REF!)</f>
        <v>#REF!</v>
      </c>
      <c r="CT53" s="122"/>
      <c r="CU53" s="71" t="s">
        <v>270</v>
      </c>
      <c r="CV53" s="72" t="e">
        <f xml:space="preserve"> _xlfn.TEXTJOIN(" ", FALSE,#REF!)</f>
        <v>#REF!</v>
      </c>
      <c r="CW53" s="122"/>
      <c r="CX53" s="71" t="s">
        <v>271</v>
      </c>
      <c r="CY53" s="72" t="e">
        <f xml:space="preserve"> _xlfn.TEXTJOIN(" ", FALSE,#REF!)</f>
        <v>#REF!</v>
      </c>
      <c r="CZ53" s="122"/>
      <c r="DA53" s="71" t="s">
        <v>272</v>
      </c>
      <c r="DB53" s="73" t="e">
        <f xml:space="preserve"> _xlfn.TEXTJOIN(" ", FALSE,#REF!)</f>
        <v>#REF!</v>
      </c>
      <c r="DC53" s="65" t="s">
        <v>277</v>
      </c>
      <c r="DD53" s="70" t="e">
        <f t="shared" si="4"/>
        <v>#REF!</v>
      </c>
      <c r="DE53" s="64" t="s">
        <v>273</v>
      </c>
      <c r="DF53" s="122"/>
      <c r="DG53" s="71" t="s">
        <v>274</v>
      </c>
      <c r="DH53" s="72" t="e">
        <f xml:space="preserve"> _xlfn.TEXTJOIN(" ", FALSE,#REF!)</f>
        <v>#REF!</v>
      </c>
      <c r="DI53" s="122"/>
      <c r="DJ53" s="71" t="s">
        <v>275</v>
      </c>
      <c r="DK53" s="73" t="e">
        <f xml:space="preserve"> _xlfn.TEXTJOIN(" ", FALSE,#REF!)</f>
        <v>#REF!</v>
      </c>
      <c r="DL53" s="65" t="s">
        <v>277</v>
      </c>
      <c r="DM53" s="70" t="e">
        <f t="shared" si="5"/>
        <v>#REF!</v>
      </c>
      <c r="DN53" s="70" t="e">
        <f t="shared" si="6"/>
        <v>#REF!</v>
      </c>
    </row>
    <row r="54" spans="1:118" ht="108" customHeight="1">
      <c r="A54" s="122" t="e">
        <f>Summary!A54</f>
        <v>#REF!</v>
      </c>
      <c r="B54" s="64" t="s">
        <v>233</v>
      </c>
      <c r="C54" s="65" t="e">
        <f>Summary!B54</f>
        <v>#REF!</v>
      </c>
      <c r="D54" s="122"/>
      <c r="E54" s="64" t="s">
        <v>235</v>
      </c>
      <c r="F54" s="132" t="e">
        <f>Summary!C54</f>
        <v>#REF!</v>
      </c>
      <c r="G54" s="64" t="s">
        <v>236</v>
      </c>
      <c r="H54" s="132" t="e">
        <f>Summary!D54</f>
        <v>#REF!</v>
      </c>
      <c r="I54" s="64" t="s">
        <v>237</v>
      </c>
      <c r="J54" s="66">
        <f>Summary!E54</f>
        <v>5</v>
      </c>
      <c r="K54" s="64" t="s">
        <v>238</v>
      </c>
      <c r="L54" s="132" t="e">
        <f>Summary!F54</f>
        <v>#REF!</v>
      </c>
      <c r="M54" s="64" t="s">
        <v>239</v>
      </c>
      <c r="N54" s="132" t="e">
        <f>Summary!G54</f>
        <v>#REF!</v>
      </c>
      <c r="O54" s="64" t="s">
        <v>240</v>
      </c>
      <c r="P54" s="132" t="e">
        <f>Summary!H54</f>
        <v>#REF!</v>
      </c>
      <c r="Q54" s="65" t="s">
        <v>277</v>
      </c>
      <c r="R54" s="70" t="e">
        <f t="shared" si="0"/>
        <v>#REF!</v>
      </c>
      <c r="S54" s="64" t="s">
        <v>243</v>
      </c>
      <c r="T54" s="122"/>
      <c r="U54" s="71" t="s">
        <v>244</v>
      </c>
      <c r="V54" s="72" t="e">
        <f xml:space="preserve"> _xlfn.TEXTJOIN(" ", FALSE,#REF!)</f>
        <v>#REF!</v>
      </c>
      <c r="W54" s="122"/>
      <c r="X54" s="71" t="s">
        <v>245</v>
      </c>
      <c r="Y54" s="72" t="e">
        <f xml:space="preserve"> _xlfn.TEXTJOIN(" ", FALSE,#REF!)</f>
        <v>#REF!</v>
      </c>
      <c r="Z54" s="122"/>
      <c r="AA54" s="71" t="s">
        <v>246</v>
      </c>
      <c r="AB54" s="72" t="e">
        <f xml:space="preserve"> _xlfn.TEXTJOIN(" ", FALSE,#REF!)</f>
        <v>#REF!</v>
      </c>
      <c r="AC54" s="122"/>
      <c r="AD54" s="71" t="s">
        <v>247</v>
      </c>
      <c r="AE54" s="72" t="e">
        <f xml:space="preserve"> _xlfn.TEXTJOIN(" ", FALSE,#REF!)</f>
        <v>#REF!</v>
      </c>
      <c r="AF54" s="122"/>
      <c r="AG54" s="71" t="s">
        <v>248</v>
      </c>
      <c r="AH54" s="73" t="e">
        <f xml:space="preserve"> _xlfn.TEXTJOIN(" ", FALSE,#REF!)</f>
        <v>#REF!</v>
      </c>
      <c r="AI54" s="122"/>
      <c r="AJ54" s="71" t="s">
        <v>249</v>
      </c>
      <c r="AK54" s="73" t="e">
        <f xml:space="preserve"> _xlfn.TEXTJOIN(" ", FALSE,#REF!)</f>
        <v>#REF!</v>
      </c>
      <c r="AL54" s="122"/>
      <c r="AM54" s="71" t="s">
        <v>250</v>
      </c>
      <c r="AN54" s="73" t="e">
        <f xml:space="preserve"> _xlfn.TEXTJOIN(" ", FALSE,#REF!)</f>
        <v>#REF!</v>
      </c>
      <c r="AO54" s="122"/>
      <c r="AP54" s="71" t="s">
        <v>251</v>
      </c>
      <c r="AQ54" s="72" t="e">
        <f xml:space="preserve"> _xlfn.TEXTJOIN(" ", FALSE,#REF!)</f>
        <v>#REF!</v>
      </c>
      <c r="AR54" s="122"/>
      <c r="AS54" s="71" t="s">
        <v>252</v>
      </c>
      <c r="AT54" s="72" t="e">
        <f xml:space="preserve"> _xlfn.TEXTJOIN(" ", FALSE,#REF!)</f>
        <v>#REF!</v>
      </c>
      <c r="AU54" s="122"/>
      <c r="AV54" s="71" t="s">
        <v>253</v>
      </c>
      <c r="AW54" s="73" t="e">
        <f xml:space="preserve"> _xlfn.TEXTJOIN(" ", FALSE,#REF!)</f>
        <v>#REF!</v>
      </c>
      <c r="AX54" s="122"/>
      <c r="AY54" s="71" t="s">
        <v>254</v>
      </c>
      <c r="AZ54" s="72" t="e">
        <f xml:space="preserve"> _xlfn.TEXTJOIN(" ", FALSE,#REF!)</f>
        <v>#REF!</v>
      </c>
      <c r="BA54" s="122"/>
      <c r="BB54" s="71" t="s">
        <v>255</v>
      </c>
      <c r="BC54" s="72" t="e">
        <f xml:space="preserve"> _xlfn.TEXTJOIN(" ", FALSE,#REF!)</f>
        <v>#REF!</v>
      </c>
      <c r="BD54" s="122"/>
      <c r="BE54" s="71" t="s">
        <v>256</v>
      </c>
      <c r="BF54" s="72" t="e">
        <f xml:space="preserve"> _xlfn.TEXTJOIN(" ", FALSE,#REF!)</f>
        <v>#REF!</v>
      </c>
      <c r="BG54" s="65" t="s">
        <v>277</v>
      </c>
      <c r="BH54" s="70" t="e">
        <f t="shared" si="1"/>
        <v>#REF!</v>
      </c>
      <c r="BI54" s="64" t="s">
        <v>257</v>
      </c>
      <c r="BJ54" s="122"/>
      <c r="BK54" s="71" t="s">
        <v>258</v>
      </c>
      <c r="BL54" s="74" t="str">
        <f>_xlfn.TEXTJOIN(" ", FALSE, 'Task 2a - Mitigating the Proble'!U54:AC54)</f>
        <v xml:space="preserve">0 0 1 0 1 1 0 0 </v>
      </c>
      <c r="BM54" s="65" t="s">
        <v>277</v>
      </c>
      <c r="BN54" s="70" t="str">
        <f t="shared" si="2"/>
        <v>[Details for Task 2a:]  /Question 12: 0 0 1 0 1 1 0 0  .</v>
      </c>
      <c r="BO54" s="64" t="s">
        <v>259</v>
      </c>
      <c r="BP54" s="122"/>
      <c r="BQ54" s="71" t="s">
        <v>260</v>
      </c>
      <c r="BR54" s="73" t="e">
        <f xml:space="preserve"> _xlfn.TEXTJOIN(" ", FALSE,#REF!)</f>
        <v>#REF!</v>
      </c>
      <c r="BS54" s="122"/>
      <c r="BT54" s="71" t="s">
        <v>261</v>
      </c>
      <c r="BU54" s="73" t="e">
        <f xml:space="preserve"> _xlfn.TEXTJOIN(" ", FALSE,#REF!)</f>
        <v>#REF!</v>
      </c>
      <c r="BV54" s="122"/>
      <c r="BW54" s="71" t="s">
        <v>262</v>
      </c>
      <c r="BX54" s="73" t="e">
        <f xml:space="preserve"> _xlfn.TEXTJOIN(" ", FALSE,#REF!)</f>
        <v>#REF!</v>
      </c>
      <c r="BY54" s="122"/>
      <c r="BZ54" s="71" t="s">
        <v>263</v>
      </c>
      <c r="CA54" s="73" t="e">
        <f xml:space="preserve"> _xlfn.TEXTJOIN(" ", FALSE,#REF!)</f>
        <v>#REF!</v>
      </c>
      <c r="CB54" s="122"/>
      <c r="CC54" s="71" t="s">
        <v>264</v>
      </c>
      <c r="CD54" s="73" t="e">
        <f xml:space="preserve"> _xlfn.TEXTJOIN(" ", FALSE,#REF!)</f>
        <v>#REF!</v>
      </c>
      <c r="CE54" s="122"/>
      <c r="CF54" s="71" t="s">
        <v>265</v>
      </c>
      <c r="CG54" s="73" t="e">
        <f xml:space="preserve"> _xlfn.TEXTJOIN(" ", FALSE,#REF!)</f>
        <v>#REF!</v>
      </c>
      <c r="CH54" s="122"/>
      <c r="CI54" s="74" t="s">
        <v>278</v>
      </c>
      <c r="CJ54" s="73" t="e">
        <f xml:space="preserve"> _xlfn.TEXTJOIN(" ", FALSE,#REF!)</f>
        <v>#REF!</v>
      </c>
      <c r="CK54" s="65" t="s">
        <v>277</v>
      </c>
      <c r="CL54" s="70" t="e">
        <f t="shared" si="3"/>
        <v>#REF!</v>
      </c>
      <c r="CM54" s="64" t="s">
        <v>267</v>
      </c>
      <c r="CN54" s="122"/>
      <c r="CO54" s="71" t="s">
        <v>268</v>
      </c>
      <c r="CP54" s="73" t="e">
        <f xml:space="preserve"> _xlfn.TEXTJOIN(" ", FALSE,#REF!)</f>
        <v>#REF!</v>
      </c>
      <c r="CQ54" s="122"/>
      <c r="CR54" s="71" t="s">
        <v>269</v>
      </c>
      <c r="CS54" s="73" t="e">
        <f xml:space="preserve"> _xlfn.TEXTJOIN(" ", FALSE,#REF!)</f>
        <v>#REF!</v>
      </c>
      <c r="CT54" s="122"/>
      <c r="CU54" s="71" t="s">
        <v>270</v>
      </c>
      <c r="CV54" s="72" t="e">
        <f xml:space="preserve"> _xlfn.TEXTJOIN(" ", FALSE,#REF!)</f>
        <v>#REF!</v>
      </c>
      <c r="CW54" s="122"/>
      <c r="CX54" s="71" t="s">
        <v>271</v>
      </c>
      <c r="CY54" s="72" t="e">
        <f xml:space="preserve"> _xlfn.TEXTJOIN(" ", FALSE,#REF!)</f>
        <v>#REF!</v>
      </c>
      <c r="CZ54" s="122"/>
      <c r="DA54" s="71" t="s">
        <v>272</v>
      </c>
      <c r="DB54" s="73" t="e">
        <f xml:space="preserve"> _xlfn.TEXTJOIN(" ", FALSE,#REF!)</f>
        <v>#REF!</v>
      </c>
      <c r="DC54" s="65" t="s">
        <v>277</v>
      </c>
      <c r="DD54" s="70" t="e">
        <f t="shared" si="4"/>
        <v>#REF!</v>
      </c>
      <c r="DE54" s="64" t="s">
        <v>273</v>
      </c>
      <c r="DF54" s="122"/>
      <c r="DG54" s="71" t="s">
        <v>274</v>
      </c>
      <c r="DH54" s="72" t="e">
        <f xml:space="preserve"> _xlfn.TEXTJOIN(" ", FALSE,#REF!)</f>
        <v>#REF!</v>
      </c>
      <c r="DI54" s="122"/>
      <c r="DJ54" s="71" t="s">
        <v>275</v>
      </c>
      <c r="DK54" s="73" t="e">
        <f xml:space="preserve"> _xlfn.TEXTJOIN(" ", FALSE,#REF!)</f>
        <v>#REF!</v>
      </c>
      <c r="DL54" s="65" t="s">
        <v>277</v>
      </c>
      <c r="DM54" s="70" t="e">
        <f t="shared" si="5"/>
        <v>#REF!</v>
      </c>
      <c r="DN54" s="70" t="e">
        <f t="shared" si="6"/>
        <v>#REF!</v>
      </c>
    </row>
    <row r="55" spans="1:118" ht="108" customHeight="1">
      <c r="A55" s="122" t="e">
        <f>Summary!A55</f>
        <v>#REF!</v>
      </c>
      <c r="B55" s="64" t="s">
        <v>233</v>
      </c>
      <c r="C55" s="65" t="e">
        <f>Summary!B55</f>
        <v>#REF!</v>
      </c>
      <c r="D55" s="122"/>
      <c r="E55" s="64" t="s">
        <v>235</v>
      </c>
      <c r="F55" s="132" t="e">
        <f>Summary!C55</f>
        <v>#REF!</v>
      </c>
      <c r="G55" s="64" t="s">
        <v>236</v>
      </c>
      <c r="H55" s="132" t="e">
        <f>Summary!D55</f>
        <v>#REF!</v>
      </c>
      <c r="I55" s="64" t="s">
        <v>237</v>
      </c>
      <c r="J55" s="66">
        <f>Summary!E55</f>
        <v>5</v>
      </c>
      <c r="K55" s="64" t="s">
        <v>238</v>
      </c>
      <c r="L55" s="132" t="e">
        <f>Summary!F55</f>
        <v>#REF!</v>
      </c>
      <c r="M55" s="64" t="s">
        <v>239</v>
      </c>
      <c r="N55" s="132" t="e">
        <f>Summary!G55</f>
        <v>#REF!</v>
      </c>
      <c r="O55" s="64" t="s">
        <v>240</v>
      </c>
      <c r="P55" s="132" t="e">
        <f>Summary!H55</f>
        <v>#REF!</v>
      </c>
      <c r="Q55" s="65" t="s">
        <v>277</v>
      </c>
      <c r="R55" s="70" t="e">
        <f t="shared" si="0"/>
        <v>#REF!</v>
      </c>
      <c r="S55" s="64" t="s">
        <v>243</v>
      </c>
      <c r="T55" s="122"/>
      <c r="U55" s="71" t="s">
        <v>244</v>
      </c>
      <c r="V55" s="72" t="e">
        <f xml:space="preserve"> _xlfn.TEXTJOIN(" ", FALSE,#REF!)</f>
        <v>#REF!</v>
      </c>
      <c r="W55" s="122"/>
      <c r="X55" s="71" t="s">
        <v>245</v>
      </c>
      <c r="Y55" s="72" t="e">
        <f xml:space="preserve"> _xlfn.TEXTJOIN(" ", FALSE,#REF!)</f>
        <v>#REF!</v>
      </c>
      <c r="Z55" s="122"/>
      <c r="AA55" s="71" t="s">
        <v>246</v>
      </c>
      <c r="AB55" s="72" t="e">
        <f xml:space="preserve"> _xlfn.TEXTJOIN(" ", FALSE,#REF!)</f>
        <v>#REF!</v>
      </c>
      <c r="AC55" s="122"/>
      <c r="AD55" s="71" t="s">
        <v>247</v>
      </c>
      <c r="AE55" s="72" t="e">
        <f xml:space="preserve"> _xlfn.TEXTJOIN(" ", FALSE,#REF!)</f>
        <v>#REF!</v>
      </c>
      <c r="AF55" s="122"/>
      <c r="AG55" s="71" t="s">
        <v>248</v>
      </c>
      <c r="AH55" s="73" t="e">
        <f xml:space="preserve"> _xlfn.TEXTJOIN(" ", FALSE,#REF!)</f>
        <v>#REF!</v>
      </c>
      <c r="AI55" s="122"/>
      <c r="AJ55" s="71" t="s">
        <v>249</v>
      </c>
      <c r="AK55" s="73" t="e">
        <f xml:space="preserve"> _xlfn.TEXTJOIN(" ", FALSE,#REF!)</f>
        <v>#REF!</v>
      </c>
      <c r="AL55" s="122"/>
      <c r="AM55" s="71" t="s">
        <v>250</v>
      </c>
      <c r="AN55" s="73" t="e">
        <f xml:space="preserve"> _xlfn.TEXTJOIN(" ", FALSE,#REF!)</f>
        <v>#REF!</v>
      </c>
      <c r="AO55" s="122"/>
      <c r="AP55" s="71" t="s">
        <v>251</v>
      </c>
      <c r="AQ55" s="72" t="e">
        <f xml:space="preserve"> _xlfn.TEXTJOIN(" ", FALSE,#REF!)</f>
        <v>#REF!</v>
      </c>
      <c r="AR55" s="122"/>
      <c r="AS55" s="71" t="s">
        <v>252</v>
      </c>
      <c r="AT55" s="72" t="e">
        <f xml:space="preserve"> _xlfn.TEXTJOIN(" ", FALSE,#REF!)</f>
        <v>#REF!</v>
      </c>
      <c r="AU55" s="122"/>
      <c r="AV55" s="71" t="s">
        <v>253</v>
      </c>
      <c r="AW55" s="73" t="e">
        <f xml:space="preserve"> _xlfn.TEXTJOIN(" ", FALSE,#REF!)</f>
        <v>#REF!</v>
      </c>
      <c r="AX55" s="122"/>
      <c r="AY55" s="71" t="s">
        <v>254</v>
      </c>
      <c r="AZ55" s="72" t="e">
        <f xml:space="preserve"> _xlfn.TEXTJOIN(" ", FALSE,#REF!)</f>
        <v>#REF!</v>
      </c>
      <c r="BA55" s="122"/>
      <c r="BB55" s="71" t="s">
        <v>255</v>
      </c>
      <c r="BC55" s="72" t="e">
        <f xml:space="preserve"> _xlfn.TEXTJOIN(" ", FALSE,#REF!)</f>
        <v>#REF!</v>
      </c>
      <c r="BD55" s="122"/>
      <c r="BE55" s="71" t="s">
        <v>256</v>
      </c>
      <c r="BF55" s="72" t="e">
        <f xml:space="preserve"> _xlfn.TEXTJOIN(" ", FALSE,#REF!)</f>
        <v>#REF!</v>
      </c>
      <c r="BG55" s="65" t="s">
        <v>277</v>
      </c>
      <c r="BH55" s="70" t="e">
        <f t="shared" si="1"/>
        <v>#REF!</v>
      </c>
      <c r="BI55" s="64" t="s">
        <v>257</v>
      </c>
      <c r="BJ55" s="122"/>
      <c r="BK55" s="71" t="s">
        <v>258</v>
      </c>
      <c r="BL55" s="74" t="str">
        <f>_xlfn.TEXTJOIN(" ", FALSE, 'Task 2a - Mitigating the Proble'!U55:AC55)</f>
        <v xml:space="preserve">0 1 0 0 0 1 0 0 </v>
      </c>
      <c r="BM55" s="65" t="s">
        <v>277</v>
      </c>
      <c r="BN55" s="70" t="str">
        <f t="shared" si="2"/>
        <v>[Details for Task 2a:]  /Question 12: 0 1 0 0 0 1 0 0  .</v>
      </c>
      <c r="BO55" s="64" t="s">
        <v>259</v>
      </c>
      <c r="BP55" s="122"/>
      <c r="BQ55" s="71" t="s">
        <v>260</v>
      </c>
      <c r="BR55" s="73" t="e">
        <f xml:space="preserve"> _xlfn.TEXTJOIN(" ", FALSE,#REF!)</f>
        <v>#REF!</v>
      </c>
      <c r="BS55" s="122"/>
      <c r="BT55" s="71" t="s">
        <v>261</v>
      </c>
      <c r="BU55" s="73" t="e">
        <f xml:space="preserve"> _xlfn.TEXTJOIN(" ", FALSE,#REF!)</f>
        <v>#REF!</v>
      </c>
      <c r="BV55" s="122"/>
      <c r="BW55" s="71" t="s">
        <v>262</v>
      </c>
      <c r="BX55" s="73" t="e">
        <f xml:space="preserve"> _xlfn.TEXTJOIN(" ", FALSE,#REF!)</f>
        <v>#REF!</v>
      </c>
      <c r="BY55" s="122"/>
      <c r="BZ55" s="71" t="s">
        <v>263</v>
      </c>
      <c r="CA55" s="73" t="e">
        <f xml:space="preserve"> _xlfn.TEXTJOIN(" ", FALSE,#REF!)</f>
        <v>#REF!</v>
      </c>
      <c r="CB55" s="122"/>
      <c r="CC55" s="71" t="s">
        <v>264</v>
      </c>
      <c r="CD55" s="73" t="e">
        <f xml:space="preserve"> _xlfn.TEXTJOIN(" ", FALSE,#REF!)</f>
        <v>#REF!</v>
      </c>
      <c r="CE55" s="122"/>
      <c r="CF55" s="71" t="s">
        <v>265</v>
      </c>
      <c r="CG55" s="73" t="e">
        <f xml:space="preserve"> _xlfn.TEXTJOIN(" ", FALSE,#REF!)</f>
        <v>#REF!</v>
      </c>
      <c r="CH55" s="122"/>
      <c r="CI55" s="74" t="s">
        <v>278</v>
      </c>
      <c r="CJ55" s="73" t="e">
        <f xml:space="preserve"> _xlfn.TEXTJOIN(" ", FALSE,#REF!)</f>
        <v>#REF!</v>
      </c>
      <c r="CK55" s="65" t="s">
        <v>277</v>
      </c>
      <c r="CL55" s="70" t="e">
        <f t="shared" si="3"/>
        <v>#REF!</v>
      </c>
      <c r="CM55" s="64" t="s">
        <v>267</v>
      </c>
      <c r="CN55" s="122"/>
      <c r="CO55" s="71" t="s">
        <v>268</v>
      </c>
      <c r="CP55" s="73" t="e">
        <f xml:space="preserve"> _xlfn.TEXTJOIN(" ", FALSE,#REF!)</f>
        <v>#REF!</v>
      </c>
      <c r="CQ55" s="122"/>
      <c r="CR55" s="71" t="s">
        <v>269</v>
      </c>
      <c r="CS55" s="73" t="e">
        <f xml:space="preserve"> _xlfn.TEXTJOIN(" ", FALSE,#REF!)</f>
        <v>#REF!</v>
      </c>
      <c r="CT55" s="122"/>
      <c r="CU55" s="71" t="s">
        <v>270</v>
      </c>
      <c r="CV55" s="72" t="e">
        <f xml:space="preserve"> _xlfn.TEXTJOIN(" ", FALSE,#REF!)</f>
        <v>#REF!</v>
      </c>
      <c r="CW55" s="122"/>
      <c r="CX55" s="71" t="s">
        <v>271</v>
      </c>
      <c r="CY55" s="72" t="e">
        <f xml:space="preserve"> _xlfn.TEXTJOIN(" ", FALSE,#REF!)</f>
        <v>#REF!</v>
      </c>
      <c r="CZ55" s="122"/>
      <c r="DA55" s="71" t="s">
        <v>272</v>
      </c>
      <c r="DB55" s="73" t="e">
        <f xml:space="preserve"> _xlfn.TEXTJOIN(" ", FALSE,#REF!)</f>
        <v>#REF!</v>
      </c>
      <c r="DC55" s="65" t="s">
        <v>277</v>
      </c>
      <c r="DD55" s="70" t="e">
        <f t="shared" si="4"/>
        <v>#REF!</v>
      </c>
      <c r="DE55" s="64" t="s">
        <v>273</v>
      </c>
      <c r="DF55" s="122"/>
      <c r="DG55" s="71" t="s">
        <v>274</v>
      </c>
      <c r="DH55" s="72" t="e">
        <f xml:space="preserve"> _xlfn.TEXTJOIN(" ", FALSE,#REF!)</f>
        <v>#REF!</v>
      </c>
      <c r="DI55" s="122"/>
      <c r="DJ55" s="71" t="s">
        <v>275</v>
      </c>
      <c r="DK55" s="73" t="e">
        <f xml:space="preserve"> _xlfn.TEXTJOIN(" ", FALSE,#REF!)</f>
        <v>#REF!</v>
      </c>
      <c r="DL55" s="65" t="s">
        <v>277</v>
      </c>
      <c r="DM55" s="70" t="e">
        <f t="shared" si="5"/>
        <v>#REF!</v>
      </c>
      <c r="DN55" s="70" t="e">
        <f t="shared" si="6"/>
        <v>#REF!</v>
      </c>
    </row>
    <row r="56" spans="1:118" ht="108" customHeight="1">
      <c r="A56" s="122" t="e">
        <f>Summary!A56</f>
        <v>#REF!</v>
      </c>
      <c r="B56" s="64" t="s">
        <v>233</v>
      </c>
      <c r="C56" s="65" t="e">
        <f>Summary!B56</f>
        <v>#REF!</v>
      </c>
      <c r="D56" s="122"/>
      <c r="E56" s="64" t="s">
        <v>235</v>
      </c>
      <c r="F56" s="132" t="e">
        <f>Summary!C56</f>
        <v>#REF!</v>
      </c>
      <c r="G56" s="64" t="s">
        <v>236</v>
      </c>
      <c r="H56" s="132" t="e">
        <f>Summary!D56</f>
        <v>#REF!</v>
      </c>
      <c r="I56" s="64" t="s">
        <v>237</v>
      </c>
      <c r="J56" s="66">
        <f>Summary!E56</f>
        <v>6</v>
      </c>
      <c r="K56" s="64" t="s">
        <v>238</v>
      </c>
      <c r="L56" s="132" t="e">
        <f>Summary!F56</f>
        <v>#REF!</v>
      </c>
      <c r="M56" s="64" t="s">
        <v>239</v>
      </c>
      <c r="N56" s="132" t="e">
        <f>Summary!G56</f>
        <v>#REF!</v>
      </c>
      <c r="O56" s="64" t="s">
        <v>240</v>
      </c>
      <c r="P56" s="132" t="e">
        <f>Summary!H56</f>
        <v>#REF!</v>
      </c>
      <c r="Q56" s="65" t="s">
        <v>277</v>
      </c>
      <c r="R56" s="70" t="e">
        <f t="shared" si="0"/>
        <v>#REF!</v>
      </c>
      <c r="S56" s="64" t="s">
        <v>243</v>
      </c>
      <c r="T56" s="122"/>
      <c r="U56" s="71" t="s">
        <v>244</v>
      </c>
      <c r="V56" s="72" t="e">
        <f xml:space="preserve"> _xlfn.TEXTJOIN(" ", FALSE,#REF!)</f>
        <v>#REF!</v>
      </c>
      <c r="W56" s="122"/>
      <c r="X56" s="71" t="s">
        <v>245</v>
      </c>
      <c r="Y56" s="72" t="e">
        <f xml:space="preserve"> _xlfn.TEXTJOIN(" ", FALSE,#REF!)</f>
        <v>#REF!</v>
      </c>
      <c r="Z56" s="122"/>
      <c r="AA56" s="71" t="s">
        <v>246</v>
      </c>
      <c r="AB56" s="72" t="e">
        <f xml:space="preserve"> _xlfn.TEXTJOIN(" ", FALSE,#REF!)</f>
        <v>#REF!</v>
      </c>
      <c r="AC56" s="122"/>
      <c r="AD56" s="71" t="s">
        <v>247</v>
      </c>
      <c r="AE56" s="72" t="e">
        <f xml:space="preserve"> _xlfn.TEXTJOIN(" ", FALSE,#REF!)</f>
        <v>#REF!</v>
      </c>
      <c r="AF56" s="122"/>
      <c r="AG56" s="71" t="s">
        <v>248</v>
      </c>
      <c r="AH56" s="73" t="e">
        <f xml:space="preserve"> _xlfn.TEXTJOIN(" ", FALSE,#REF!)</f>
        <v>#REF!</v>
      </c>
      <c r="AI56" s="122"/>
      <c r="AJ56" s="71" t="s">
        <v>249</v>
      </c>
      <c r="AK56" s="73" t="e">
        <f xml:space="preserve"> _xlfn.TEXTJOIN(" ", FALSE,#REF!)</f>
        <v>#REF!</v>
      </c>
      <c r="AL56" s="122"/>
      <c r="AM56" s="71" t="s">
        <v>250</v>
      </c>
      <c r="AN56" s="73" t="e">
        <f xml:space="preserve"> _xlfn.TEXTJOIN(" ", FALSE,#REF!)</f>
        <v>#REF!</v>
      </c>
      <c r="AO56" s="122"/>
      <c r="AP56" s="71" t="s">
        <v>251</v>
      </c>
      <c r="AQ56" s="72" t="e">
        <f xml:space="preserve"> _xlfn.TEXTJOIN(" ", FALSE,#REF!)</f>
        <v>#REF!</v>
      </c>
      <c r="AR56" s="122"/>
      <c r="AS56" s="71" t="s">
        <v>252</v>
      </c>
      <c r="AT56" s="72" t="e">
        <f xml:space="preserve"> _xlfn.TEXTJOIN(" ", FALSE,#REF!)</f>
        <v>#REF!</v>
      </c>
      <c r="AU56" s="122"/>
      <c r="AV56" s="71" t="s">
        <v>253</v>
      </c>
      <c r="AW56" s="73" t="e">
        <f xml:space="preserve"> _xlfn.TEXTJOIN(" ", FALSE,#REF!)</f>
        <v>#REF!</v>
      </c>
      <c r="AX56" s="122"/>
      <c r="AY56" s="71" t="s">
        <v>254</v>
      </c>
      <c r="AZ56" s="72" t="e">
        <f xml:space="preserve"> _xlfn.TEXTJOIN(" ", FALSE,#REF!)</f>
        <v>#REF!</v>
      </c>
      <c r="BA56" s="122"/>
      <c r="BB56" s="71" t="s">
        <v>255</v>
      </c>
      <c r="BC56" s="72" t="e">
        <f xml:space="preserve"> _xlfn.TEXTJOIN(" ", FALSE,#REF!)</f>
        <v>#REF!</v>
      </c>
      <c r="BD56" s="122"/>
      <c r="BE56" s="71" t="s">
        <v>256</v>
      </c>
      <c r="BF56" s="72" t="e">
        <f xml:space="preserve"> _xlfn.TEXTJOIN(" ", FALSE,#REF!)</f>
        <v>#REF!</v>
      </c>
      <c r="BG56" s="65" t="s">
        <v>277</v>
      </c>
      <c r="BH56" s="70" t="e">
        <f t="shared" si="1"/>
        <v>#REF!</v>
      </c>
      <c r="BI56" s="64" t="s">
        <v>257</v>
      </c>
      <c r="BJ56" s="122"/>
      <c r="BK56" s="71" t="s">
        <v>258</v>
      </c>
      <c r="BL56" s="74" t="str">
        <f>_xlfn.TEXTJOIN(" ", FALSE, 'Task 2a - Mitigating the Proble'!U56:AC56)</f>
        <v xml:space="preserve">1 1 0 0 0 1 0 0 </v>
      </c>
      <c r="BM56" s="65" t="s">
        <v>277</v>
      </c>
      <c r="BN56" s="70" t="str">
        <f t="shared" si="2"/>
        <v>[Details for Task 2a:]  /Question 12: 1 1 0 0 0 1 0 0  .</v>
      </c>
      <c r="BO56" s="64" t="s">
        <v>259</v>
      </c>
      <c r="BP56" s="122"/>
      <c r="BQ56" s="71" t="s">
        <v>260</v>
      </c>
      <c r="BR56" s="73" t="e">
        <f xml:space="preserve"> _xlfn.TEXTJOIN(" ", FALSE,#REF!)</f>
        <v>#REF!</v>
      </c>
      <c r="BS56" s="122"/>
      <c r="BT56" s="71" t="s">
        <v>261</v>
      </c>
      <c r="BU56" s="73" t="e">
        <f xml:space="preserve"> _xlfn.TEXTJOIN(" ", FALSE,#REF!)</f>
        <v>#REF!</v>
      </c>
      <c r="BV56" s="122"/>
      <c r="BW56" s="71" t="s">
        <v>262</v>
      </c>
      <c r="BX56" s="73" t="e">
        <f xml:space="preserve"> _xlfn.TEXTJOIN(" ", FALSE,#REF!)</f>
        <v>#REF!</v>
      </c>
      <c r="BY56" s="122"/>
      <c r="BZ56" s="71" t="s">
        <v>263</v>
      </c>
      <c r="CA56" s="73" t="e">
        <f xml:space="preserve"> _xlfn.TEXTJOIN(" ", FALSE,#REF!)</f>
        <v>#REF!</v>
      </c>
      <c r="CB56" s="122"/>
      <c r="CC56" s="71" t="s">
        <v>264</v>
      </c>
      <c r="CD56" s="73" t="e">
        <f xml:space="preserve"> _xlfn.TEXTJOIN(" ", FALSE,#REF!)</f>
        <v>#REF!</v>
      </c>
      <c r="CE56" s="122"/>
      <c r="CF56" s="71" t="s">
        <v>265</v>
      </c>
      <c r="CG56" s="73" t="e">
        <f xml:space="preserve"> _xlfn.TEXTJOIN(" ", FALSE,#REF!)</f>
        <v>#REF!</v>
      </c>
      <c r="CH56" s="122"/>
      <c r="CI56" s="74" t="s">
        <v>278</v>
      </c>
      <c r="CJ56" s="73" t="e">
        <f xml:space="preserve"> _xlfn.TEXTJOIN(" ", FALSE,#REF!)</f>
        <v>#REF!</v>
      </c>
      <c r="CK56" s="65" t="s">
        <v>277</v>
      </c>
      <c r="CL56" s="70" t="e">
        <f t="shared" si="3"/>
        <v>#REF!</v>
      </c>
      <c r="CM56" s="64" t="s">
        <v>267</v>
      </c>
      <c r="CN56" s="122"/>
      <c r="CO56" s="71" t="s">
        <v>268</v>
      </c>
      <c r="CP56" s="73" t="e">
        <f xml:space="preserve"> _xlfn.TEXTJOIN(" ", FALSE,#REF!)</f>
        <v>#REF!</v>
      </c>
      <c r="CQ56" s="122"/>
      <c r="CR56" s="71" t="s">
        <v>269</v>
      </c>
      <c r="CS56" s="73" t="e">
        <f xml:space="preserve"> _xlfn.TEXTJOIN(" ", FALSE,#REF!)</f>
        <v>#REF!</v>
      </c>
      <c r="CT56" s="122"/>
      <c r="CU56" s="71" t="s">
        <v>270</v>
      </c>
      <c r="CV56" s="72" t="e">
        <f xml:space="preserve"> _xlfn.TEXTJOIN(" ", FALSE,#REF!)</f>
        <v>#REF!</v>
      </c>
      <c r="CW56" s="122"/>
      <c r="CX56" s="71" t="s">
        <v>271</v>
      </c>
      <c r="CY56" s="72" t="e">
        <f xml:space="preserve"> _xlfn.TEXTJOIN(" ", FALSE,#REF!)</f>
        <v>#REF!</v>
      </c>
      <c r="CZ56" s="122"/>
      <c r="DA56" s="71" t="s">
        <v>272</v>
      </c>
      <c r="DB56" s="73" t="e">
        <f xml:space="preserve"> _xlfn.TEXTJOIN(" ", FALSE,#REF!)</f>
        <v>#REF!</v>
      </c>
      <c r="DC56" s="65" t="s">
        <v>277</v>
      </c>
      <c r="DD56" s="70" t="e">
        <f t="shared" si="4"/>
        <v>#REF!</v>
      </c>
      <c r="DE56" s="64" t="s">
        <v>273</v>
      </c>
      <c r="DF56" s="122"/>
      <c r="DG56" s="71" t="s">
        <v>274</v>
      </c>
      <c r="DH56" s="72" t="e">
        <f xml:space="preserve"> _xlfn.TEXTJOIN(" ", FALSE,#REF!)</f>
        <v>#REF!</v>
      </c>
      <c r="DI56" s="122"/>
      <c r="DJ56" s="71" t="s">
        <v>275</v>
      </c>
      <c r="DK56" s="73" t="e">
        <f xml:space="preserve"> _xlfn.TEXTJOIN(" ", FALSE,#REF!)</f>
        <v>#REF!</v>
      </c>
      <c r="DL56" s="65" t="s">
        <v>277</v>
      </c>
      <c r="DM56" s="70" t="e">
        <f t="shared" si="5"/>
        <v>#REF!</v>
      </c>
      <c r="DN56" s="70" t="e">
        <f t="shared" si="6"/>
        <v>#REF!</v>
      </c>
    </row>
    <row r="57" spans="1:118" ht="108" customHeight="1">
      <c r="A57" s="122" t="e">
        <f>Summary!A57</f>
        <v>#REF!</v>
      </c>
      <c r="B57" s="64" t="s">
        <v>233</v>
      </c>
      <c r="C57" s="65" t="e">
        <f>Summary!B57</f>
        <v>#REF!</v>
      </c>
      <c r="D57" s="122"/>
      <c r="E57" s="64" t="s">
        <v>235</v>
      </c>
      <c r="F57" s="132" t="e">
        <f>Summary!C57</f>
        <v>#REF!</v>
      </c>
      <c r="G57" s="64" t="s">
        <v>236</v>
      </c>
      <c r="H57" s="132" t="e">
        <f>Summary!D57</f>
        <v>#REF!</v>
      </c>
      <c r="I57" s="64" t="s">
        <v>237</v>
      </c>
      <c r="J57" s="66">
        <f>Summary!E57</f>
        <v>5</v>
      </c>
      <c r="K57" s="64" t="s">
        <v>238</v>
      </c>
      <c r="L57" s="132" t="e">
        <f>Summary!F57</f>
        <v>#REF!</v>
      </c>
      <c r="M57" s="64" t="s">
        <v>239</v>
      </c>
      <c r="N57" s="132" t="e">
        <f>Summary!G57</f>
        <v>#REF!</v>
      </c>
      <c r="O57" s="64" t="s">
        <v>240</v>
      </c>
      <c r="P57" s="132" t="e">
        <f>Summary!H57</f>
        <v>#REF!</v>
      </c>
      <c r="Q57" s="65" t="s">
        <v>277</v>
      </c>
      <c r="R57" s="70" t="e">
        <f t="shared" si="0"/>
        <v>#REF!</v>
      </c>
      <c r="S57" s="64" t="s">
        <v>243</v>
      </c>
      <c r="T57" s="122"/>
      <c r="U57" s="71" t="s">
        <v>244</v>
      </c>
      <c r="V57" s="72" t="e">
        <f xml:space="preserve"> _xlfn.TEXTJOIN(" ", FALSE,#REF!)</f>
        <v>#REF!</v>
      </c>
      <c r="W57" s="122"/>
      <c r="X57" s="71" t="s">
        <v>245</v>
      </c>
      <c r="Y57" s="72" t="e">
        <f xml:space="preserve"> _xlfn.TEXTJOIN(" ", FALSE,#REF!)</f>
        <v>#REF!</v>
      </c>
      <c r="Z57" s="122"/>
      <c r="AA57" s="71" t="s">
        <v>246</v>
      </c>
      <c r="AB57" s="72" t="e">
        <f xml:space="preserve"> _xlfn.TEXTJOIN(" ", FALSE,#REF!)</f>
        <v>#REF!</v>
      </c>
      <c r="AC57" s="122"/>
      <c r="AD57" s="71" t="s">
        <v>247</v>
      </c>
      <c r="AE57" s="72" t="e">
        <f xml:space="preserve"> _xlfn.TEXTJOIN(" ", FALSE,#REF!)</f>
        <v>#REF!</v>
      </c>
      <c r="AF57" s="122"/>
      <c r="AG57" s="71" t="s">
        <v>248</v>
      </c>
      <c r="AH57" s="73" t="e">
        <f xml:space="preserve"> _xlfn.TEXTJOIN(" ", FALSE,#REF!)</f>
        <v>#REF!</v>
      </c>
      <c r="AI57" s="122"/>
      <c r="AJ57" s="71" t="s">
        <v>249</v>
      </c>
      <c r="AK57" s="73" t="e">
        <f xml:space="preserve"> _xlfn.TEXTJOIN(" ", FALSE,#REF!)</f>
        <v>#REF!</v>
      </c>
      <c r="AL57" s="122"/>
      <c r="AM57" s="71" t="s">
        <v>250</v>
      </c>
      <c r="AN57" s="73" t="e">
        <f xml:space="preserve"> _xlfn.TEXTJOIN(" ", FALSE,#REF!)</f>
        <v>#REF!</v>
      </c>
      <c r="AO57" s="122"/>
      <c r="AP57" s="71" t="s">
        <v>251</v>
      </c>
      <c r="AQ57" s="72" t="e">
        <f xml:space="preserve"> _xlfn.TEXTJOIN(" ", FALSE,#REF!)</f>
        <v>#REF!</v>
      </c>
      <c r="AR57" s="122"/>
      <c r="AS57" s="71" t="s">
        <v>252</v>
      </c>
      <c r="AT57" s="72" t="e">
        <f xml:space="preserve"> _xlfn.TEXTJOIN(" ", FALSE,#REF!)</f>
        <v>#REF!</v>
      </c>
      <c r="AU57" s="122"/>
      <c r="AV57" s="71" t="s">
        <v>253</v>
      </c>
      <c r="AW57" s="73" t="e">
        <f xml:space="preserve"> _xlfn.TEXTJOIN(" ", FALSE,#REF!)</f>
        <v>#REF!</v>
      </c>
      <c r="AX57" s="122"/>
      <c r="AY57" s="71" t="s">
        <v>254</v>
      </c>
      <c r="AZ57" s="72" t="e">
        <f xml:space="preserve"> _xlfn.TEXTJOIN(" ", FALSE,#REF!)</f>
        <v>#REF!</v>
      </c>
      <c r="BA57" s="122"/>
      <c r="BB57" s="71" t="s">
        <v>255</v>
      </c>
      <c r="BC57" s="72" t="e">
        <f xml:space="preserve"> _xlfn.TEXTJOIN(" ", FALSE,#REF!)</f>
        <v>#REF!</v>
      </c>
      <c r="BD57" s="122"/>
      <c r="BE57" s="71" t="s">
        <v>256</v>
      </c>
      <c r="BF57" s="72" t="e">
        <f xml:space="preserve"> _xlfn.TEXTJOIN(" ", FALSE,#REF!)</f>
        <v>#REF!</v>
      </c>
      <c r="BG57" s="65" t="s">
        <v>277</v>
      </c>
      <c r="BH57" s="70" t="e">
        <f t="shared" si="1"/>
        <v>#REF!</v>
      </c>
      <c r="BI57" s="64" t="s">
        <v>257</v>
      </c>
      <c r="BJ57" s="122"/>
      <c r="BK57" s="71" t="s">
        <v>258</v>
      </c>
      <c r="BL57" s="74" t="str">
        <f>_xlfn.TEXTJOIN(" ", FALSE, 'Task 2a - Mitigating the Proble'!U57:AC57)</f>
        <v xml:space="preserve">0 0 1 0 0 1 0 0 </v>
      </c>
      <c r="BM57" s="65" t="s">
        <v>277</v>
      </c>
      <c r="BN57" s="70" t="str">
        <f t="shared" si="2"/>
        <v>[Details for Task 2a:]  /Question 12: 0 0 1 0 0 1 0 0  .</v>
      </c>
      <c r="BO57" s="64" t="s">
        <v>259</v>
      </c>
      <c r="BP57" s="122"/>
      <c r="BQ57" s="71" t="s">
        <v>260</v>
      </c>
      <c r="BR57" s="73" t="e">
        <f xml:space="preserve"> _xlfn.TEXTJOIN(" ", FALSE,#REF!)</f>
        <v>#REF!</v>
      </c>
      <c r="BS57" s="122"/>
      <c r="BT57" s="71" t="s">
        <v>261</v>
      </c>
      <c r="BU57" s="73" t="e">
        <f xml:space="preserve"> _xlfn.TEXTJOIN(" ", FALSE,#REF!)</f>
        <v>#REF!</v>
      </c>
      <c r="BV57" s="122"/>
      <c r="BW57" s="71" t="s">
        <v>262</v>
      </c>
      <c r="BX57" s="73" t="e">
        <f xml:space="preserve"> _xlfn.TEXTJOIN(" ", FALSE,#REF!)</f>
        <v>#REF!</v>
      </c>
      <c r="BY57" s="122"/>
      <c r="BZ57" s="71" t="s">
        <v>263</v>
      </c>
      <c r="CA57" s="73" t="e">
        <f xml:space="preserve"> _xlfn.TEXTJOIN(" ", FALSE,#REF!)</f>
        <v>#REF!</v>
      </c>
      <c r="CB57" s="122"/>
      <c r="CC57" s="71" t="s">
        <v>264</v>
      </c>
      <c r="CD57" s="73" t="e">
        <f xml:space="preserve"> _xlfn.TEXTJOIN(" ", FALSE,#REF!)</f>
        <v>#REF!</v>
      </c>
      <c r="CE57" s="122"/>
      <c r="CF57" s="71" t="s">
        <v>265</v>
      </c>
      <c r="CG57" s="73" t="e">
        <f xml:space="preserve"> _xlfn.TEXTJOIN(" ", FALSE,#REF!)</f>
        <v>#REF!</v>
      </c>
      <c r="CH57" s="122"/>
      <c r="CI57" s="74" t="s">
        <v>278</v>
      </c>
      <c r="CJ57" s="73" t="e">
        <f xml:space="preserve"> _xlfn.TEXTJOIN(" ", FALSE,#REF!)</f>
        <v>#REF!</v>
      </c>
      <c r="CK57" s="65" t="s">
        <v>277</v>
      </c>
      <c r="CL57" s="70" t="e">
        <f t="shared" si="3"/>
        <v>#REF!</v>
      </c>
      <c r="CM57" s="64" t="s">
        <v>267</v>
      </c>
      <c r="CN57" s="122"/>
      <c r="CO57" s="71" t="s">
        <v>268</v>
      </c>
      <c r="CP57" s="73" t="e">
        <f xml:space="preserve"> _xlfn.TEXTJOIN(" ", FALSE,#REF!)</f>
        <v>#REF!</v>
      </c>
      <c r="CQ57" s="122"/>
      <c r="CR57" s="71" t="s">
        <v>269</v>
      </c>
      <c r="CS57" s="73" t="e">
        <f xml:space="preserve"> _xlfn.TEXTJOIN(" ", FALSE,#REF!)</f>
        <v>#REF!</v>
      </c>
      <c r="CT57" s="122"/>
      <c r="CU57" s="71" t="s">
        <v>270</v>
      </c>
      <c r="CV57" s="72" t="e">
        <f xml:space="preserve"> _xlfn.TEXTJOIN(" ", FALSE,#REF!)</f>
        <v>#REF!</v>
      </c>
      <c r="CW57" s="122"/>
      <c r="CX57" s="71" t="s">
        <v>271</v>
      </c>
      <c r="CY57" s="72" t="e">
        <f xml:space="preserve"> _xlfn.TEXTJOIN(" ", FALSE,#REF!)</f>
        <v>#REF!</v>
      </c>
      <c r="CZ57" s="122"/>
      <c r="DA57" s="71" t="s">
        <v>272</v>
      </c>
      <c r="DB57" s="73" t="e">
        <f xml:space="preserve"> _xlfn.TEXTJOIN(" ", FALSE,#REF!)</f>
        <v>#REF!</v>
      </c>
      <c r="DC57" s="65" t="s">
        <v>277</v>
      </c>
      <c r="DD57" s="70" t="e">
        <f t="shared" si="4"/>
        <v>#REF!</v>
      </c>
      <c r="DE57" s="64" t="s">
        <v>273</v>
      </c>
      <c r="DF57" s="122"/>
      <c r="DG57" s="71" t="s">
        <v>274</v>
      </c>
      <c r="DH57" s="72" t="e">
        <f xml:space="preserve"> _xlfn.TEXTJOIN(" ", FALSE,#REF!)</f>
        <v>#REF!</v>
      </c>
      <c r="DI57" s="122"/>
      <c r="DJ57" s="71" t="s">
        <v>275</v>
      </c>
      <c r="DK57" s="73" t="e">
        <f xml:space="preserve"> _xlfn.TEXTJOIN(" ", FALSE,#REF!)</f>
        <v>#REF!</v>
      </c>
      <c r="DL57" s="65" t="s">
        <v>277</v>
      </c>
      <c r="DM57" s="70" t="e">
        <f t="shared" si="5"/>
        <v>#REF!</v>
      </c>
      <c r="DN57" s="70" t="e">
        <f t="shared" si="6"/>
        <v>#REF!</v>
      </c>
    </row>
    <row r="58" spans="1:118" ht="108" customHeight="1">
      <c r="A58" s="122" t="e">
        <f>Summary!A58</f>
        <v>#REF!</v>
      </c>
      <c r="B58" s="64" t="s">
        <v>233</v>
      </c>
      <c r="C58" s="65" t="e">
        <f>Summary!B58</f>
        <v>#REF!</v>
      </c>
      <c r="D58" s="122"/>
      <c r="E58" s="64" t="s">
        <v>235</v>
      </c>
      <c r="F58" s="132" t="e">
        <f>Summary!C58</f>
        <v>#REF!</v>
      </c>
      <c r="G58" s="64" t="s">
        <v>236</v>
      </c>
      <c r="H58" s="132" t="e">
        <f>Summary!D58</f>
        <v>#REF!</v>
      </c>
      <c r="I58" s="64" t="s">
        <v>237</v>
      </c>
      <c r="J58" s="66">
        <f>Summary!E58</f>
        <v>7</v>
      </c>
      <c r="K58" s="64" t="s">
        <v>238</v>
      </c>
      <c r="L58" s="132" t="e">
        <f>Summary!F58</f>
        <v>#REF!</v>
      </c>
      <c r="M58" s="64" t="s">
        <v>239</v>
      </c>
      <c r="N58" s="132" t="e">
        <f>Summary!G58</f>
        <v>#REF!</v>
      </c>
      <c r="O58" s="64" t="s">
        <v>240</v>
      </c>
      <c r="P58" s="132" t="e">
        <f>Summary!H58</f>
        <v>#REF!</v>
      </c>
      <c r="Q58" s="65" t="s">
        <v>277</v>
      </c>
      <c r="R58" s="70" t="e">
        <f t="shared" si="0"/>
        <v>#REF!</v>
      </c>
      <c r="S58" s="64" t="s">
        <v>243</v>
      </c>
      <c r="T58" s="122"/>
      <c r="U58" s="71" t="s">
        <v>244</v>
      </c>
      <c r="V58" s="72" t="e">
        <f xml:space="preserve"> _xlfn.TEXTJOIN(" ", FALSE,#REF!)</f>
        <v>#REF!</v>
      </c>
      <c r="W58" s="122"/>
      <c r="X58" s="71" t="s">
        <v>245</v>
      </c>
      <c r="Y58" s="72" t="e">
        <f xml:space="preserve"> _xlfn.TEXTJOIN(" ", FALSE,#REF!)</f>
        <v>#REF!</v>
      </c>
      <c r="Z58" s="122"/>
      <c r="AA58" s="71" t="s">
        <v>246</v>
      </c>
      <c r="AB58" s="72" t="e">
        <f xml:space="preserve"> _xlfn.TEXTJOIN(" ", FALSE,#REF!)</f>
        <v>#REF!</v>
      </c>
      <c r="AC58" s="122"/>
      <c r="AD58" s="71" t="s">
        <v>247</v>
      </c>
      <c r="AE58" s="72" t="e">
        <f xml:space="preserve"> _xlfn.TEXTJOIN(" ", FALSE,#REF!)</f>
        <v>#REF!</v>
      </c>
      <c r="AF58" s="122"/>
      <c r="AG58" s="71" t="s">
        <v>248</v>
      </c>
      <c r="AH58" s="73" t="e">
        <f xml:space="preserve"> _xlfn.TEXTJOIN(" ", FALSE,#REF!)</f>
        <v>#REF!</v>
      </c>
      <c r="AI58" s="122"/>
      <c r="AJ58" s="71" t="s">
        <v>249</v>
      </c>
      <c r="AK58" s="73" t="e">
        <f xml:space="preserve"> _xlfn.TEXTJOIN(" ", FALSE,#REF!)</f>
        <v>#REF!</v>
      </c>
      <c r="AL58" s="122"/>
      <c r="AM58" s="71" t="s">
        <v>250</v>
      </c>
      <c r="AN58" s="73" t="e">
        <f xml:space="preserve"> _xlfn.TEXTJOIN(" ", FALSE,#REF!)</f>
        <v>#REF!</v>
      </c>
      <c r="AO58" s="122"/>
      <c r="AP58" s="71" t="s">
        <v>251</v>
      </c>
      <c r="AQ58" s="72" t="e">
        <f xml:space="preserve"> _xlfn.TEXTJOIN(" ", FALSE,#REF!)</f>
        <v>#REF!</v>
      </c>
      <c r="AR58" s="122"/>
      <c r="AS58" s="71" t="s">
        <v>252</v>
      </c>
      <c r="AT58" s="72" t="e">
        <f xml:space="preserve"> _xlfn.TEXTJOIN(" ", FALSE,#REF!)</f>
        <v>#REF!</v>
      </c>
      <c r="AU58" s="122"/>
      <c r="AV58" s="71" t="s">
        <v>253</v>
      </c>
      <c r="AW58" s="73" t="e">
        <f xml:space="preserve"> _xlfn.TEXTJOIN(" ", FALSE,#REF!)</f>
        <v>#REF!</v>
      </c>
      <c r="AX58" s="122"/>
      <c r="AY58" s="71" t="s">
        <v>254</v>
      </c>
      <c r="AZ58" s="72" t="e">
        <f xml:space="preserve"> _xlfn.TEXTJOIN(" ", FALSE,#REF!)</f>
        <v>#REF!</v>
      </c>
      <c r="BA58" s="122"/>
      <c r="BB58" s="71" t="s">
        <v>255</v>
      </c>
      <c r="BC58" s="72" t="e">
        <f xml:space="preserve"> _xlfn.TEXTJOIN(" ", FALSE,#REF!)</f>
        <v>#REF!</v>
      </c>
      <c r="BD58" s="122"/>
      <c r="BE58" s="71" t="s">
        <v>256</v>
      </c>
      <c r="BF58" s="72" t="e">
        <f xml:space="preserve"> _xlfn.TEXTJOIN(" ", FALSE,#REF!)</f>
        <v>#REF!</v>
      </c>
      <c r="BG58" s="65" t="s">
        <v>277</v>
      </c>
      <c r="BH58" s="70" t="e">
        <f t="shared" si="1"/>
        <v>#REF!</v>
      </c>
      <c r="BI58" s="64" t="s">
        <v>257</v>
      </c>
      <c r="BJ58" s="122"/>
      <c r="BK58" s="71" t="s">
        <v>258</v>
      </c>
      <c r="BL58" s="74" t="str">
        <f>_xlfn.TEXTJOIN(" ", FALSE, 'Task 2a - Mitigating the Proble'!U58:AC58)</f>
        <v xml:space="preserve">1 1 1 0 1 1 0 0 </v>
      </c>
      <c r="BM58" s="65" t="s">
        <v>277</v>
      </c>
      <c r="BN58" s="70" t="str">
        <f t="shared" si="2"/>
        <v>[Details for Task 2a:]  /Question 12: 1 1 1 0 1 1 0 0  .</v>
      </c>
      <c r="BO58" s="64" t="s">
        <v>259</v>
      </c>
      <c r="BP58" s="122"/>
      <c r="BQ58" s="71" t="s">
        <v>260</v>
      </c>
      <c r="BR58" s="73" t="e">
        <f xml:space="preserve"> _xlfn.TEXTJOIN(" ", FALSE,#REF!)</f>
        <v>#REF!</v>
      </c>
      <c r="BS58" s="122"/>
      <c r="BT58" s="71" t="s">
        <v>261</v>
      </c>
      <c r="BU58" s="73" t="e">
        <f xml:space="preserve"> _xlfn.TEXTJOIN(" ", FALSE,#REF!)</f>
        <v>#REF!</v>
      </c>
      <c r="BV58" s="122"/>
      <c r="BW58" s="71" t="s">
        <v>262</v>
      </c>
      <c r="BX58" s="73" t="e">
        <f xml:space="preserve"> _xlfn.TEXTJOIN(" ", FALSE,#REF!)</f>
        <v>#REF!</v>
      </c>
      <c r="BY58" s="122"/>
      <c r="BZ58" s="71" t="s">
        <v>263</v>
      </c>
      <c r="CA58" s="73" t="e">
        <f xml:space="preserve"> _xlfn.TEXTJOIN(" ", FALSE,#REF!)</f>
        <v>#REF!</v>
      </c>
      <c r="CB58" s="122"/>
      <c r="CC58" s="71" t="s">
        <v>264</v>
      </c>
      <c r="CD58" s="73" t="e">
        <f xml:space="preserve"> _xlfn.TEXTJOIN(" ", FALSE,#REF!)</f>
        <v>#REF!</v>
      </c>
      <c r="CE58" s="122"/>
      <c r="CF58" s="71" t="s">
        <v>265</v>
      </c>
      <c r="CG58" s="73" t="e">
        <f xml:space="preserve"> _xlfn.TEXTJOIN(" ", FALSE,#REF!)</f>
        <v>#REF!</v>
      </c>
      <c r="CH58" s="122"/>
      <c r="CI58" s="74" t="s">
        <v>278</v>
      </c>
      <c r="CJ58" s="73" t="e">
        <f xml:space="preserve"> _xlfn.TEXTJOIN(" ", FALSE,#REF!)</f>
        <v>#REF!</v>
      </c>
      <c r="CK58" s="65" t="s">
        <v>277</v>
      </c>
      <c r="CL58" s="70" t="e">
        <f t="shared" si="3"/>
        <v>#REF!</v>
      </c>
      <c r="CM58" s="64" t="s">
        <v>267</v>
      </c>
      <c r="CN58" s="122"/>
      <c r="CO58" s="71" t="s">
        <v>268</v>
      </c>
      <c r="CP58" s="73" t="e">
        <f xml:space="preserve"> _xlfn.TEXTJOIN(" ", FALSE,#REF!)</f>
        <v>#REF!</v>
      </c>
      <c r="CQ58" s="122"/>
      <c r="CR58" s="71" t="s">
        <v>269</v>
      </c>
      <c r="CS58" s="73" t="e">
        <f xml:space="preserve"> _xlfn.TEXTJOIN(" ", FALSE,#REF!)</f>
        <v>#REF!</v>
      </c>
      <c r="CT58" s="122"/>
      <c r="CU58" s="71" t="s">
        <v>270</v>
      </c>
      <c r="CV58" s="72" t="e">
        <f xml:space="preserve"> _xlfn.TEXTJOIN(" ", FALSE,#REF!)</f>
        <v>#REF!</v>
      </c>
      <c r="CW58" s="122"/>
      <c r="CX58" s="71" t="s">
        <v>271</v>
      </c>
      <c r="CY58" s="72" t="e">
        <f xml:space="preserve"> _xlfn.TEXTJOIN(" ", FALSE,#REF!)</f>
        <v>#REF!</v>
      </c>
      <c r="CZ58" s="122"/>
      <c r="DA58" s="71" t="s">
        <v>272</v>
      </c>
      <c r="DB58" s="73" t="e">
        <f xml:space="preserve"> _xlfn.TEXTJOIN(" ", FALSE,#REF!)</f>
        <v>#REF!</v>
      </c>
      <c r="DC58" s="65" t="s">
        <v>277</v>
      </c>
      <c r="DD58" s="70" t="e">
        <f t="shared" si="4"/>
        <v>#REF!</v>
      </c>
      <c r="DE58" s="64" t="s">
        <v>273</v>
      </c>
      <c r="DF58" s="122"/>
      <c r="DG58" s="71" t="s">
        <v>274</v>
      </c>
      <c r="DH58" s="72" t="e">
        <f xml:space="preserve"> _xlfn.TEXTJOIN(" ", FALSE,#REF!)</f>
        <v>#REF!</v>
      </c>
      <c r="DI58" s="122"/>
      <c r="DJ58" s="71" t="s">
        <v>275</v>
      </c>
      <c r="DK58" s="73" t="e">
        <f xml:space="preserve"> _xlfn.TEXTJOIN(" ", FALSE,#REF!)</f>
        <v>#REF!</v>
      </c>
      <c r="DL58" s="65" t="s">
        <v>277</v>
      </c>
      <c r="DM58" s="70" t="e">
        <f t="shared" si="5"/>
        <v>#REF!</v>
      </c>
      <c r="DN58" s="70" t="e">
        <f t="shared" si="6"/>
        <v>#REF!</v>
      </c>
    </row>
    <row r="59" spans="1:118" ht="108" customHeight="1">
      <c r="A59" s="122" t="e">
        <f>Summary!A59</f>
        <v>#REF!</v>
      </c>
      <c r="B59" s="64" t="s">
        <v>233</v>
      </c>
      <c r="C59" s="65" t="e">
        <f>Summary!B59</f>
        <v>#REF!</v>
      </c>
      <c r="D59" s="122"/>
      <c r="E59" s="64" t="s">
        <v>235</v>
      </c>
      <c r="F59" s="132" t="e">
        <f>Summary!C59</f>
        <v>#REF!</v>
      </c>
      <c r="G59" s="64" t="s">
        <v>236</v>
      </c>
      <c r="H59" s="132" t="e">
        <f>Summary!D59</f>
        <v>#REF!</v>
      </c>
      <c r="I59" s="64" t="s">
        <v>237</v>
      </c>
      <c r="J59" s="66">
        <f>Summary!E59</f>
        <v>5</v>
      </c>
      <c r="K59" s="64" t="s">
        <v>238</v>
      </c>
      <c r="L59" s="132" t="e">
        <f>Summary!F59</f>
        <v>#REF!</v>
      </c>
      <c r="M59" s="64" t="s">
        <v>239</v>
      </c>
      <c r="N59" s="132" t="e">
        <f>Summary!G59</f>
        <v>#REF!</v>
      </c>
      <c r="O59" s="64" t="s">
        <v>240</v>
      </c>
      <c r="P59" s="132" t="e">
        <f>Summary!H59</f>
        <v>#REF!</v>
      </c>
      <c r="Q59" s="65" t="s">
        <v>277</v>
      </c>
      <c r="R59" s="70" t="e">
        <f t="shared" si="0"/>
        <v>#REF!</v>
      </c>
      <c r="S59" s="64" t="s">
        <v>243</v>
      </c>
      <c r="T59" s="122"/>
      <c r="U59" s="71" t="s">
        <v>244</v>
      </c>
      <c r="V59" s="72" t="e">
        <f xml:space="preserve"> _xlfn.TEXTJOIN(" ", FALSE,#REF!)</f>
        <v>#REF!</v>
      </c>
      <c r="W59" s="122"/>
      <c r="X59" s="71" t="s">
        <v>245</v>
      </c>
      <c r="Y59" s="72" t="e">
        <f xml:space="preserve"> _xlfn.TEXTJOIN(" ", FALSE,#REF!)</f>
        <v>#REF!</v>
      </c>
      <c r="Z59" s="122"/>
      <c r="AA59" s="71" t="s">
        <v>246</v>
      </c>
      <c r="AB59" s="72" t="e">
        <f xml:space="preserve"> _xlfn.TEXTJOIN(" ", FALSE,#REF!)</f>
        <v>#REF!</v>
      </c>
      <c r="AC59" s="122"/>
      <c r="AD59" s="71" t="s">
        <v>247</v>
      </c>
      <c r="AE59" s="72" t="e">
        <f xml:space="preserve"> _xlfn.TEXTJOIN(" ", FALSE,#REF!)</f>
        <v>#REF!</v>
      </c>
      <c r="AF59" s="122"/>
      <c r="AG59" s="71" t="s">
        <v>248</v>
      </c>
      <c r="AH59" s="73" t="e">
        <f xml:space="preserve"> _xlfn.TEXTJOIN(" ", FALSE,#REF!)</f>
        <v>#REF!</v>
      </c>
      <c r="AI59" s="122"/>
      <c r="AJ59" s="71" t="s">
        <v>249</v>
      </c>
      <c r="AK59" s="73" t="e">
        <f xml:space="preserve"> _xlfn.TEXTJOIN(" ", FALSE,#REF!)</f>
        <v>#REF!</v>
      </c>
      <c r="AL59" s="122"/>
      <c r="AM59" s="71" t="s">
        <v>250</v>
      </c>
      <c r="AN59" s="73" t="e">
        <f xml:space="preserve"> _xlfn.TEXTJOIN(" ", FALSE,#REF!)</f>
        <v>#REF!</v>
      </c>
      <c r="AO59" s="122"/>
      <c r="AP59" s="71" t="s">
        <v>251</v>
      </c>
      <c r="AQ59" s="72" t="e">
        <f xml:space="preserve"> _xlfn.TEXTJOIN(" ", FALSE,#REF!)</f>
        <v>#REF!</v>
      </c>
      <c r="AR59" s="122"/>
      <c r="AS59" s="71" t="s">
        <v>252</v>
      </c>
      <c r="AT59" s="72" t="e">
        <f xml:space="preserve"> _xlfn.TEXTJOIN(" ", FALSE,#REF!)</f>
        <v>#REF!</v>
      </c>
      <c r="AU59" s="122"/>
      <c r="AV59" s="71" t="s">
        <v>253</v>
      </c>
      <c r="AW59" s="73" t="e">
        <f xml:space="preserve"> _xlfn.TEXTJOIN(" ", FALSE,#REF!)</f>
        <v>#REF!</v>
      </c>
      <c r="AX59" s="122"/>
      <c r="AY59" s="71" t="s">
        <v>254</v>
      </c>
      <c r="AZ59" s="72" t="e">
        <f xml:space="preserve"> _xlfn.TEXTJOIN(" ", FALSE,#REF!)</f>
        <v>#REF!</v>
      </c>
      <c r="BA59" s="122"/>
      <c r="BB59" s="71" t="s">
        <v>255</v>
      </c>
      <c r="BC59" s="72" t="e">
        <f xml:space="preserve"> _xlfn.TEXTJOIN(" ", FALSE,#REF!)</f>
        <v>#REF!</v>
      </c>
      <c r="BD59" s="122"/>
      <c r="BE59" s="71" t="s">
        <v>256</v>
      </c>
      <c r="BF59" s="72" t="e">
        <f xml:space="preserve"> _xlfn.TEXTJOIN(" ", FALSE,#REF!)</f>
        <v>#REF!</v>
      </c>
      <c r="BG59" s="65" t="s">
        <v>277</v>
      </c>
      <c r="BH59" s="70" t="e">
        <f t="shared" si="1"/>
        <v>#REF!</v>
      </c>
      <c r="BI59" s="64" t="s">
        <v>257</v>
      </c>
      <c r="BJ59" s="122"/>
      <c r="BK59" s="71" t="s">
        <v>258</v>
      </c>
      <c r="BL59" s="74" t="str">
        <f>_xlfn.TEXTJOIN(" ", FALSE, 'Task 2a - Mitigating the Proble'!U59:AC59)</f>
        <v xml:space="preserve">0 1 1 0 0 1 0 0 </v>
      </c>
      <c r="BM59" s="65" t="s">
        <v>277</v>
      </c>
      <c r="BN59" s="70" t="str">
        <f t="shared" si="2"/>
        <v>[Details for Task 2a:]  /Question 12: 0 1 1 0 0 1 0 0  .</v>
      </c>
      <c r="BO59" s="64" t="s">
        <v>259</v>
      </c>
      <c r="BP59" s="122"/>
      <c r="BQ59" s="71" t="s">
        <v>260</v>
      </c>
      <c r="BR59" s="73" t="e">
        <f xml:space="preserve"> _xlfn.TEXTJOIN(" ", FALSE,#REF!)</f>
        <v>#REF!</v>
      </c>
      <c r="BS59" s="122"/>
      <c r="BT59" s="71" t="s">
        <v>261</v>
      </c>
      <c r="BU59" s="73" t="e">
        <f xml:space="preserve"> _xlfn.TEXTJOIN(" ", FALSE,#REF!)</f>
        <v>#REF!</v>
      </c>
      <c r="BV59" s="122"/>
      <c r="BW59" s="71" t="s">
        <v>262</v>
      </c>
      <c r="BX59" s="73" t="e">
        <f xml:space="preserve"> _xlfn.TEXTJOIN(" ", FALSE,#REF!)</f>
        <v>#REF!</v>
      </c>
      <c r="BY59" s="122"/>
      <c r="BZ59" s="71" t="s">
        <v>263</v>
      </c>
      <c r="CA59" s="73" t="e">
        <f xml:space="preserve"> _xlfn.TEXTJOIN(" ", FALSE,#REF!)</f>
        <v>#REF!</v>
      </c>
      <c r="CB59" s="122"/>
      <c r="CC59" s="71" t="s">
        <v>264</v>
      </c>
      <c r="CD59" s="73" t="e">
        <f xml:space="preserve"> _xlfn.TEXTJOIN(" ", FALSE,#REF!)</f>
        <v>#REF!</v>
      </c>
      <c r="CE59" s="122"/>
      <c r="CF59" s="71" t="s">
        <v>265</v>
      </c>
      <c r="CG59" s="73" t="e">
        <f xml:space="preserve"> _xlfn.TEXTJOIN(" ", FALSE,#REF!)</f>
        <v>#REF!</v>
      </c>
      <c r="CH59" s="122"/>
      <c r="CI59" s="74" t="s">
        <v>278</v>
      </c>
      <c r="CJ59" s="73" t="e">
        <f xml:space="preserve"> _xlfn.TEXTJOIN(" ", FALSE,#REF!)</f>
        <v>#REF!</v>
      </c>
      <c r="CK59" s="65" t="s">
        <v>277</v>
      </c>
      <c r="CL59" s="70" t="e">
        <f t="shared" si="3"/>
        <v>#REF!</v>
      </c>
      <c r="CM59" s="64" t="s">
        <v>267</v>
      </c>
      <c r="CN59" s="122"/>
      <c r="CO59" s="71" t="s">
        <v>268</v>
      </c>
      <c r="CP59" s="73" t="e">
        <f xml:space="preserve"> _xlfn.TEXTJOIN(" ", FALSE,#REF!)</f>
        <v>#REF!</v>
      </c>
      <c r="CQ59" s="122"/>
      <c r="CR59" s="71" t="s">
        <v>269</v>
      </c>
      <c r="CS59" s="73" t="e">
        <f xml:space="preserve"> _xlfn.TEXTJOIN(" ", FALSE,#REF!)</f>
        <v>#REF!</v>
      </c>
      <c r="CT59" s="122"/>
      <c r="CU59" s="71" t="s">
        <v>270</v>
      </c>
      <c r="CV59" s="72" t="e">
        <f xml:space="preserve"> _xlfn.TEXTJOIN(" ", FALSE,#REF!)</f>
        <v>#REF!</v>
      </c>
      <c r="CW59" s="122"/>
      <c r="CX59" s="71" t="s">
        <v>271</v>
      </c>
      <c r="CY59" s="72" t="e">
        <f xml:space="preserve"> _xlfn.TEXTJOIN(" ", FALSE,#REF!)</f>
        <v>#REF!</v>
      </c>
      <c r="CZ59" s="122"/>
      <c r="DA59" s="71" t="s">
        <v>272</v>
      </c>
      <c r="DB59" s="73" t="e">
        <f xml:space="preserve"> _xlfn.TEXTJOIN(" ", FALSE,#REF!)</f>
        <v>#REF!</v>
      </c>
      <c r="DC59" s="65" t="s">
        <v>277</v>
      </c>
      <c r="DD59" s="70" t="e">
        <f t="shared" si="4"/>
        <v>#REF!</v>
      </c>
      <c r="DE59" s="64" t="s">
        <v>273</v>
      </c>
      <c r="DF59" s="122"/>
      <c r="DG59" s="71" t="s">
        <v>274</v>
      </c>
      <c r="DH59" s="72" t="e">
        <f xml:space="preserve"> _xlfn.TEXTJOIN(" ", FALSE,#REF!)</f>
        <v>#REF!</v>
      </c>
      <c r="DI59" s="122"/>
      <c r="DJ59" s="71" t="s">
        <v>275</v>
      </c>
      <c r="DK59" s="73" t="e">
        <f xml:space="preserve"> _xlfn.TEXTJOIN(" ", FALSE,#REF!)</f>
        <v>#REF!</v>
      </c>
      <c r="DL59" s="65" t="s">
        <v>277</v>
      </c>
      <c r="DM59" s="70" t="e">
        <f t="shared" si="5"/>
        <v>#REF!</v>
      </c>
      <c r="DN59" s="70" t="e">
        <f t="shared" si="6"/>
        <v>#REF!</v>
      </c>
    </row>
    <row r="60" spans="1:118" ht="108" customHeight="1">
      <c r="A60" s="122" t="e">
        <f>Summary!A60</f>
        <v>#REF!</v>
      </c>
      <c r="B60" s="64" t="s">
        <v>233</v>
      </c>
      <c r="C60" s="65" t="e">
        <f>Summary!B60</f>
        <v>#REF!</v>
      </c>
      <c r="D60" s="122"/>
      <c r="E60" s="64" t="s">
        <v>235</v>
      </c>
      <c r="F60" s="132" t="e">
        <f>Summary!C60</f>
        <v>#REF!</v>
      </c>
      <c r="G60" s="64" t="s">
        <v>236</v>
      </c>
      <c r="H60" s="132" t="e">
        <f>Summary!D60</f>
        <v>#REF!</v>
      </c>
      <c r="I60" s="64" t="s">
        <v>237</v>
      </c>
      <c r="J60" s="66">
        <f>Summary!E60</f>
        <v>5</v>
      </c>
      <c r="K60" s="64" t="s">
        <v>238</v>
      </c>
      <c r="L60" s="132" t="e">
        <f>Summary!F60</f>
        <v>#REF!</v>
      </c>
      <c r="M60" s="64" t="s">
        <v>239</v>
      </c>
      <c r="N60" s="132" t="e">
        <f>Summary!G60</f>
        <v>#REF!</v>
      </c>
      <c r="O60" s="64" t="s">
        <v>240</v>
      </c>
      <c r="P60" s="132" t="e">
        <f>Summary!H60</f>
        <v>#REF!</v>
      </c>
      <c r="Q60" s="65" t="s">
        <v>277</v>
      </c>
      <c r="R60" s="70" t="e">
        <f t="shared" si="0"/>
        <v>#REF!</v>
      </c>
      <c r="S60" s="64" t="s">
        <v>243</v>
      </c>
      <c r="T60" s="122"/>
      <c r="U60" s="71" t="s">
        <v>244</v>
      </c>
      <c r="V60" s="72" t="e">
        <f xml:space="preserve"> _xlfn.TEXTJOIN(" ", FALSE,#REF!)</f>
        <v>#REF!</v>
      </c>
      <c r="W60" s="122"/>
      <c r="X60" s="71" t="s">
        <v>245</v>
      </c>
      <c r="Y60" s="72" t="e">
        <f xml:space="preserve"> _xlfn.TEXTJOIN(" ", FALSE,#REF!)</f>
        <v>#REF!</v>
      </c>
      <c r="Z60" s="122"/>
      <c r="AA60" s="71" t="s">
        <v>246</v>
      </c>
      <c r="AB60" s="72" t="e">
        <f xml:space="preserve"> _xlfn.TEXTJOIN(" ", FALSE,#REF!)</f>
        <v>#REF!</v>
      </c>
      <c r="AC60" s="122"/>
      <c r="AD60" s="71" t="s">
        <v>247</v>
      </c>
      <c r="AE60" s="72" t="e">
        <f xml:space="preserve"> _xlfn.TEXTJOIN(" ", FALSE,#REF!)</f>
        <v>#REF!</v>
      </c>
      <c r="AF60" s="122"/>
      <c r="AG60" s="71" t="s">
        <v>248</v>
      </c>
      <c r="AH60" s="73" t="e">
        <f xml:space="preserve"> _xlfn.TEXTJOIN(" ", FALSE,#REF!)</f>
        <v>#REF!</v>
      </c>
      <c r="AI60" s="122"/>
      <c r="AJ60" s="71" t="s">
        <v>249</v>
      </c>
      <c r="AK60" s="73" t="e">
        <f xml:space="preserve"> _xlfn.TEXTJOIN(" ", FALSE,#REF!)</f>
        <v>#REF!</v>
      </c>
      <c r="AL60" s="122"/>
      <c r="AM60" s="71" t="s">
        <v>250</v>
      </c>
      <c r="AN60" s="73" t="e">
        <f xml:space="preserve"> _xlfn.TEXTJOIN(" ", FALSE,#REF!)</f>
        <v>#REF!</v>
      </c>
      <c r="AO60" s="122"/>
      <c r="AP60" s="71" t="s">
        <v>251</v>
      </c>
      <c r="AQ60" s="72" t="e">
        <f xml:space="preserve"> _xlfn.TEXTJOIN(" ", FALSE,#REF!)</f>
        <v>#REF!</v>
      </c>
      <c r="AR60" s="122"/>
      <c r="AS60" s="71" t="s">
        <v>252</v>
      </c>
      <c r="AT60" s="72" t="e">
        <f xml:space="preserve"> _xlfn.TEXTJOIN(" ", FALSE,#REF!)</f>
        <v>#REF!</v>
      </c>
      <c r="AU60" s="122"/>
      <c r="AV60" s="71" t="s">
        <v>253</v>
      </c>
      <c r="AW60" s="73" t="e">
        <f xml:space="preserve"> _xlfn.TEXTJOIN(" ", FALSE,#REF!)</f>
        <v>#REF!</v>
      </c>
      <c r="AX60" s="122"/>
      <c r="AY60" s="71" t="s">
        <v>254</v>
      </c>
      <c r="AZ60" s="72" t="e">
        <f xml:space="preserve"> _xlfn.TEXTJOIN(" ", FALSE,#REF!)</f>
        <v>#REF!</v>
      </c>
      <c r="BA60" s="122"/>
      <c r="BB60" s="71" t="s">
        <v>255</v>
      </c>
      <c r="BC60" s="72" t="e">
        <f xml:space="preserve"> _xlfn.TEXTJOIN(" ", FALSE,#REF!)</f>
        <v>#REF!</v>
      </c>
      <c r="BD60" s="122"/>
      <c r="BE60" s="71" t="s">
        <v>256</v>
      </c>
      <c r="BF60" s="72" t="e">
        <f xml:space="preserve"> _xlfn.TEXTJOIN(" ", FALSE,#REF!)</f>
        <v>#REF!</v>
      </c>
      <c r="BG60" s="65" t="s">
        <v>277</v>
      </c>
      <c r="BH60" s="70" t="e">
        <f t="shared" si="1"/>
        <v>#REF!</v>
      </c>
      <c r="BI60" s="64" t="s">
        <v>257</v>
      </c>
      <c r="BJ60" s="122"/>
      <c r="BK60" s="71" t="s">
        <v>258</v>
      </c>
      <c r="BL60" s="74" t="str">
        <f>_xlfn.TEXTJOIN(" ", FALSE, 'Task 2a - Mitigating the Proble'!U60:AC60)</f>
        <v xml:space="preserve">0 1 1 1 0 1 0 0 </v>
      </c>
      <c r="BM60" s="65" t="s">
        <v>277</v>
      </c>
      <c r="BN60" s="70" t="str">
        <f t="shared" si="2"/>
        <v>[Details for Task 2a:]  /Question 12: 0 1 1 1 0 1 0 0  .</v>
      </c>
      <c r="BO60" s="64" t="s">
        <v>259</v>
      </c>
      <c r="BP60" s="122"/>
      <c r="BQ60" s="71" t="s">
        <v>260</v>
      </c>
      <c r="BR60" s="73" t="e">
        <f xml:space="preserve"> _xlfn.TEXTJOIN(" ", FALSE,#REF!)</f>
        <v>#REF!</v>
      </c>
      <c r="BS60" s="122"/>
      <c r="BT60" s="71" t="s">
        <v>261</v>
      </c>
      <c r="BU60" s="73" t="e">
        <f xml:space="preserve"> _xlfn.TEXTJOIN(" ", FALSE,#REF!)</f>
        <v>#REF!</v>
      </c>
      <c r="BV60" s="122"/>
      <c r="BW60" s="71" t="s">
        <v>262</v>
      </c>
      <c r="BX60" s="73" t="e">
        <f xml:space="preserve"> _xlfn.TEXTJOIN(" ", FALSE,#REF!)</f>
        <v>#REF!</v>
      </c>
      <c r="BY60" s="122"/>
      <c r="BZ60" s="71" t="s">
        <v>263</v>
      </c>
      <c r="CA60" s="73" t="e">
        <f xml:space="preserve"> _xlfn.TEXTJOIN(" ", FALSE,#REF!)</f>
        <v>#REF!</v>
      </c>
      <c r="CB60" s="122"/>
      <c r="CC60" s="71" t="s">
        <v>264</v>
      </c>
      <c r="CD60" s="73" t="e">
        <f xml:space="preserve"> _xlfn.TEXTJOIN(" ", FALSE,#REF!)</f>
        <v>#REF!</v>
      </c>
      <c r="CE60" s="122"/>
      <c r="CF60" s="71" t="s">
        <v>265</v>
      </c>
      <c r="CG60" s="73" t="e">
        <f xml:space="preserve"> _xlfn.TEXTJOIN(" ", FALSE,#REF!)</f>
        <v>#REF!</v>
      </c>
      <c r="CH60" s="122"/>
      <c r="CI60" s="74" t="s">
        <v>278</v>
      </c>
      <c r="CJ60" s="73" t="e">
        <f xml:space="preserve"> _xlfn.TEXTJOIN(" ", FALSE,#REF!)</f>
        <v>#REF!</v>
      </c>
      <c r="CK60" s="65" t="s">
        <v>277</v>
      </c>
      <c r="CL60" s="70" t="e">
        <f t="shared" si="3"/>
        <v>#REF!</v>
      </c>
      <c r="CM60" s="64" t="s">
        <v>267</v>
      </c>
      <c r="CN60" s="122"/>
      <c r="CO60" s="71" t="s">
        <v>268</v>
      </c>
      <c r="CP60" s="73" t="e">
        <f xml:space="preserve"> _xlfn.TEXTJOIN(" ", FALSE,#REF!)</f>
        <v>#REF!</v>
      </c>
      <c r="CQ60" s="122"/>
      <c r="CR60" s="71" t="s">
        <v>269</v>
      </c>
      <c r="CS60" s="73" t="e">
        <f xml:space="preserve"> _xlfn.TEXTJOIN(" ", FALSE,#REF!)</f>
        <v>#REF!</v>
      </c>
      <c r="CT60" s="122"/>
      <c r="CU60" s="71" t="s">
        <v>270</v>
      </c>
      <c r="CV60" s="72" t="e">
        <f xml:space="preserve"> _xlfn.TEXTJOIN(" ", FALSE,#REF!)</f>
        <v>#REF!</v>
      </c>
      <c r="CW60" s="122"/>
      <c r="CX60" s="71" t="s">
        <v>271</v>
      </c>
      <c r="CY60" s="72" t="e">
        <f xml:space="preserve"> _xlfn.TEXTJOIN(" ", FALSE,#REF!)</f>
        <v>#REF!</v>
      </c>
      <c r="CZ60" s="122"/>
      <c r="DA60" s="71" t="s">
        <v>272</v>
      </c>
      <c r="DB60" s="73" t="e">
        <f xml:space="preserve"> _xlfn.TEXTJOIN(" ", FALSE,#REF!)</f>
        <v>#REF!</v>
      </c>
      <c r="DC60" s="65" t="s">
        <v>277</v>
      </c>
      <c r="DD60" s="70" t="e">
        <f t="shared" si="4"/>
        <v>#REF!</v>
      </c>
      <c r="DE60" s="64" t="s">
        <v>273</v>
      </c>
      <c r="DF60" s="122"/>
      <c r="DG60" s="71" t="s">
        <v>274</v>
      </c>
      <c r="DH60" s="72" t="e">
        <f xml:space="preserve"> _xlfn.TEXTJOIN(" ", FALSE,#REF!)</f>
        <v>#REF!</v>
      </c>
      <c r="DI60" s="122"/>
      <c r="DJ60" s="71" t="s">
        <v>275</v>
      </c>
      <c r="DK60" s="73" t="e">
        <f xml:space="preserve"> _xlfn.TEXTJOIN(" ", FALSE,#REF!)</f>
        <v>#REF!</v>
      </c>
      <c r="DL60" s="65" t="s">
        <v>277</v>
      </c>
      <c r="DM60" s="70" t="e">
        <f t="shared" si="5"/>
        <v>#REF!</v>
      </c>
      <c r="DN60" s="70" t="e">
        <f t="shared" si="6"/>
        <v>#REF!</v>
      </c>
    </row>
    <row r="61" spans="1:118" ht="108" customHeight="1">
      <c r="A61" s="122" t="e">
        <f>Summary!A61</f>
        <v>#REF!</v>
      </c>
      <c r="B61" s="64" t="s">
        <v>233</v>
      </c>
      <c r="C61" s="65" t="e">
        <f>Summary!B61</f>
        <v>#REF!</v>
      </c>
      <c r="D61" s="122"/>
      <c r="E61" s="64" t="s">
        <v>235</v>
      </c>
      <c r="F61" s="132">
        <f>Summary!C61</f>
        <v>50</v>
      </c>
      <c r="G61" s="64" t="s">
        <v>236</v>
      </c>
      <c r="H61" s="132" t="e">
        <f>Summary!D61</f>
        <v>#REF!</v>
      </c>
      <c r="I61" s="64" t="s">
        <v>237</v>
      </c>
      <c r="J61" s="66">
        <f>Summary!E61</f>
        <v>5</v>
      </c>
      <c r="K61" s="64" t="s">
        <v>238</v>
      </c>
      <c r="L61" s="132" t="e">
        <f>Summary!F61</f>
        <v>#REF!</v>
      </c>
      <c r="M61" s="64" t="s">
        <v>239</v>
      </c>
      <c r="N61" s="132" t="e">
        <f>Summary!G61</f>
        <v>#REF!</v>
      </c>
      <c r="O61" s="64" t="s">
        <v>240</v>
      </c>
      <c r="P61" s="132" t="e">
        <f>Summary!H61</f>
        <v>#REF!</v>
      </c>
      <c r="Q61" s="65" t="s">
        <v>277</v>
      </c>
      <c r="R61" s="70" t="e">
        <f t="shared" si="0"/>
        <v>#REF!</v>
      </c>
      <c r="S61" s="64" t="s">
        <v>243</v>
      </c>
      <c r="T61" s="122"/>
      <c r="U61" s="71" t="s">
        <v>244</v>
      </c>
      <c r="V61" s="72" t="e">
        <f xml:space="preserve"> _xlfn.TEXTJOIN(" ", FALSE,#REF!)</f>
        <v>#REF!</v>
      </c>
      <c r="W61" s="122"/>
      <c r="X61" s="71" t="s">
        <v>245</v>
      </c>
      <c r="Y61" s="72" t="e">
        <f xml:space="preserve"> _xlfn.TEXTJOIN(" ", FALSE,#REF!)</f>
        <v>#REF!</v>
      </c>
      <c r="Z61" s="122"/>
      <c r="AA61" s="71" t="s">
        <v>246</v>
      </c>
      <c r="AB61" s="72" t="e">
        <f xml:space="preserve"> _xlfn.TEXTJOIN(" ", FALSE,#REF!)</f>
        <v>#REF!</v>
      </c>
      <c r="AC61" s="122"/>
      <c r="AD61" s="71" t="s">
        <v>247</v>
      </c>
      <c r="AE61" s="72" t="e">
        <f xml:space="preserve"> _xlfn.TEXTJOIN(" ", FALSE,#REF!)</f>
        <v>#REF!</v>
      </c>
      <c r="AF61" s="122"/>
      <c r="AG61" s="71" t="s">
        <v>248</v>
      </c>
      <c r="AH61" s="73" t="e">
        <f xml:space="preserve"> _xlfn.TEXTJOIN(" ", FALSE,#REF!)</f>
        <v>#REF!</v>
      </c>
      <c r="AI61" s="122"/>
      <c r="AJ61" s="71" t="s">
        <v>249</v>
      </c>
      <c r="AK61" s="73" t="e">
        <f xml:space="preserve"> _xlfn.TEXTJOIN(" ", FALSE,#REF!)</f>
        <v>#REF!</v>
      </c>
      <c r="AL61" s="122"/>
      <c r="AM61" s="71" t="s">
        <v>250</v>
      </c>
      <c r="AN61" s="73" t="e">
        <f xml:space="preserve"> _xlfn.TEXTJOIN(" ", FALSE,#REF!)</f>
        <v>#REF!</v>
      </c>
      <c r="AO61" s="122"/>
      <c r="AP61" s="71" t="s">
        <v>251</v>
      </c>
      <c r="AQ61" s="72" t="e">
        <f xml:space="preserve"> _xlfn.TEXTJOIN(" ", FALSE,#REF!)</f>
        <v>#REF!</v>
      </c>
      <c r="AR61" s="122"/>
      <c r="AS61" s="71" t="s">
        <v>252</v>
      </c>
      <c r="AT61" s="72" t="e">
        <f xml:space="preserve"> _xlfn.TEXTJOIN(" ", FALSE,#REF!)</f>
        <v>#REF!</v>
      </c>
      <c r="AU61" s="122"/>
      <c r="AV61" s="71" t="s">
        <v>253</v>
      </c>
      <c r="AW61" s="73" t="e">
        <f xml:space="preserve"> _xlfn.TEXTJOIN(" ", FALSE,#REF!)</f>
        <v>#REF!</v>
      </c>
      <c r="AX61" s="122"/>
      <c r="AY61" s="71" t="s">
        <v>254</v>
      </c>
      <c r="AZ61" s="72" t="e">
        <f xml:space="preserve"> _xlfn.TEXTJOIN(" ", FALSE,#REF!)</f>
        <v>#REF!</v>
      </c>
      <c r="BA61" s="122"/>
      <c r="BB61" s="71" t="s">
        <v>255</v>
      </c>
      <c r="BC61" s="72" t="e">
        <f xml:space="preserve"> _xlfn.TEXTJOIN(" ", FALSE,#REF!)</f>
        <v>#REF!</v>
      </c>
      <c r="BD61" s="122"/>
      <c r="BE61" s="71" t="s">
        <v>256</v>
      </c>
      <c r="BF61" s="72" t="e">
        <f xml:space="preserve"> _xlfn.TEXTJOIN(" ", FALSE,#REF!)</f>
        <v>#REF!</v>
      </c>
      <c r="BG61" s="65" t="s">
        <v>277</v>
      </c>
      <c r="BH61" s="70" t="e">
        <f t="shared" si="1"/>
        <v>#REF!</v>
      </c>
      <c r="BI61" s="64" t="s">
        <v>257</v>
      </c>
      <c r="BJ61" s="122"/>
      <c r="BK61" s="71" t="s">
        <v>258</v>
      </c>
      <c r="BL61" s="74" t="str">
        <f>_xlfn.TEXTJOIN(" ", FALSE, 'Task 2a - Mitigating the Proble'!U61:AC61)</f>
        <v>0 0 0 0 0 1 0 1 Good point on the complementarity of the two approaches. Other than that, the questions is about the "how". What they are was covered earlier in the text.</v>
      </c>
      <c r="BM61" s="65" t="s">
        <v>277</v>
      </c>
      <c r="BN61" s="70" t="str">
        <f t="shared" si="2"/>
        <v>[Details for Task 2a:]  /Question 12: 0 0 0 0 0 1 0 1 Good point on the complementarity of the two approaches. Other than that, the questions is about the "how". What they are was covered earlier in the text. .</v>
      </c>
      <c r="BO61" s="64" t="s">
        <v>259</v>
      </c>
      <c r="BP61" s="122"/>
      <c r="BQ61" s="71" t="s">
        <v>260</v>
      </c>
      <c r="BR61" s="73" t="e">
        <f xml:space="preserve"> _xlfn.TEXTJOIN(" ", FALSE,#REF!)</f>
        <v>#REF!</v>
      </c>
      <c r="BS61" s="122"/>
      <c r="BT61" s="71" t="s">
        <v>261</v>
      </c>
      <c r="BU61" s="73" t="e">
        <f xml:space="preserve"> _xlfn.TEXTJOIN(" ", FALSE,#REF!)</f>
        <v>#REF!</v>
      </c>
      <c r="BV61" s="122"/>
      <c r="BW61" s="71" t="s">
        <v>262</v>
      </c>
      <c r="BX61" s="73" t="e">
        <f xml:space="preserve"> _xlfn.TEXTJOIN(" ", FALSE,#REF!)</f>
        <v>#REF!</v>
      </c>
      <c r="BY61" s="122"/>
      <c r="BZ61" s="71" t="s">
        <v>263</v>
      </c>
      <c r="CA61" s="73" t="e">
        <f xml:space="preserve"> _xlfn.TEXTJOIN(" ", FALSE,#REF!)</f>
        <v>#REF!</v>
      </c>
      <c r="CB61" s="122"/>
      <c r="CC61" s="71" t="s">
        <v>264</v>
      </c>
      <c r="CD61" s="73" t="e">
        <f xml:space="preserve"> _xlfn.TEXTJOIN(" ", FALSE,#REF!)</f>
        <v>#REF!</v>
      </c>
      <c r="CE61" s="122"/>
      <c r="CF61" s="71" t="s">
        <v>265</v>
      </c>
      <c r="CG61" s="73" t="e">
        <f xml:space="preserve"> _xlfn.TEXTJOIN(" ", FALSE,#REF!)</f>
        <v>#REF!</v>
      </c>
      <c r="CH61" s="122"/>
      <c r="CI61" s="74" t="s">
        <v>278</v>
      </c>
      <c r="CJ61" s="73" t="e">
        <f xml:space="preserve"> _xlfn.TEXTJOIN(" ", FALSE,#REF!)</f>
        <v>#REF!</v>
      </c>
      <c r="CK61" s="65" t="s">
        <v>277</v>
      </c>
      <c r="CL61" s="70" t="e">
        <f t="shared" si="3"/>
        <v>#REF!</v>
      </c>
      <c r="CM61" s="64" t="s">
        <v>267</v>
      </c>
      <c r="CN61" s="122"/>
      <c r="CO61" s="71" t="s">
        <v>268</v>
      </c>
      <c r="CP61" s="73" t="e">
        <f xml:space="preserve"> _xlfn.TEXTJOIN(" ", FALSE,#REF!)</f>
        <v>#REF!</v>
      </c>
      <c r="CQ61" s="122"/>
      <c r="CR61" s="71" t="s">
        <v>269</v>
      </c>
      <c r="CS61" s="73" t="e">
        <f xml:space="preserve"> _xlfn.TEXTJOIN(" ", FALSE,#REF!)</f>
        <v>#REF!</v>
      </c>
      <c r="CT61" s="122"/>
      <c r="CU61" s="71" t="s">
        <v>270</v>
      </c>
      <c r="CV61" s="72" t="e">
        <f xml:space="preserve"> _xlfn.TEXTJOIN(" ", FALSE,#REF!)</f>
        <v>#REF!</v>
      </c>
      <c r="CW61" s="122"/>
      <c r="CX61" s="71" t="s">
        <v>271</v>
      </c>
      <c r="CY61" s="72" t="e">
        <f xml:space="preserve"> _xlfn.TEXTJOIN(" ", FALSE,#REF!)</f>
        <v>#REF!</v>
      </c>
      <c r="CZ61" s="122"/>
      <c r="DA61" s="71" t="s">
        <v>272</v>
      </c>
      <c r="DB61" s="73" t="e">
        <f xml:space="preserve"> _xlfn.TEXTJOIN(" ", FALSE,#REF!)</f>
        <v>#REF!</v>
      </c>
      <c r="DC61" s="65" t="s">
        <v>277</v>
      </c>
      <c r="DD61" s="70" t="e">
        <f t="shared" si="4"/>
        <v>#REF!</v>
      </c>
      <c r="DE61" s="64" t="s">
        <v>273</v>
      </c>
      <c r="DF61" s="122"/>
      <c r="DG61" s="71" t="s">
        <v>274</v>
      </c>
      <c r="DH61" s="72" t="e">
        <f xml:space="preserve"> _xlfn.TEXTJOIN(" ", FALSE,#REF!)</f>
        <v>#REF!</v>
      </c>
      <c r="DI61" s="122"/>
      <c r="DJ61" s="71" t="s">
        <v>275</v>
      </c>
      <c r="DK61" s="73" t="e">
        <f xml:space="preserve"> _xlfn.TEXTJOIN(" ", FALSE,#REF!)</f>
        <v>#REF!</v>
      </c>
      <c r="DL61" s="65" t="s">
        <v>277</v>
      </c>
      <c r="DM61" s="70" t="e">
        <f t="shared" si="5"/>
        <v>#REF!</v>
      </c>
      <c r="DN61" s="70" t="e">
        <f t="shared" si="6"/>
        <v>#REF!</v>
      </c>
    </row>
    <row r="62" spans="1:118" ht="108" customHeight="1">
      <c r="A62" s="122" t="e">
        <f>Summary!A62</f>
        <v>#REF!</v>
      </c>
      <c r="B62" s="64" t="s">
        <v>233</v>
      </c>
      <c r="C62" s="65" t="e">
        <f>Summary!B62</f>
        <v>#REF!</v>
      </c>
      <c r="D62" s="122"/>
      <c r="E62" s="64" t="s">
        <v>235</v>
      </c>
      <c r="F62" s="132" t="e">
        <f>Summary!C62</f>
        <v>#REF!</v>
      </c>
      <c r="G62" s="64" t="s">
        <v>236</v>
      </c>
      <c r="H62" s="132" t="e">
        <f>Summary!D62</f>
        <v>#REF!</v>
      </c>
      <c r="I62" s="64" t="s">
        <v>237</v>
      </c>
      <c r="J62" s="66">
        <f>Summary!E62</f>
        <v>4</v>
      </c>
      <c r="K62" s="64" t="s">
        <v>238</v>
      </c>
      <c r="L62" s="132" t="e">
        <f>Summary!F62</f>
        <v>#REF!</v>
      </c>
      <c r="M62" s="64" t="s">
        <v>239</v>
      </c>
      <c r="N62" s="132" t="e">
        <f>Summary!G62</f>
        <v>#REF!</v>
      </c>
      <c r="O62" s="64" t="s">
        <v>240</v>
      </c>
      <c r="P62" s="132" t="e">
        <f>Summary!H62</f>
        <v>#REF!</v>
      </c>
      <c r="Q62" s="65" t="s">
        <v>277</v>
      </c>
      <c r="R62" s="70" t="e">
        <f t="shared" si="0"/>
        <v>#REF!</v>
      </c>
      <c r="S62" s="64" t="s">
        <v>243</v>
      </c>
      <c r="T62" s="122"/>
      <c r="U62" s="71" t="s">
        <v>244</v>
      </c>
      <c r="V62" s="72" t="e">
        <f xml:space="preserve"> _xlfn.TEXTJOIN(" ", FALSE,#REF!)</f>
        <v>#REF!</v>
      </c>
      <c r="W62" s="122"/>
      <c r="X62" s="71" t="s">
        <v>245</v>
      </c>
      <c r="Y62" s="72" t="e">
        <f xml:space="preserve"> _xlfn.TEXTJOIN(" ", FALSE,#REF!)</f>
        <v>#REF!</v>
      </c>
      <c r="Z62" s="122"/>
      <c r="AA62" s="71" t="s">
        <v>246</v>
      </c>
      <c r="AB62" s="72" t="e">
        <f xml:space="preserve"> _xlfn.TEXTJOIN(" ", FALSE,#REF!)</f>
        <v>#REF!</v>
      </c>
      <c r="AC62" s="122"/>
      <c r="AD62" s="71" t="s">
        <v>247</v>
      </c>
      <c r="AE62" s="72" t="e">
        <f xml:space="preserve"> _xlfn.TEXTJOIN(" ", FALSE,#REF!)</f>
        <v>#REF!</v>
      </c>
      <c r="AF62" s="122"/>
      <c r="AG62" s="71" t="s">
        <v>248</v>
      </c>
      <c r="AH62" s="73" t="e">
        <f xml:space="preserve"> _xlfn.TEXTJOIN(" ", FALSE,#REF!)</f>
        <v>#REF!</v>
      </c>
      <c r="AI62" s="122"/>
      <c r="AJ62" s="71" t="s">
        <v>249</v>
      </c>
      <c r="AK62" s="73" t="e">
        <f xml:space="preserve"> _xlfn.TEXTJOIN(" ", FALSE,#REF!)</f>
        <v>#REF!</v>
      </c>
      <c r="AL62" s="122"/>
      <c r="AM62" s="71" t="s">
        <v>250</v>
      </c>
      <c r="AN62" s="73" t="e">
        <f xml:space="preserve"> _xlfn.TEXTJOIN(" ", FALSE,#REF!)</f>
        <v>#REF!</v>
      </c>
      <c r="AO62" s="122"/>
      <c r="AP62" s="71" t="s">
        <v>251</v>
      </c>
      <c r="AQ62" s="72" t="e">
        <f xml:space="preserve"> _xlfn.TEXTJOIN(" ", FALSE,#REF!)</f>
        <v>#REF!</v>
      </c>
      <c r="AR62" s="122"/>
      <c r="AS62" s="71" t="s">
        <v>252</v>
      </c>
      <c r="AT62" s="72" t="e">
        <f xml:space="preserve"> _xlfn.TEXTJOIN(" ", FALSE,#REF!)</f>
        <v>#REF!</v>
      </c>
      <c r="AU62" s="122"/>
      <c r="AV62" s="71" t="s">
        <v>253</v>
      </c>
      <c r="AW62" s="73" t="e">
        <f xml:space="preserve"> _xlfn.TEXTJOIN(" ", FALSE,#REF!)</f>
        <v>#REF!</v>
      </c>
      <c r="AX62" s="122"/>
      <c r="AY62" s="71" t="s">
        <v>254</v>
      </c>
      <c r="AZ62" s="72" t="e">
        <f xml:space="preserve"> _xlfn.TEXTJOIN(" ", FALSE,#REF!)</f>
        <v>#REF!</v>
      </c>
      <c r="BA62" s="122"/>
      <c r="BB62" s="71" t="s">
        <v>255</v>
      </c>
      <c r="BC62" s="72" t="e">
        <f xml:space="preserve"> _xlfn.TEXTJOIN(" ", FALSE,#REF!)</f>
        <v>#REF!</v>
      </c>
      <c r="BD62" s="122"/>
      <c r="BE62" s="71" t="s">
        <v>256</v>
      </c>
      <c r="BF62" s="72" t="e">
        <f xml:space="preserve"> _xlfn.TEXTJOIN(" ", FALSE,#REF!)</f>
        <v>#REF!</v>
      </c>
      <c r="BG62" s="65" t="s">
        <v>277</v>
      </c>
      <c r="BH62" s="70" t="e">
        <f t="shared" si="1"/>
        <v>#REF!</v>
      </c>
      <c r="BI62" s="64" t="s">
        <v>257</v>
      </c>
      <c r="BJ62" s="122"/>
      <c r="BK62" s="71" t="s">
        <v>258</v>
      </c>
      <c r="BL62" s="74" t="str">
        <f>_xlfn.TEXTJOIN(" ", FALSE, 'Task 2a - Mitigating the Proble'!U62:AC62)</f>
        <v xml:space="preserve">0 0 0 0 0 1 0 0 </v>
      </c>
      <c r="BM62" s="65" t="s">
        <v>277</v>
      </c>
      <c r="BN62" s="70" t="str">
        <f t="shared" si="2"/>
        <v>[Details for Task 2a:]  /Question 12: 0 0 0 0 0 1 0 0  .</v>
      </c>
      <c r="BO62" s="64" t="s">
        <v>259</v>
      </c>
      <c r="BP62" s="122"/>
      <c r="BQ62" s="71" t="s">
        <v>260</v>
      </c>
      <c r="BR62" s="73" t="e">
        <f xml:space="preserve"> _xlfn.TEXTJOIN(" ", FALSE,#REF!)</f>
        <v>#REF!</v>
      </c>
      <c r="BS62" s="122"/>
      <c r="BT62" s="71" t="s">
        <v>261</v>
      </c>
      <c r="BU62" s="73" t="e">
        <f xml:space="preserve"> _xlfn.TEXTJOIN(" ", FALSE,#REF!)</f>
        <v>#REF!</v>
      </c>
      <c r="BV62" s="122"/>
      <c r="BW62" s="71" t="s">
        <v>262</v>
      </c>
      <c r="BX62" s="73" t="e">
        <f xml:space="preserve"> _xlfn.TEXTJOIN(" ", FALSE,#REF!)</f>
        <v>#REF!</v>
      </c>
      <c r="BY62" s="122"/>
      <c r="BZ62" s="71" t="s">
        <v>263</v>
      </c>
      <c r="CA62" s="73" t="e">
        <f xml:space="preserve"> _xlfn.TEXTJOIN(" ", FALSE,#REF!)</f>
        <v>#REF!</v>
      </c>
      <c r="CB62" s="122"/>
      <c r="CC62" s="71" t="s">
        <v>264</v>
      </c>
      <c r="CD62" s="73" t="e">
        <f xml:space="preserve"> _xlfn.TEXTJOIN(" ", FALSE,#REF!)</f>
        <v>#REF!</v>
      </c>
      <c r="CE62" s="122"/>
      <c r="CF62" s="71" t="s">
        <v>265</v>
      </c>
      <c r="CG62" s="73" t="e">
        <f xml:space="preserve"> _xlfn.TEXTJOIN(" ", FALSE,#REF!)</f>
        <v>#REF!</v>
      </c>
      <c r="CH62" s="122"/>
      <c r="CI62" s="74" t="s">
        <v>278</v>
      </c>
      <c r="CJ62" s="73" t="e">
        <f xml:space="preserve"> _xlfn.TEXTJOIN(" ", FALSE,#REF!)</f>
        <v>#REF!</v>
      </c>
      <c r="CK62" s="65" t="s">
        <v>277</v>
      </c>
      <c r="CL62" s="70" t="e">
        <f t="shared" si="3"/>
        <v>#REF!</v>
      </c>
      <c r="CM62" s="64" t="s">
        <v>267</v>
      </c>
      <c r="CN62" s="122"/>
      <c r="CO62" s="71" t="s">
        <v>268</v>
      </c>
      <c r="CP62" s="73" t="e">
        <f xml:space="preserve"> _xlfn.TEXTJOIN(" ", FALSE,#REF!)</f>
        <v>#REF!</v>
      </c>
      <c r="CQ62" s="122"/>
      <c r="CR62" s="71" t="s">
        <v>269</v>
      </c>
      <c r="CS62" s="73" t="e">
        <f xml:space="preserve"> _xlfn.TEXTJOIN(" ", FALSE,#REF!)</f>
        <v>#REF!</v>
      </c>
      <c r="CT62" s="122"/>
      <c r="CU62" s="71" t="s">
        <v>270</v>
      </c>
      <c r="CV62" s="72" t="e">
        <f xml:space="preserve"> _xlfn.TEXTJOIN(" ", FALSE,#REF!)</f>
        <v>#REF!</v>
      </c>
      <c r="CW62" s="122"/>
      <c r="CX62" s="71" t="s">
        <v>271</v>
      </c>
      <c r="CY62" s="72" t="e">
        <f xml:space="preserve"> _xlfn.TEXTJOIN(" ", FALSE,#REF!)</f>
        <v>#REF!</v>
      </c>
      <c r="CZ62" s="122"/>
      <c r="DA62" s="71" t="s">
        <v>272</v>
      </c>
      <c r="DB62" s="73" t="e">
        <f xml:space="preserve"> _xlfn.TEXTJOIN(" ", FALSE,#REF!)</f>
        <v>#REF!</v>
      </c>
      <c r="DC62" s="65" t="s">
        <v>277</v>
      </c>
      <c r="DD62" s="70" t="e">
        <f t="shared" si="4"/>
        <v>#REF!</v>
      </c>
      <c r="DE62" s="64" t="s">
        <v>273</v>
      </c>
      <c r="DF62" s="122"/>
      <c r="DG62" s="71" t="s">
        <v>274</v>
      </c>
      <c r="DH62" s="72" t="e">
        <f xml:space="preserve"> _xlfn.TEXTJOIN(" ", FALSE,#REF!)</f>
        <v>#REF!</v>
      </c>
      <c r="DI62" s="122"/>
      <c r="DJ62" s="71" t="s">
        <v>275</v>
      </c>
      <c r="DK62" s="73" t="e">
        <f xml:space="preserve"> _xlfn.TEXTJOIN(" ", FALSE,#REF!)</f>
        <v>#REF!</v>
      </c>
      <c r="DL62" s="65" t="s">
        <v>277</v>
      </c>
      <c r="DM62" s="70" t="e">
        <f t="shared" si="5"/>
        <v>#REF!</v>
      </c>
      <c r="DN62" s="70" t="e">
        <f t="shared" si="6"/>
        <v>#REF!</v>
      </c>
    </row>
    <row r="63" spans="1:118" ht="108" customHeight="1">
      <c r="A63" s="122" t="e">
        <f>Summary!A63</f>
        <v>#REF!</v>
      </c>
      <c r="B63" s="64" t="s">
        <v>233</v>
      </c>
      <c r="C63" s="65" t="e">
        <f>Summary!B63</f>
        <v>#REF!</v>
      </c>
      <c r="D63" s="122"/>
      <c r="E63" s="64" t="s">
        <v>235</v>
      </c>
      <c r="F63" s="132" t="e">
        <f>Summary!C63</f>
        <v>#REF!</v>
      </c>
      <c r="G63" s="64" t="s">
        <v>236</v>
      </c>
      <c r="H63" s="132" t="e">
        <f>Summary!D63</f>
        <v>#REF!</v>
      </c>
      <c r="I63" s="64" t="s">
        <v>237</v>
      </c>
      <c r="J63" s="66">
        <f>Summary!E63</f>
        <v>5</v>
      </c>
      <c r="K63" s="64" t="s">
        <v>238</v>
      </c>
      <c r="L63" s="132" t="e">
        <f>Summary!F63</f>
        <v>#REF!</v>
      </c>
      <c r="M63" s="64" t="s">
        <v>239</v>
      </c>
      <c r="N63" s="132" t="e">
        <f>Summary!G63</f>
        <v>#REF!</v>
      </c>
      <c r="O63" s="64" t="s">
        <v>240</v>
      </c>
      <c r="P63" s="132" t="e">
        <f>Summary!H63</f>
        <v>#REF!</v>
      </c>
      <c r="Q63" s="65" t="s">
        <v>277</v>
      </c>
      <c r="R63" s="70" t="e">
        <f t="shared" si="0"/>
        <v>#REF!</v>
      </c>
      <c r="S63" s="64" t="s">
        <v>243</v>
      </c>
      <c r="T63" s="122"/>
      <c r="U63" s="71" t="s">
        <v>244</v>
      </c>
      <c r="V63" s="72" t="e">
        <f xml:space="preserve"> _xlfn.TEXTJOIN(" ", FALSE,#REF!)</f>
        <v>#REF!</v>
      </c>
      <c r="W63" s="122"/>
      <c r="X63" s="71" t="s">
        <v>245</v>
      </c>
      <c r="Y63" s="72" t="e">
        <f xml:space="preserve"> _xlfn.TEXTJOIN(" ", FALSE,#REF!)</f>
        <v>#REF!</v>
      </c>
      <c r="Z63" s="122"/>
      <c r="AA63" s="71" t="s">
        <v>246</v>
      </c>
      <c r="AB63" s="72" t="e">
        <f xml:space="preserve"> _xlfn.TEXTJOIN(" ", FALSE,#REF!)</f>
        <v>#REF!</v>
      </c>
      <c r="AC63" s="122"/>
      <c r="AD63" s="71" t="s">
        <v>247</v>
      </c>
      <c r="AE63" s="72" t="e">
        <f xml:space="preserve"> _xlfn.TEXTJOIN(" ", FALSE,#REF!)</f>
        <v>#REF!</v>
      </c>
      <c r="AF63" s="122"/>
      <c r="AG63" s="71" t="s">
        <v>248</v>
      </c>
      <c r="AH63" s="73" t="e">
        <f xml:space="preserve"> _xlfn.TEXTJOIN(" ", FALSE,#REF!)</f>
        <v>#REF!</v>
      </c>
      <c r="AI63" s="122"/>
      <c r="AJ63" s="71" t="s">
        <v>249</v>
      </c>
      <c r="AK63" s="73" t="e">
        <f xml:space="preserve"> _xlfn.TEXTJOIN(" ", FALSE,#REF!)</f>
        <v>#REF!</v>
      </c>
      <c r="AL63" s="122"/>
      <c r="AM63" s="71" t="s">
        <v>250</v>
      </c>
      <c r="AN63" s="73" t="e">
        <f xml:space="preserve"> _xlfn.TEXTJOIN(" ", FALSE,#REF!)</f>
        <v>#REF!</v>
      </c>
      <c r="AO63" s="122"/>
      <c r="AP63" s="71" t="s">
        <v>251</v>
      </c>
      <c r="AQ63" s="72" t="e">
        <f xml:space="preserve"> _xlfn.TEXTJOIN(" ", FALSE,#REF!)</f>
        <v>#REF!</v>
      </c>
      <c r="AR63" s="122"/>
      <c r="AS63" s="71" t="s">
        <v>252</v>
      </c>
      <c r="AT63" s="72" t="e">
        <f xml:space="preserve"> _xlfn.TEXTJOIN(" ", FALSE,#REF!)</f>
        <v>#REF!</v>
      </c>
      <c r="AU63" s="122"/>
      <c r="AV63" s="71" t="s">
        <v>253</v>
      </c>
      <c r="AW63" s="73" t="e">
        <f xml:space="preserve"> _xlfn.TEXTJOIN(" ", FALSE,#REF!)</f>
        <v>#REF!</v>
      </c>
      <c r="AX63" s="122"/>
      <c r="AY63" s="71" t="s">
        <v>254</v>
      </c>
      <c r="AZ63" s="72" t="e">
        <f xml:space="preserve"> _xlfn.TEXTJOIN(" ", FALSE,#REF!)</f>
        <v>#REF!</v>
      </c>
      <c r="BA63" s="122"/>
      <c r="BB63" s="71" t="s">
        <v>255</v>
      </c>
      <c r="BC63" s="72" t="e">
        <f xml:space="preserve"> _xlfn.TEXTJOIN(" ", FALSE,#REF!)</f>
        <v>#REF!</v>
      </c>
      <c r="BD63" s="122"/>
      <c r="BE63" s="71" t="s">
        <v>256</v>
      </c>
      <c r="BF63" s="72" t="e">
        <f xml:space="preserve"> _xlfn.TEXTJOIN(" ", FALSE,#REF!)</f>
        <v>#REF!</v>
      </c>
      <c r="BG63" s="65" t="s">
        <v>277</v>
      </c>
      <c r="BH63" s="70" t="e">
        <f t="shared" si="1"/>
        <v>#REF!</v>
      </c>
      <c r="BI63" s="64" t="s">
        <v>257</v>
      </c>
      <c r="BJ63" s="122"/>
      <c r="BK63" s="71" t="s">
        <v>258</v>
      </c>
      <c r="BL63" s="74" t="str">
        <f>_xlfn.TEXTJOIN(" ", FALSE, 'Task 2a - Mitigating the Proble'!U63:AC63)</f>
        <v xml:space="preserve">1 0 0 0 0 1 0 0 </v>
      </c>
      <c r="BM63" s="65" t="s">
        <v>277</v>
      </c>
      <c r="BN63" s="70" t="str">
        <f t="shared" si="2"/>
        <v>[Details for Task 2a:]  /Question 12: 1 0 0 0 0 1 0 0  .</v>
      </c>
      <c r="BO63" s="64" t="s">
        <v>259</v>
      </c>
      <c r="BP63" s="122"/>
      <c r="BQ63" s="71" t="s">
        <v>260</v>
      </c>
      <c r="BR63" s="73" t="e">
        <f xml:space="preserve"> _xlfn.TEXTJOIN(" ", FALSE,#REF!)</f>
        <v>#REF!</v>
      </c>
      <c r="BS63" s="122"/>
      <c r="BT63" s="71" t="s">
        <v>261</v>
      </c>
      <c r="BU63" s="73" t="e">
        <f xml:space="preserve"> _xlfn.TEXTJOIN(" ", FALSE,#REF!)</f>
        <v>#REF!</v>
      </c>
      <c r="BV63" s="122"/>
      <c r="BW63" s="71" t="s">
        <v>262</v>
      </c>
      <c r="BX63" s="73" t="e">
        <f xml:space="preserve"> _xlfn.TEXTJOIN(" ", FALSE,#REF!)</f>
        <v>#REF!</v>
      </c>
      <c r="BY63" s="122"/>
      <c r="BZ63" s="71" t="s">
        <v>263</v>
      </c>
      <c r="CA63" s="73" t="e">
        <f xml:space="preserve"> _xlfn.TEXTJOIN(" ", FALSE,#REF!)</f>
        <v>#REF!</v>
      </c>
      <c r="CB63" s="122"/>
      <c r="CC63" s="71" t="s">
        <v>264</v>
      </c>
      <c r="CD63" s="73" t="e">
        <f xml:space="preserve"> _xlfn.TEXTJOIN(" ", FALSE,#REF!)</f>
        <v>#REF!</v>
      </c>
      <c r="CE63" s="122"/>
      <c r="CF63" s="71" t="s">
        <v>265</v>
      </c>
      <c r="CG63" s="73" t="e">
        <f xml:space="preserve"> _xlfn.TEXTJOIN(" ", FALSE,#REF!)</f>
        <v>#REF!</v>
      </c>
      <c r="CH63" s="122"/>
      <c r="CI63" s="74" t="s">
        <v>278</v>
      </c>
      <c r="CJ63" s="73" t="e">
        <f xml:space="preserve"> _xlfn.TEXTJOIN(" ", FALSE,#REF!)</f>
        <v>#REF!</v>
      </c>
      <c r="CK63" s="65" t="s">
        <v>277</v>
      </c>
      <c r="CL63" s="70" t="e">
        <f t="shared" si="3"/>
        <v>#REF!</v>
      </c>
      <c r="CM63" s="64" t="s">
        <v>267</v>
      </c>
      <c r="CN63" s="122"/>
      <c r="CO63" s="71" t="s">
        <v>268</v>
      </c>
      <c r="CP63" s="73" t="e">
        <f xml:space="preserve"> _xlfn.TEXTJOIN(" ", FALSE,#REF!)</f>
        <v>#REF!</v>
      </c>
      <c r="CQ63" s="122"/>
      <c r="CR63" s="71" t="s">
        <v>269</v>
      </c>
      <c r="CS63" s="73" t="e">
        <f xml:space="preserve"> _xlfn.TEXTJOIN(" ", FALSE,#REF!)</f>
        <v>#REF!</v>
      </c>
      <c r="CT63" s="122"/>
      <c r="CU63" s="71" t="s">
        <v>270</v>
      </c>
      <c r="CV63" s="72" t="e">
        <f xml:space="preserve"> _xlfn.TEXTJOIN(" ", FALSE,#REF!)</f>
        <v>#REF!</v>
      </c>
      <c r="CW63" s="122"/>
      <c r="CX63" s="71" t="s">
        <v>271</v>
      </c>
      <c r="CY63" s="72" t="e">
        <f xml:space="preserve"> _xlfn.TEXTJOIN(" ", FALSE,#REF!)</f>
        <v>#REF!</v>
      </c>
      <c r="CZ63" s="122"/>
      <c r="DA63" s="71" t="s">
        <v>272</v>
      </c>
      <c r="DB63" s="73" t="e">
        <f xml:space="preserve"> _xlfn.TEXTJOIN(" ", FALSE,#REF!)</f>
        <v>#REF!</v>
      </c>
      <c r="DC63" s="65" t="s">
        <v>277</v>
      </c>
      <c r="DD63" s="70" t="e">
        <f t="shared" si="4"/>
        <v>#REF!</v>
      </c>
      <c r="DE63" s="64" t="s">
        <v>273</v>
      </c>
      <c r="DF63" s="122"/>
      <c r="DG63" s="71" t="s">
        <v>274</v>
      </c>
      <c r="DH63" s="72" t="e">
        <f xml:space="preserve"> _xlfn.TEXTJOIN(" ", FALSE,#REF!)</f>
        <v>#REF!</v>
      </c>
      <c r="DI63" s="122"/>
      <c r="DJ63" s="71" t="s">
        <v>275</v>
      </c>
      <c r="DK63" s="73" t="e">
        <f xml:space="preserve"> _xlfn.TEXTJOIN(" ", FALSE,#REF!)</f>
        <v>#REF!</v>
      </c>
      <c r="DL63" s="65" t="s">
        <v>277</v>
      </c>
      <c r="DM63" s="70" t="e">
        <f t="shared" si="5"/>
        <v>#REF!</v>
      </c>
      <c r="DN63" s="70" t="e">
        <f t="shared" si="6"/>
        <v>#REF!</v>
      </c>
    </row>
    <row r="64" spans="1:118" ht="108" customHeight="1">
      <c r="A64" s="122" t="e">
        <f>Summary!A64</f>
        <v>#REF!</v>
      </c>
      <c r="B64" s="64" t="s">
        <v>233</v>
      </c>
      <c r="C64" s="65" t="e">
        <f>Summary!B64</f>
        <v>#REF!</v>
      </c>
      <c r="D64" s="122"/>
      <c r="E64" s="64" t="s">
        <v>235</v>
      </c>
      <c r="F64" s="132" t="e">
        <f>Summary!C64</f>
        <v>#REF!</v>
      </c>
      <c r="G64" s="64" t="s">
        <v>236</v>
      </c>
      <c r="H64" s="132" t="e">
        <f>Summary!D64</f>
        <v>#REF!</v>
      </c>
      <c r="I64" s="64" t="s">
        <v>237</v>
      </c>
      <c r="J64" s="66">
        <f>Summary!E64</f>
        <v>6</v>
      </c>
      <c r="K64" s="64" t="s">
        <v>238</v>
      </c>
      <c r="L64" s="132" t="e">
        <f>Summary!F64</f>
        <v>#REF!</v>
      </c>
      <c r="M64" s="64" t="s">
        <v>239</v>
      </c>
      <c r="N64" s="132" t="e">
        <f>Summary!G64</f>
        <v>#REF!</v>
      </c>
      <c r="O64" s="64" t="s">
        <v>240</v>
      </c>
      <c r="P64" s="132" t="e">
        <f>Summary!H64</f>
        <v>#REF!</v>
      </c>
      <c r="Q64" s="65" t="s">
        <v>277</v>
      </c>
      <c r="R64" s="70" t="e">
        <f t="shared" si="0"/>
        <v>#REF!</v>
      </c>
      <c r="S64" s="64" t="s">
        <v>243</v>
      </c>
      <c r="T64" s="122"/>
      <c r="U64" s="71" t="s">
        <v>244</v>
      </c>
      <c r="V64" s="72" t="e">
        <f xml:space="preserve"> _xlfn.TEXTJOIN(" ", FALSE,#REF!)</f>
        <v>#REF!</v>
      </c>
      <c r="W64" s="122"/>
      <c r="X64" s="71" t="s">
        <v>245</v>
      </c>
      <c r="Y64" s="72" t="e">
        <f xml:space="preserve"> _xlfn.TEXTJOIN(" ", FALSE,#REF!)</f>
        <v>#REF!</v>
      </c>
      <c r="Z64" s="122"/>
      <c r="AA64" s="71" t="s">
        <v>246</v>
      </c>
      <c r="AB64" s="72" t="e">
        <f xml:space="preserve"> _xlfn.TEXTJOIN(" ", FALSE,#REF!)</f>
        <v>#REF!</v>
      </c>
      <c r="AC64" s="122"/>
      <c r="AD64" s="71" t="s">
        <v>247</v>
      </c>
      <c r="AE64" s="72" t="e">
        <f xml:space="preserve"> _xlfn.TEXTJOIN(" ", FALSE,#REF!)</f>
        <v>#REF!</v>
      </c>
      <c r="AF64" s="122"/>
      <c r="AG64" s="71" t="s">
        <v>248</v>
      </c>
      <c r="AH64" s="73" t="e">
        <f xml:space="preserve"> _xlfn.TEXTJOIN(" ", FALSE,#REF!)</f>
        <v>#REF!</v>
      </c>
      <c r="AI64" s="122"/>
      <c r="AJ64" s="71" t="s">
        <v>249</v>
      </c>
      <c r="AK64" s="73" t="e">
        <f xml:space="preserve"> _xlfn.TEXTJOIN(" ", FALSE,#REF!)</f>
        <v>#REF!</v>
      </c>
      <c r="AL64" s="122"/>
      <c r="AM64" s="71" t="s">
        <v>250</v>
      </c>
      <c r="AN64" s="73" t="e">
        <f xml:space="preserve"> _xlfn.TEXTJOIN(" ", FALSE,#REF!)</f>
        <v>#REF!</v>
      </c>
      <c r="AO64" s="122"/>
      <c r="AP64" s="71" t="s">
        <v>251</v>
      </c>
      <c r="AQ64" s="72" t="e">
        <f xml:space="preserve"> _xlfn.TEXTJOIN(" ", FALSE,#REF!)</f>
        <v>#REF!</v>
      </c>
      <c r="AR64" s="122"/>
      <c r="AS64" s="71" t="s">
        <v>252</v>
      </c>
      <c r="AT64" s="72" t="e">
        <f xml:space="preserve"> _xlfn.TEXTJOIN(" ", FALSE,#REF!)</f>
        <v>#REF!</v>
      </c>
      <c r="AU64" s="122"/>
      <c r="AV64" s="71" t="s">
        <v>253</v>
      </c>
      <c r="AW64" s="73" t="e">
        <f xml:space="preserve"> _xlfn.TEXTJOIN(" ", FALSE,#REF!)</f>
        <v>#REF!</v>
      </c>
      <c r="AX64" s="122"/>
      <c r="AY64" s="71" t="s">
        <v>254</v>
      </c>
      <c r="AZ64" s="72" t="e">
        <f xml:space="preserve"> _xlfn.TEXTJOIN(" ", FALSE,#REF!)</f>
        <v>#REF!</v>
      </c>
      <c r="BA64" s="122"/>
      <c r="BB64" s="71" t="s">
        <v>255</v>
      </c>
      <c r="BC64" s="72" t="e">
        <f xml:space="preserve"> _xlfn.TEXTJOIN(" ", FALSE,#REF!)</f>
        <v>#REF!</v>
      </c>
      <c r="BD64" s="122"/>
      <c r="BE64" s="71" t="s">
        <v>256</v>
      </c>
      <c r="BF64" s="72" t="e">
        <f xml:space="preserve"> _xlfn.TEXTJOIN(" ", FALSE,#REF!)</f>
        <v>#REF!</v>
      </c>
      <c r="BG64" s="65" t="s">
        <v>277</v>
      </c>
      <c r="BH64" s="70" t="e">
        <f t="shared" si="1"/>
        <v>#REF!</v>
      </c>
      <c r="BI64" s="64" t="s">
        <v>257</v>
      </c>
      <c r="BJ64" s="122"/>
      <c r="BK64" s="71" t="s">
        <v>258</v>
      </c>
      <c r="BL64" s="74" t="str">
        <f>_xlfn.TEXTJOIN(" ", FALSE, 'Task 2a - Mitigating the Proble'!U64:AC64)</f>
        <v xml:space="preserve">1 0 1 0 1 1 0 0 </v>
      </c>
      <c r="BM64" s="65" t="s">
        <v>277</v>
      </c>
      <c r="BN64" s="70" t="str">
        <f t="shared" si="2"/>
        <v>[Details for Task 2a:]  /Question 12: 1 0 1 0 1 1 0 0  .</v>
      </c>
      <c r="BO64" s="64" t="s">
        <v>259</v>
      </c>
      <c r="BP64" s="122"/>
      <c r="BQ64" s="71" t="s">
        <v>260</v>
      </c>
      <c r="BR64" s="73" t="e">
        <f xml:space="preserve"> _xlfn.TEXTJOIN(" ", FALSE,#REF!)</f>
        <v>#REF!</v>
      </c>
      <c r="BS64" s="122"/>
      <c r="BT64" s="71" t="s">
        <v>261</v>
      </c>
      <c r="BU64" s="73" t="e">
        <f xml:space="preserve"> _xlfn.TEXTJOIN(" ", FALSE,#REF!)</f>
        <v>#REF!</v>
      </c>
      <c r="BV64" s="122"/>
      <c r="BW64" s="71" t="s">
        <v>262</v>
      </c>
      <c r="BX64" s="73" t="e">
        <f xml:space="preserve"> _xlfn.TEXTJOIN(" ", FALSE,#REF!)</f>
        <v>#REF!</v>
      </c>
      <c r="BY64" s="122"/>
      <c r="BZ64" s="71" t="s">
        <v>263</v>
      </c>
      <c r="CA64" s="73" t="e">
        <f xml:space="preserve"> _xlfn.TEXTJOIN(" ", FALSE,#REF!)</f>
        <v>#REF!</v>
      </c>
      <c r="CB64" s="122"/>
      <c r="CC64" s="71" t="s">
        <v>264</v>
      </c>
      <c r="CD64" s="73" t="e">
        <f xml:space="preserve"> _xlfn.TEXTJOIN(" ", FALSE,#REF!)</f>
        <v>#REF!</v>
      </c>
      <c r="CE64" s="122"/>
      <c r="CF64" s="71" t="s">
        <v>265</v>
      </c>
      <c r="CG64" s="73" t="e">
        <f xml:space="preserve"> _xlfn.TEXTJOIN(" ", FALSE,#REF!)</f>
        <v>#REF!</v>
      </c>
      <c r="CH64" s="122"/>
      <c r="CI64" s="74" t="s">
        <v>278</v>
      </c>
      <c r="CJ64" s="73" t="e">
        <f xml:space="preserve"> _xlfn.TEXTJOIN(" ", FALSE,#REF!)</f>
        <v>#REF!</v>
      </c>
      <c r="CK64" s="65" t="s">
        <v>277</v>
      </c>
      <c r="CL64" s="70" t="e">
        <f t="shared" si="3"/>
        <v>#REF!</v>
      </c>
      <c r="CM64" s="64" t="s">
        <v>267</v>
      </c>
      <c r="CN64" s="122"/>
      <c r="CO64" s="71" t="s">
        <v>268</v>
      </c>
      <c r="CP64" s="73" t="e">
        <f xml:space="preserve"> _xlfn.TEXTJOIN(" ", FALSE,#REF!)</f>
        <v>#REF!</v>
      </c>
      <c r="CQ64" s="122"/>
      <c r="CR64" s="71" t="s">
        <v>269</v>
      </c>
      <c r="CS64" s="73" t="e">
        <f xml:space="preserve"> _xlfn.TEXTJOIN(" ", FALSE,#REF!)</f>
        <v>#REF!</v>
      </c>
      <c r="CT64" s="122"/>
      <c r="CU64" s="71" t="s">
        <v>270</v>
      </c>
      <c r="CV64" s="72" t="e">
        <f xml:space="preserve"> _xlfn.TEXTJOIN(" ", FALSE,#REF!)</f>
        <v>#REF!</v>
      </c>
      <c r="CW64" s="122"/>
      <c r="CX64" s="71" t="s">
        <v>271</v>
      </c>
      <c r="CY64" s="72" t="e">
        <f xml:space="preserve"> _xlfn.TEXTJOIN(" ", FALSE,#REF!)</f>
        <v>#REF!</v>
      </c>
      <c r="CZ64" s="122"/>
      <c r="DA64" s="71" t="s">
        <v>272</v>
      </c>
      <c r="DB64" s="73" t="e">
        <f xml:space="preserve"> _xlfn.TEXTJOIN(" ", FALSE,#REF!)</f>
        <v>#REF!</v>
      </c>
      <c r="DC64" s="65" t="s">
        <v>277</v>
      </c>
      <c r="DD64" s="70" t="e">
        <f t="shared" si="4"/>
        <v>#REF!</v>
      </c>
      <c r="DE64" s="64" t="s">
        <v>273</v>
      </c>
      <c r="DF64" s="122"/>
      <c r="DG64" s="71" t="s">
        <v>274</v>
      </c>
      <c r="DH64" s="72" t="e">
        <f xml:space="preserve"> _xlfn.TEXTJOIN(" ", FALSE,#REF!)</f>
        <v>#REF!</v>
      </c>
      <c r="DI64" s="122"/>
      <c r="DJ64" s="71" t="s">
        <v>275</v>
      </c>
      <c r="DK64" s="73" t="e">
        <f xml:space="preserve"> _xlfn.TEXTJOIN(" ", FALSE,#REF!)</f>
        <v>#REF!</v>
      </c>
      <c r="DL64" s="65" t="s">
        <v>277</v>
      </c>
      <c r="DM64" s="70" t="e">
        <f t="shared" si="5"/>
        <v>#REF!</v>
      </c>
      <c r="DN64" s="70" t="e">
        <f t="shared" si="6"/>
        <v>#REF!</v>
      </c>
    </row>
    <row r="65" spans="1:118" ht="108" customHeight="1">
      <c r="A65" s="122" t="e">
        <f>Summary!A65</f>
        <v>#REF!</v>
      </c>
      <c r="B65" s="64" t="s">
        <v>233</v>
      </c>
      <c r="C65" s="65" t="e">
        <f>Summary!B65</f>
        <v>#REF!</v>
      </c>
      <c r="D65" s="122"/>
      <c r="E65" s="64" t="s">
        <v>235</v>
      </c>
      <c r="F65" s="132" t="e">
        <f>Summary!C65</f>
        <v>#REF!</v>
      </c>
      <c r="G65" s="64" t="s">
        <v>236</v>
      </c>
      <c r="H65" s="132" t="e">
        <f>Summary!D65</f>
        <v>#REF!</v>
      </c>
      <c r="I65" s="64" t="s">
        <v>237</v>
      </c>
      <c r="J65" s="66">
        <f>Summary!E65</f>
        <v>5</v>
      </c>
      <c r="K65" s="64" t="s">
        <v>238</v>
      </c>
      <c r="L65" s="132" t="e">
        <f>Summary!F65</f>
        <v>#REF!</v>
      </c>
      <c r="M65" s="64" t="s">
        <v>239</v>
      </c>
      <c r="N65" s="132" t="e">
        <f>Summary!G65</f>
        <v>#REF!</v>
      </c>
      <c r="O65" s="64" t="s">
        <v>240</v>
      </c>
      <c r="P65" s="132" t="e">
        <f>Summary!H65</f>
        <v>#REF!</v>
      </c>
      <c r="Q65" s="65" t="s">
        <v>277</v>
      </c>
      <c r="R65" s="70" t="e">
        <f t="shared" si="0"/>
        <v>#REF!</v>
      </c>
      <c r="S65" s="64" t="s">
        <v>243</v>
      </c>
      <c r="T65" s="122"/>
      <c r="U65" s="71" t="s">
        <v>244</v>
      </c>
      <c r="V65" s="72" t="e">
        <f xml:space="preserve"> _xlfn.TEXTJOIN(" ", FALSE,#REF!)</f>
        <v>#REF!</v>
      </c>
      <c r="W65" s="122"/>
      <c r="X65" s="71" t="s">
        <v>245</v>
      </c>
      <c r="Y65" s="72" t="e">
        <f xml:space="preserve"> _xlfn.TEXTJOIN(" ", FALSE,#REF!)</f>
        <v>#REF!</v>
      </c>
      <c r="Z65" s="122"/>
      <c r="AA65" s="71" t="s">
        <v>246</v>
      </c>
      <c r="AB65" s="72" t="e">
        <f xml:space="preserve"> _xlfn.TEXTJOIN(" ", FALSE,#REF!)</f>
        <v>#REF!</v>
      </c>
      <c r="AC65" s="122"/>
      <c r="AD65" s="71" t="s">
        <v>247</v>
      </c>
      <c r="AE65" s="72" t="e">
        <f xml:space="preserve"> _xlfn.TEXTJOIN(" ", FALSE,#REF!)</f>
        <v>#REF!</v>
      </c>
      <c r="AF65" s="122"/>
      <c r="AG65" s="71" t="s">
        <v>248</v>
      </c>
      <c r="AH65" s="73" t="e">
        <f xml:space="preserve"> _xlfn.TEXTJOIN(" ", FALSE,#REF!)</f>
        <v>#REF!</v>
      </c>
      <c r="AI65" s="122"/>
      <c r="AJ65" s="71" t="s">
        <v>249</v>
      </c>
      <c r="AK65" s="73" t="e">
        <f xml:space="preserve"> _xlfn.TEXTJOIN(" ", FALSE,#REF!)</f>
        <v>#REF!</v>
      </c>
      <c r="AL65" s="122"/>
      <c r="AM65" s="71" t="s">
        <v>250</v>
      </c>
      <c r="AN65" s="73" t="e">
        <f xml:space="preserve"> _xlfn.TEXTJOIN(" ", FALSE,#REF!)</f>
        <v>#REF!</v>
      </c>
      <c r="AO65" s="122"/>
      <c r="AP65" s="71" t="s">
        <v>251</v>
      </c>
      <c r="AQ65" s="72" t="e">
        <f xml:space="preserve"> _xlfn.TEXTJOIN(" ", FALSE,#REF!)</f>
        <v>#REF!</v>
      </c>
      <c r="AR65" s="122"/>
      <c r="AS65" s="71" t="s">
        <v>252</v>
      </c>
      <c r="AT65" s="72" t="e">
        <f xml:space="preserve"> _xlfn.TEXTJOIN(" ", FALSE,#REF!)</f>
        <v>#REF!</v>
      </c>
      <c r="AU65" s="122"/>
      <c r="AV65" s="71" t="s">
        <v>253</v>
      </c>
      <c r="AW65" s="73" t="e">
        <f xml:space="preserve"> _xlfn.TEXTJOIN(" ", FALSE,#REF!)</f>
        <v>#REF!</v>
      </c>
      <c r="AX65" s="122"/>
      <c r="AY65" s="71" t="s">
        <v>254</v>
      </c>
      <c r="AZ65" s="72" t="e">
        <f xml:space="preserve"> _xlfn.TEXTJOIN(" ", FALSE,#REF!)</f>
        <v>#REF!</v>
      </c>
      <c r="BA65" s="122"/>
      <c r="BB65" s="71" t="s">
        <v>255</v>
      </c>
      <c r="BC65" s="72" t="e">
        <f xml:space="preserve"> _xlfn.TEXTJOIN(" ", FALSE,#REF!)</f>
        <v>#REF!</v>
      </c>
      <c r="BD65" s="122"/>
      <c r="BE65" s="71" t="s">
        <v>256</v>
      </c>
      <c r="BF65" s="72" t="e">
        <f xml:space="preserve"> _xlfn.TEXTJOIN(" ", FALSE,#REF!)</f>
        <v>#REF!</v>
      </c>
      <c r="BG65" s="65" t="s">
        <v>277</v>
      </c>
      <c r="BH65" s="70" t="e">
        <f t="shared" si="1"/>
        <v>#REF!</v>
      </c>
      <c r="BI65" s="64" t="s">
        <v>257</v>
      </c>
      <c r="BJ65" s="122"/>
      <c r="BK65" s="71" t="s">
        <v>258</v>
      </c>
      <c r="BL65" s="74" t="str">
        <f>_xlfn.TEXTJOIN(" ", FALSE, 'Task 2a - Mitigating the Proble'!U65:AC65)</f>
        <v xml:space="preserve">0 1 0 1 0 1 0 0 </v>
      </c>
      <c r="BM65" s="65" t="s">
        <v>277</v>
      </c>
      <c r="BN65" s="70" t="str">
        <f t="shared" si="2"/>
        <v>[Details for Task 2a:]  /Question 12: 0 1 0 1 0 1 0 0  .</v>
      </c>
      <c r="BO65" s="64" t="s">
        <v>259</v>
      </c>
      <c r="BP65" s="122"/>
      <c r="BQ65" s="71" t="s">
        <v>260</v>
      </c>
      <c r="BR65" s="73" t="e">
        <f xml:space="preserve"> _xlfn.TEXTJOIN(" ", FALSE,#REF!)</f>
        <v>#REF!</v>
      </c>
      <c r="BS65" s="122"/>
      <c r="BT65" s="71" t="s">
        <v>261</v>
      </c>
      <c r="BU65" s="73" t="e">
        <f xml:space="preserve"> _xlfn.TEXTJOIN(" ", FALSE,#REF!)</f>
        <v>#REF!</v>
      </c>
      <c r="BV65" s="122"/>
      <c r="BW65" s="71" t="s">
        <v>262</v>
      </c>
      <c r="BX65" s="73" t="e">
        <f xml:space="preserve"> _xlfn.TEXTJOIN(" ", FALSE,#REF!)</f>
        <v>#REF!</v>
      </c>
      <c r="BY65" s="122"/>
      <c r="BZ65" s="71" t="s">
        <v>263</v>
      </c>
      <c r="CA65" s="73" t="e">
        <f xml:space="preserve"> _xlfn.TEXTJOIN(" ", FALSE,#REF!)</f>
        <v>#REF!</v>
      </c>
      <c r="CB65" s="122"/>
      <c r="CC65" s="71" t="s">
        <v>264</v>
      </c>
      <c r="CD65" s="73" t="e">
        <f xml:space="preserve"> _xlfn.TEXTJOIN(" ", FALSE,#REF!)</f>
        <v>#REF!</v>
      </c>
      <c r="CE65" s="122"/>
      <c r="CF65" s="71" t="s">
        <v>265</v>
      </c>
      <c r="CG65" s="73" t="e">
        <f xml:space="preserve"> _xlfn.TEXTJOIN(" ", FALSE,#REF!)</f>
        <v>#REF!</v>
      </c>
      <c r="CH65" s="122"/>
      <c r="CI65" s="74" t="s">
        <v>278</v>
      </c>
      <c r="CJ65" s="73" t="e">
        <f xml:space="preserve"> _xlfn.TEXTJOIN(" ", FALSE,#REF!)</f>
        <v>#REF!</v>
      </c>
      <c r="CK65" s="65" t="s">
        <v>277</v>
      </c>
      <c r="CL65" s="70" t="e">
        <f t="shared" si="3"/>
        <v>#REF!</v>
      </c>
      <c r="CM65" s="64" t="s">
        <v>267</v>
      </c>
      <c r="CN65" s="122"/>
      <c r="CO65" s="71" t="s">
        <v>268</v>
      </c>
      <c r="CP65" s="73" t="e">
        <f xml:space="preserve"> _xlfn.TEXTJOIN(" ", FALSE,#REF!)</f>
        <v>#REF!</v>
      </c>
      <c r="CQ65" s="122"/>
      <c r="CR65" s="71" t="s">
        <v>269</v>
      </c>
      <c r="CS65" s="73" t="e">
        <f xml:space="preserve"> _xlfn.TEXTJOIN(" ", FALSE,#REF!)</f>
        <v>#REF!</v>
      </c>
      <c r="CT65" s="122"/>
      <c r="CU65" s="71" t="s">
        <v>270</v>
      </c>
      <c r="CV65" s="72" t="e">
        <f xml:space="preserve"> _xlfn.TEXTJOIN(" ", FALSE,#REF!)</f>
        <v>#REF!</v>
      </c>
      <c r="CW65" s="122"/>
      <c r="CX65" s="71" t="s">
        <v>271</v>
      </c>
      <c r="CY65" s="72" t="e">
        <f xml:space="preserve"> _xlfn.TEXTJOIN(" ", FALSE,#REF!)</f>
        <v>#REF!</v>
      </c>
      <c r="CZ65" s="122"/>
      <c r="DA65" s="71" t="s">
        <v>272</v>
      </c>
      <c r="DB65" s="73" t="e">
        <f xml:space="preserve"> _xlfn.TEXTJOIN(" ", FALSE,#REF!)</f>
        <v>#REF!</v>
      </c>
      <c r="DC65" s="65" t="s">
        <v>277</v>
      </c>
      <c r="DD65" s="70" t="e">
        <f t="shared" si="4"/>
        <v>#REF!</v>
      </c>
      <c r="DE65" s="64" t="s">
        <v>273</v>
      </c>
      <c r="DF65" s="122"/>
      <c r="DG65" s="71" t="s">
        <v>274</v>
      </c>
      <c r="DH65" s="72" t="e">
        <f xml:space="preserve"> _xlfn.TEXTJOIN(" ", FALSE,#REF!)</f>
        <v>#REF!</v>
      </c>
      <c r="DI65" s="122"/>
      <c r="DJ65" s="71" t="s">
        <v>275</v>
      </c>
      <c r="DK65" s="73" t="e">
        <f xml:space="preserve"> _xlfn.TEXTJOIN(" ", FALSE,#REF!)</f>
        <v>#REF!</v>
      </c>
      <c r="DL65" s="65" t="s">
        <v>277</v>
      </c>
      <c r="DM65" s="70" t="e">
        <f t="shared" si="5"/>
        <v>#REF!</v>
      </c>
      <c r="DN65" s="70" t="e">
        <f t="shared" si="6"/>
        <v>#REF!</v>
      </c>
    </row>
    <row r="66" spans="1:118" ht="108" customHeight="1">
      <c r="A66" s="122" t="e">
        <f>Summary!A66</f>
        <v>#REF!</v>
      </c>
      <c r="B66" s="64" t="s">
        <v>233</v>
      </c>
      <c r="C66" s="65" t="e">
        <f>Summary!B66</f>
        <v>#REF!</v>
      </c>
      <c r="D66" s="122"/>
      <c r="E66" s="64" t="s">
        <v>235</v>
      </c>
      <c r="F66" s="132" t="e">
        <f>Summary!C66</f>
        <v>#REF!</v>
      </c>
      <c r="G66" s="64" t="s">
        <v>236</v>
      </c>
      <c r="H66" s="132" t="e">
        <f>Summary!D66</f>
        <v>#REF!</v>
      </c>
      <c r="I66" s="64" t="s">
        <v>237</v>
      </c>
      <c r="J66" s="66">
        <f>Summary!E66</f>
        <v>5</v>
      </c>
      <c r="K66" s="64" t="s">
        <v>238</v>
      </c>
      <c r="L66" s="132" t="e">
        <f>Summary!F66</f>
        <v>#REF!</v>
      </c>
      <c r="M66" s="64" t="s">
        <v>239</v>
      </c>
      <c r="N66" s="132" t="e">
        <f>Summary!G66</f>
        <v>#REF!</v>
      </c>
      <c r="O66" s="64" t="s">
        <v>240</v>
      </c>
      <c r="P66" s="132" t="e">
        <f>Summary!H66</f>
        <v>#REF!</v>
      </c>
      <c r="Q66" s="65" t="s">
        <v>277</v>
      </c>
      <c r="R66" s="70" t="e">
        <f t="shared" si="0"/>
        <v>#REF!</v>
      </c>
      <c r="S66" s="64" t="s">
        <v>243</v>
      </c>
      <c r="T66" s="122"/>
      <c r="U66" s="71" t="s">
        <v>244</v>
      </c>
      <c r="V66" s="72" t="e">
        <f xml:space="preserve"> _xlfn.TEXTJOIN(" ", FALSE,#REF!)</f>
        <v>#REF!</v>
      </c>
      <c r="W66" s="122"/>
      <c r="X66" s="71" t="s">
        <v>245</v>
      </c>
      <c r="Y66" s="72" t="e">
        <f xml:space="preserve"> _xlfn.TEXTJOIN(" ", FALSE,#REF!)</f>
        <v>#REF!</v>
      </c>
      <c r="Z66" s="122"/>
      <c r="AA66" s="71" t="s">
        <v>246</v>
      </c>
      <c r="AB66" s="72" t="e">
        <f xml:space="preserve"> _xlfn.TEXTJOIN(" ", FALSE,#REF!)</f>
        <v>#REF!</v>
      </c>
      <c r="AC66" s="122"/>
      <c r="AD66" s="71" t="s">
        <v>247</v>
      </c>
      <c r="AE66" s="72" t="e">
        <f xml:space="preserve"> _xlfn.TEXTJOIN(" ", FALSE,#REF!)</f>
        <v>#REF!</v>
      </c>
      <c r="AF66" s="122"/>
      <c r="AG66" s="71" t="s">
        <v>248</v>
      </c>
      <c r="AH66" s="73" t="e">
        <f xml:space="preserve"> _xlfn.TEXTJOIN(" ", FALSE,#REF!)</f>
        <v>#REF!</v>
      </c>
      <c r="AI66" s="122"/>
      <c r="AJ66" s="71" t="s">
        <v>249</v>
      </c>
      <c r="AK66" s="73" t="e">
        <f xml:space="preserve"> _xlfn.TEXTJOIN(" ", FALSE,#REF!)</f>
        <v>#REF!</v>
      </c>
      <c r="AL66" s="122"/>
      <c r="AM66" s="71" t="s">
        <v>250</v>
      </c>
      <c r="AN66" s="73" t="e">
        <f xml:space="preserve"> _xlfn.TEXTJOIN(" ", FALSE,#REF!)</f>
        <v>#REF!</v>
      </c>
      <c r="AO66" s="122"/>
      <c r="AP66" s="71" t="s">
        <v>251</v>
      </c>
      <c r="AQ66" s="72" t="e">
        <f xml:space="preserve"> _xlfn.TEXTJOIN(" ", FALSE,#REF!)</f>
        <v>#REF!</v>
      </c>
      <c r="AR66" s="122"/>
      <c r="AS66" s="71" t="s">
        <v>252</v>
      </c>
      <c r="AT66" s="72" t="e">
        <f xml:space="preserve"> _xlfn.TEXTJOIN(" ", FALSE,#REF!)</f>
        <v>#REF!</v>
      </c>
      <c r="AU66" s="122"/>
      <c r="AV66" s="71" t="s">
        <v>253</v>
      </c>
      <c r="AW66" s="73" t="e">
        <f xml:space="preserve"> _xlfn.TEXTJOIN(" ", FALSE,#REF!)</f>
        <v>#REF!</v>
      </c>
      <c r="AX66" s="122"/>
      <c r="AY66" s="71" t="s">
        <v>254</v>
      </c>
      <c r="AZ66" s="72" t="e">
        <f xml:space="preserve"> _xlfn.TEXTJOIN(" ", FALSE,#REF!)</f>
        <v>#REF!</v>
      </c>
      <c r="BA66" s="122"/>
      <c r="BB66" s="71" t="s">
        <v>255</v>
      </c>
      <c r="BC66" s="72" t="e">
        <f xml:space="preserve"> _xlfn.TEXTJOIN(" ", FALSE,#REF!)</f>
        <v>#REF!</v>
      </c>
      <c r="BD66" s="122"/>
      <c r="BE66" s="71" t="s">
        <v>256</v>
      </c>
      <c r="BF66" s="72" t="e">
        <f xml:space="preserve"> _xlfn.TEXTJOIN(" ", FALSE,#REF!)</f>
        <v>#REF!</v>
      </c>
      <c r="BG66" s="65" t="s">
        <v>277</v>
      </c>
      <c r="BH66" s="70" t="e">
        <f t="shared" si="1"/>
        <v>#REF!</v>
      </c>
      <c r="BI66" s="64" t="s">
        <v>257</v>
      </c>
      <c r="BJ66" s="122"/>
      <c r="BK66" s="71" t="s">
        <v>258</v>
      </c>
      <c r="BL66" s="74" t="str">
        <f>_xlfn.TEXTJOIN(" ", FALSE, 'Task 2a - Mitigating the Proble'!U66:AC66)</f>
        <v xml:space="preserve">1 0 0 0 0 1 0 0 </v>
      </c>
      <c r="BM66" s="65" t="s">
        <v>277</v>
      </c>
      <c r="BN66" s="70" t="str">
        <f t="shared" si="2"/>
        <v>[Details for Task 2a:]  /Question 12: 1 0 0 0 0 1 0 0  .</v>
      </c>
      <c r="BO66" s="64" t="s">
        <v>259</v>
      </c>
      <c r="BP66" s="122"/>
      <c r="BQ66" s="71" t="s">
        <v>260</v>
      </c>
      <c r="BR66" s="73" t="e">
        <f xml:space="preserve"> _xlfn.TEXTJOIN(" ", FALSE,#REF!)</f>
        <v>#REF!</v>
      </c>
      <c r="BS66" s="122"/>
      <c r="BT66" s="71" t="s">
        <v>261</v>
      </c>
      <c r="BU66" s="73" t="e">
        <f xml:space="preserve"> _xlfn.TEXTJOIN(" ", FALSE,#REF!)</f>
        <v>#REF!</v>
      </c>
      <c r="BV66" s="122"/>
      <c r="BW66" s="71" t="s">
        <v>262</v>
      </c>
      <c r="BX66" s="73" t="e">
        <f xml:space="preserve"> _xlfn.TEXTJOIN(" ", FALSE,#REF!)</f>
        <v>#REF!</v>
      </c>
      <c r="BY66" s="122"/>
      <c r="BZ66" s="71" t="s">
        <v>263</v>
      </c>
      <c r="CA66" s="73" t="e">
        <f xml:space="preserve"> _xlfn.TEXTJOIN(" ", FALSE,#REF!)</f>
        <v>#REF!</v>
      </c>
      <c r="CB66" s="122"/>
      <c r="CC66" s="71" t="s">
        <v>264</v>
      </c>
      <c r="CD66" s="73" t="e">
        <f xml:space="preserve"> _xlfn.TEXTJOIN(" ", FALSE,#REF!)</f>
        <v>#REF!</v>
      </c>
      <c r="CE66" s="122"/>
      <c r="CF66" s="71" t="s">
        <v>265</v>
      </c>
      <c r="CG66" s="73" t="e">
        <f xml:space="preserve"> _xlfn.TEXTJOIN(" ", FALSE,#REF!)</f>
        <v>#REF!</v>
      </c>
      <c r="CH66" s="122"/>
      <c r="CI66" s="74" t="s">
        <v>278</v>
      </c>
      <c r="CJ66" s="73" t="e">
        <f xml:space="preserve"> _xlfn.TEXTJOIN(" ", FALSE,#REF!)</f>
        <v>#REF!</v>
      </c>
      <c r="CK66" s="65" t="s">
        <v>277</v>
      </c>
      <c r="CL66" s="70" t="e">
        <f t="shared" si="3"/>
        <v>#REF!</v>
      </c>
      <c r="CM66" s="64" t="s">
        <v>267</v>
      </c>
      <c r="CN66" s="122"/>
      <c r="CO66" s="71" t="s">
        <v>268</v>
      </c>
      <c r="CP66" s="73" t="e">
        <f xml:space="preserve"> _xlfn.TEXTJOIN(" ", FALSE,#REF!)</f>
        <v>#REF!</v>
      </c>
      <c r="CQ66" s="122"/>
      <c r="CR66" s="71" t="s">
        <v>269</v>
      </c>
      <c r="CS66" s="73" t="e">
        <f xml:space="preserve"> _xlfn.TEXTJOIN(" ", FALSE,#REF!)</f>
        <v>#REF!</v>
      </c>
      <c r="CT66" s="122"/>
      <c r="CU66" s="71" t="s">
        <v>270</v>
      </c>
      <c r="CV66" s="72" t="e">
        <f xml:space="preserve"> _xlfn.TEXTJOIN(" ", FALSE,#REF!)</f>
        <v>#REF!</v>
      </c>
      <c r="CW66" s="122"/>
      <c r="CX66" s="71" t="s">
        <v>271</v>
      </c>
      <c r="CY66" s="72" t="e">
        <f xml:space="preserve"> _xlfn.TEXTJOIN(" ", FALSE,#REF!)</f>
        <v>#REF!</v>
      </c>
      <c r="CZ66" s="122"/>
      <c r="DA66" s="71" t="s">
        <v>272</v>
      </c>
      <c r="DB66" s="73" t="e">
        <f xml:space="preserve"> _xlfn.TEXTJOIN(" ", FALSE,#REF!)</f>
        <v>#REF!</v>
      </c>
      <c r="DC66" s="65" t="s">
        <v>277</v>
      </c>
      <c r="DD66" s="70" t="e">
        <f t="shared" si="4"/>
        <v>#REF!</v>
      </c>
      <c r="DE66" s="64" t="s">
        <v>273</v>
      </c>
      <c r="DF66" s="122"/>
      <c r="DG66" s="71" t="s">
        <v>274</v>
      </c>
      <c r="DH66" s="72" t="e">
        <f xml:space="preserve"> _xlfn.TEXTJOIN(" ", FALSE,#REF!)</f>
        <v>#REF!</v>
      </c>
      <c r="DI66" s="122"/>
      <c r="DJ66" s="71" t="s">
        <v>275</v>
      </c>
      <c r="DK66" s="73" t="e">
        <f xml:space="preserve"> _xlfn.TEXTJOIN(" ", FALSE,#REF!)</f>
        <v>#REF!</v>
      </c>
      <c r="DL66" s="65" t="s">
        <v>277</v>
      </c>
      <c r="DM66" s="70" t="e">
        <f t="shared" si="5"/>
        <v>#REF!</v>
      </c>
      <c r="DN66" s="70" t="e">
        <f t="shared" si="6"/>
        <v>#REF!</v>
      </c>
    </row>
    <row r="67" spans="1:118" ht="108" customHeight="1">
      <c r="A67" s="122" t="e">
        <f>Summary!A67</f>
        <v>#REF!</v>
      </c>
      <c r="B67" s="64" t="s">
        <v>233</v>
      </c>
      <c r="C67" s="65" t="e">
        <f>Summary!B67</f>
        <v>#REF!</v>
      </c>
      <c r="D67" s="122"/>
      <c r="E67" s="64" t="s">
        <v>235</v>
      </c>
      <c r="F67" s="132" t="e">
        <f>Summary!C67</f>
        <v>#REF!</v>
      </c>
      <c r="G67" s="64" t="s">
        <v>236</v>
      </c>
      <c r="H67" s="132" t="e">
        <f>Summary!D67</f>
        <v>#REF!</v>
      </c>
      <c r="I67" s="64" t="s">
        <v>237</v>
      </c>
      <c r="J67" s="66">
        <f>Summary!E67</f>
        <v>7</v>
      </c>
      <c r="K67" s="64" t="s">
        <v>238</v>
      </c>
      <c r="L67" s="132" t="e">
        <f>Summary!F67</f>
        <v>#REF!</v>
      </c>
      <c r="M67" s="64" t="s">
        <v>239</v>
      </c>
      <c r="N67" s="132" t="e">
        <f>Summary!G67</f>
        <v>#REF!</v>
      </c>
      <c r="O67" s="64" t="s">
        <v>240</v>
      </c>
      <c r="P67" s="132" t="e">
        <f>Summary!H67</f>
        <v>#REF!</v>
      </c>
      <c r="Q67" s="65" t="s">
        <v>277</v>
      </c>
      <c r="R67" s="70" t="e">
        <f t="shared" si="0"/>
        <v>#REF!</v>
      </c>
      <c r="S67" s="64" t="s">
        <v>243</v>
      </c>
      <c r="T67" s="122"/>
      <c r="U67" s="71" t="s">
        <v>244</v>
      </c>
      <c r="V67" s="72" t="e">
        <f xml:space="preserve"> _xlfn.TEXTJOIN(" ", FALSE,#REF!)</f>
        <v>#REF!</v>
      </c>
      <c r="W67" s="122"/>
      <c r="X67" s="71" t="s">
        <v>245</v>
      </c>
      <c r="Y67" s="72" t="e">
        <f xml:space="preserve"> _xlfn.TEXTJOIN(" ", FALSE,#REF!)</f>
        <v>#REF!</v>
      </c>
      <c r="Z67" s="122"/>
      <c r="AA67" s="71" t="s">
        <v>246</v>
      </c>
      <c r="AB67" s="72" t="e">
        <f xml:space="preserve"> _xlfn.TEXTJOIN(" ", FALSE,#REF!)</f>
        <v>#REF!</v>
      </c>
      <c r="AC67" s="122"/>
      <c r="AD67" s="71" t="s">
        <v>247</v>
      </c>
      <c r="AE67" s="72" t="e">
        <f xml:space="preserve"> _xlfn.TEXTJOIN(" ", FALSE,#REF!)</f>
        <v>#REF!</v>
      </c>
      <c r="AF67" s="122"/>
      <c r="AG67" s="71" t="s">
        <v>248</v>
      </c>
      <c r="AH67" s="73" t="e">
        <f xml:space="preserve"> _xlfn.TEXTJOIN(" ", FALSE,#REF!)</f>
        <v>#REF!</v>
      </c>
      <c r="AI67" s="122"/>
      <c r="AJ67" s="71" t="s">
        <v>249</v>
      </c>
      <c r="AK67" s="73" t="e">
        <f xml:space="preserve"> _xlfn.TEXTJOIN(" ", FALSE,#REF!)</f>
        <v>#REF!</v>
      </c>
      <c r="AL67" s="122"/>
      <c r="AM67" s="71" t="s">
        <v>250</v>
      </c>
      <c r="AN67" s="73" t="e">
        <f xml:space="preserve"> _xlfn.TEXTJOIN(" ", FALSE,#REF!)</f>
        <v>#REF!</v>
      </c>
      <c r="AO67" s="122"/>
      <c r="AP67" s="71" t="s">
        <v>251</v>
      </c>
      <c r="AQ67" s="72" t="e">
        <f xml:space="preserve"> _xlfn.TEXTJOIN(" ", FALSE,#REF!)</f>
        <v>#REF!</v>
      </c>
      <c r="AR67" s="122"/>
      <c r="AS67" s="71" t="s">
        <v>252</v>
      </c>
      <c r="AT67" s="72" t="e">
        <f xml:space="preserve"> _xlfn.TEXTJOIN(" ", FALSE,#REF!)</f>
        <v>#REF!</v>
      </c>
      <c r="AU67" s="122"/>
      <c r="AV67" s="71" t="s">
        <v>253</v>
      </c>
      <c r="AW67" s="73" t="e">
        <f xml:space="preserve"> _xlfn.TEXTJOIN(" ", FALSE,#REF!)</f>
        <v>#REF!</v>
      </c>
      <c r="AX67" s="122"/>
      <c r="AY67" s="71" t="s">
        <v>254</v>
      </c>
      <c r="AZ67" s="72" t="e">
        <f xml:space="preserve"> _xlfn.TEXTJOIN(" ", FALSE,#REF!)</f>
        <v>#REF!</v>
      </c>
      <c r="BA67" s="122"/>
      <c r="BB67" s="71" t="s">
        <v>255</v>
      </c>
      <c r="BC67" s="72" t="e">
        <f xml:space="preserve"> _xlfn.TEXTJOIN(" ", FALSE,#REF!)</f>
        <v>#REF!</v>
      </c>
      <c r="BD67" s="122"/>
      <c r="BE67" s="71" t="s">
        <v>256</v>
      </c>
      <c r="BF67" s="72" t="e">
        <f xml:space="preserve"> _xlfn.TEXTJOIN(" ", FALSE,#REF!)</f>
        <v>#REF!</v>
      </c>
      <c r="BG67" s="65" t="s">
        <v>277</v>
      </c>
      <c r="BH67" s="70" t="e">
        <f t="shared" si="1"/>
        <v>#REF!</v>
      </c>
      <c r="BI67" s="64" t="s">
        <v>257</v>
      </c>
      <c r="BJ67" s="122"/>
      <c r="BK67" s="71" t="s">
        <v>258</v>
      </c>
      <c r="BL67" s="74" t="str">
        <f>_xlfn.TEXTJOIN(" ", FALSE, 'Task 2a - Mitigating the Proble'!U67:AC67)</f>
        <v xml:space="preserve">1 1 1 0 1 1 0 0 </v>
      </c>
      <c r="BM67" s="65" t="s">
        <v>277</v>
      </c>
      <c r="BN67" s="70" t="str">
        <f t="shared" si="2"/>
        <v>[Details for Task 2a:]  /Question 12: 1 1 1 0 1 1 0 0  .</v>
      </c>
      <c r="BO67" s="64" t="s">
        <v>259</v>
      </c>
      <c r="BP67" s="122"/>
      <c r="BQ67" s="71" t="s">
        <v>260</v>
      </c>
      <c r="BR67" s="73" t="e">
        <f xml:space="preserve"> _xlfn.TEXTJOIN(" ", FALSE,#REF!)</f>
        <v>#REF!</v>
      </c>
      <c r="BS67" s="122"/>
      <c r="BT67" s="71" t="s">
        <v>261</v>
      </c>
      <c r="BU67" s="73" t="e">
        <f xml:space="preserve"> _xlfn.TEXTJOIN(" ", FALSE,#REF!)</f>
        <v>#REF!</v>
      </c>
      <c r="BV67" s="122"/>
      <c r="BW67" s="71" t="s">
        <v>262</v>
      </c>
      <c r="BX67" s="73" t="e">
        <f xml:space="preserve"> _xlfn.TEXTJOIN(" ", FALSE,#REF!)</f>
        <v>#REF!</v>
      </c>
      <c r="BY67" s="122"/>
      <c r="BZ67" s="71" t="s">
        <v>263</v>
      </c>
      <c r="CA67" s="73" t="e">
        <f xml:space="preserve"> _xlfn.TEXTJOIN(" ", FALSE,#REF!)</f>
        <v>#REF!</v>
      </c>
      <c r="CB67" s="122"/>
      <c r="CC67" s="71" t="s">
        <v>264</v>
      </c>
      <c r="CD67" s="73" t="e">
        <f xml:space="preserve"> _xlfn.TEXTJOIN(" ", FALSE,#REF!)</f>
        <v>#REF!</v>
      </c>
      <c r="CE67" s="122"/>
      <c r="CF67" s="71" t="s">
        <v>265</v>
      </c>
      <c r="CG67" s="73" t="e">
        <f xml:space="preserve"> _xlfn.TEXTJOIN(" ", FALSE,#REF!)</f>
        <v>#REF!</v>
      </c>
      <c r="CH67" s="122"/>
      <c r="CI67" s="74" t="s">
        <v>278</v>
      </c>
      <c r="CJ67" s="73" t="e">
        <f xml:space="preserve"> _xlfn.TEXTJOIN(" ", FALSE,#REF!)</f>
        <v>#REF!</v>
      </c>
      <c r="CK67" s="65" t="s">
        <v>277</v>
      </c>
      <c r="CL67" s="70" t="e">
        <f t="shared" si="3"/>
        <v>#REF!</v>
      </c>
      <c r="CM67" s="64" t="s">
        <v>267</v>
      </c>
      <c r="CN67" s="122"/>
      <c r="CO67" s="71" t="s">
        <v>268</v>
      </c>
      <c r="CP67" s="73" t="e">
        <f xml:space="preserve"> _xlfn.TEXTJOIN(" ", FALSE,#REF!)</f>
        <v>#REF!</v>
      </c>
      <c r="CQ67" s="122"/>
      <c r="CR67" s="71" t="s">
        <v>269</v>
      </c>
      <c r="CS67" s="73" t="e">
        <f xml:space="preserve"> _xlfn.TEXTJOIN(" ", FALSE,#REF!)</f>
        <v>#REF!</v>
      </c>
      <c r="CT67" s="122"/>
      <c r="CU67" s="71" t="s">
        <v>270</v>
      </c>
      <c r="CV67" s="72" t="e">
        <f xml:space="preserve"> _xlfn.TEXTJOIN(" ", FALSE,#REF!)</f>
        <v>#REF!</v>
      </c>
      <c r="CW67" s="122"/>
      <c r="CX67" s="71" t="s">
        <v>271</v>
      </c>
      <c r="CY67" s="72" t="e">
        <f xml:space="preserve"> _xlfn.TEXTJOIN(" ", FALSE,#REF!)</f>
        <v>#REF!</v>
      </c>
      <c r="CZ67" s="122"/>
      <c r="DA67" s="71" t="s">
        <v>272</v>
      </c>
      <c r="DB67" s="73" t="e">
        <f xml:space="preserve"> _xlfn.TEXTJOIN(" ", FALSE,#REF!)</f>
        <v>#REF!</v>
      </c>
      <c r="DC67" s="65" t="s">
        <v>277</v>
      </c>
      <c r="DD67" s="70" t="e">
        <f t="shared" si="4"/>
        <v>#REF!</v>
      </c>
      <c r="DE67" s="64" t="s">
        <v>273</v>
      </c>
      <c r="DF67" s="122"/>
      <c r="DG67" s="71" t="s">
        <v>274</v>
      </c>
      <c r="DH67" s="72" t="e">
        <f xml:space="preserve"> _xlfn.TEXTJOIN(" ", FALSE,#REF!)</f>
        <v>#REF!</v>
      </c>
      <c r="DI67" s="122"/>
      <c r="DJ67" s="71" t="s">
        <v>275</v>
      </c>
      <c r="DK67" s="73" t="e">
        <f xml:space="preserve"> _xlfn.TEXTJOIN(" ", FALSE,#REF!)</f>
        <v>#REF!</v>
      </c>
      <c r="DL67" s="65" t="s">
        <v>277</v>
      </c>
      <c r="DM67" s="70" t="e">
        <f t="shared" si="5"/>
        <v>#REF!</v>
      </c>
      <c r="DN67" s="70" t="e">
        <f t="shared" si="6"/>
        <v>#REF!</v>
      </c>
    </row>
    <row r="68" spans="1:118" ht="108" customHeight="1">
      <c r="A68" s="122" t="e">
        <f>Summary!A68</f>
        <v>#REF!</v>
      </c>
      <c r="B68" s="64" t="s">
        <v>233</v>
      </c>
      <c r="C68" s="65" t="e">
        <f>Summary!B68</f>
        <v>#REF!</v>
      </c>
      <c r="D68" s="122"/>
      <c r="E68" s="64" t="s">
        <v>235</v>
      </c>
      <c r="F68" s="132" t="e">
        <f>Summary!C68</f>
        <v>#REF!</v>
      </c>
      <c r="G68" s="64" t="s">
        <v>236</v>
      </c>
      <c r="H68" s="132" t="e">
        <f>Summary!D68</f>
        <v>#REF!</v>
      </c>
      <c r="I68" s="64" t="s">
        <v>237</v>
      </c>
      <c r="J68" s="66">
        <f>Summary!E68</f>
        <v>6</v>
      </c>
      <c r="K68" s="64" t="s">
        <v>238</v>
      </c>
      <c r="L68" s="132" t="e">
        <f>Summary!F68</f>
        <v>#REF!</v>
      </c>
      <c r="M68" s="64" t="s">
        <v>239</v>
      </c>
      <c r="N68" s="132" t="e">
        <f>Summary!G68</f>
        <v>#REF!</v>
      </c>
      <c r="O68" s="64" t="s">
        <v>240</v>
      </c>
      <c r="P68" s="132" t="e">
        <f>Summary!H68</f>
        <v>#REF!</v>
      </c>
      <c r="Q68" s="65" t="s">
        <v>277</v>
      </c>
      <c r="R68" s="70" t="e">
        <f t="shared" si="0"/>
        <v>#REF!</v>
      </c>
      <c r="S68" s="64" t="s">
        <v>243</v>
      </c>
      <c r="T68" s="122"/>
      <c r="U68" s="71" t="s">
        <v>244</v>
      </c>
      <c r="V68" s="72" t="e">
        <f xml:space="preserve"> _xlfn.TEXTJOIN(" ", FALSE,#REF!)</f>
        <v>#REF!</v>
      </c>
      <c r="W68" s="122"/>
      <c r="X68" s="71" t="s">
        <v>245</v>
      </c>
      <c r="Y68" s="72" t="e">
        <f xml:space="preserve"> _xlfn.TEXTJOIN(" ", FALSE,#REF!)</f>
        <v>#REF!</v>
      </c>
      <c r="Z68" s="122"/>
      <c r="AA68" s="71" t="s">
        <v>246</v>
      </c>
      <c r="AB68" s="72" t="e">
        <f xml:space="preserve"> _xlfn.TEXTJOIN(" ", FALSE,#REF!)</f>
        <v>#REF!</v>
      </c>
      <c r="AC68" s="122"/>
      <c r="AD68" s="71" t="s">
        <v>247</v>
      </c>
      <c r="AE68" s="72" t="e">
        <f xml:space="preserve"> _xlfn.TEXTJOIN(" ", FALSE,#REF!)</f>
        <v>#REF!</v>
      </c>
      <c r="AF68" s="122"/>
      <c r="AG68" s="71" t="s">
        <v>248</v>
      </c>
      <c r="AH68" s="73" t="e">
        <f xml:space="preserve"> _xlfn.TEXTJOIN(" ", FALSE,#REF!)</f>
        <v>#REF!</v>
      </c>
      <c r="AI68" s="122"/>
      <c r="AJ68" s="71" t="s">
        <v>249</v>
      </c>
      <c r="AK68" s="73" t="e">
        <f xml:space="preserve"> _xlfn.TEXTJOIN(" ", FALSE,#REF!)</f>
        <v>#REF!</v>
      </c>
      <c r="AL68" s="122"/>
      <c r="AM68" s="71" t="s">
        <v>250</v>
      </c>
      <c r="AN68" s="73" t="e">
        <f xml:space="preserve"> _xlfn.TEXTJOIN(" ", FALSE,#REF!)</f>
        <v>#REF!</v>
      </c>
      <c r="AO68" s="122"/>
      <c r="AP68" s="71" t="s">
        <v>251</v>
      </c>
      <c r="AQ68" s="72" t="e">
        <f xml:space="preserve"> _xlfn.TEXTJOIN(" ", FALSE,#REF!)</f>
        <v>#REF!</v>
      </c>
      <c r="AR68" s="122"/>
      <c r="AS68" s="71" t="s">
        <v>252</v>
      </c>
      <c r="AT68" s="72" t="e">
        <f xml:space="preserve"> _xlfn.TEXTJOIN(" ", FALSE,#REF!)</f>
        <v>#REF!</v>
      </c>
      <c r="AU68" s="122"/>
      <c r="AV68" s="71" t="s">
        <v>253</v>
      </c>
      <c r="AW68" s="73" t="e">
        <f xml:space="preserve"> _xlfn.TEXTJOIN(" ", FALSE,#REF!)</f>
        <v>#REF!</v>
      </c>
      <c r="AX68" s="122"/>
      <c r="AY68" s="71" t="s">
        <v>254</v>
      </c>
      <c r="AZ68" s="72" t="e">
        <f xml:space="preserve"> _xlfn.TEXTJOIN(" ", FALSE,#REF!)</f>
        <v>#REF!</v>
      </c>
      <c r="BA68" s="122"/>
      <c r="BB68" s="71" t="s">
        <v>255</v>
      </c>
      <c r="BC68" s="72" t="e">
        <f xml:space="preserve"> _xlfn.TEXTJOIN(" ", FALSE,#REF!)</f>
        <v>#REF!</v>
      </c>
      <c r="BD68" s="122"/>
      <c r="BE68" s="71" t="s">
        <v>256</v>
      </c>
      <c r="BF68" s="72" t="e">
        <f xml:space="preserve"> _xlfn.TEXTJOIN(" ", FALSE,#REF!)</f>
        <v>#REF!</v>
      </c>
      <c r="BG68" s="65" t="s">
        <v>277</v>
      </c>
      <c r="BH68" s="70" t="e">
        <f t="shared" si="1"/>
        <v>#REF!</v>
      </c>
      <c r="BI68" s="64" t="s">
        <v>257</v>
      </c>
      <c r="BJ68" s="122"/>
      <c r="BK68" s="71" t="s">
        <v>258</v>
      </c>
      <c r="BL68" s="74" t="str">
        <f>_xlfn.TEXTJOIN(" ", FALSE, 'Task 2a - Mitigating the Proble'!U68:AC68)</f>
        <v xml:space="preserve">1 0 0 0 1 1 0 0 </v>
      </c>
      <c r="BM68" s="65" t="s">
        <v>277</v>
      </c>
      <c r="BN68" s="70" t="str">
        <f t="shared" si="2"/>
        <v>[Details for Task 2a:]  /Question 12: 1 0 0 0 1 1 0 0  .</v>
      </c>
      <c r="BO68" s="64" t="s">
        <v>259</v>
      </c>
      <c r="BP68" s="122"/>
      <c r="BQ68" s="71" t="s">
        <v>260</v>
      </c>
      <c r="BR68" s="73" t="e">
        <f xml:space="preserve"> _xlfn.TEXTJOIN(" ", FALSE,#REF!)</f>
        <v>#REF!</v>
      </c>
      <c r="BS68" s="122"/>
      <c r="BT68" s="71" t="s">
        <v>261</v>
      </c>
      <c r="BU68" s="73" t="e">
        <f xml:space="preserve"> _xlfn.TEXTJOIN(" ", FALSE,#REF!)</f>
        <v>#REF!</v>
      </c>
      <c r="BV68" s="122"/>
      <c r="BW68" s="71" t="s">
        <v>262</v>
      </c>
      <c r="BX68" s="73" t="e">
        <f xml:space="preserve"> _xlfn.TEXTJOIN(" ", FALSE,#REF!)</f>
        <v>#REF!</v>
      </c>
      <c r="BY68" s="122"/>
      <c r="BZ68" s="71" t="s">
        <v>263</v>
      </c>
      <c r="CA68" s="73" t="e">
        <f xml:space="preserve"> _xlfn.TEXTJOIN(" ", FALSE,#REF!)</f>
        <v>#REF!</v>
      </c>
      <c r="CB68" s="122"/>
      <c r="CC68" s="71" t="s">
        <v>264</v>
      </c>
      <c r="CD68" s="73" t="e">
        <f xml:space="preserve"> _xlfn.TEXTJOIN(" ", FALSE,#REF!)</f>
        <v>#REF!</v>
      </c>
      <c r="CE68" s="122"/>
      <c r="CF68" s="71" t="s">
        <v>265</v>
      </c>
      <c r="CG68" s="73" t="e">
        <f xml:space="preserve"> _xlfn.TEXTJOIN(" ", FALSE,#REF!)</f>
        <v>#REF!</v>
      </c>
      <c r="CH68" s="122"/>
      <c r="CI68" s="74" t="s">
        <v>278</v>
      </c>
      <c r="CJ68" s="73" t="e">
        <f xml:space="preserve"> _xlfn.TEXTJOIN(" ", FALSE,#REF!)</f>
        <v>#REF!</v>
      </c>
      <c r="CK68" s="65" t="s">
        <v>277</v>
      </c>
      <c r="CL68" s="70" t="e">
        <f t="shared" si="3"/>
        <v>#REF!</v>
      </c>
      <c r="CM68" s="64" t="s">
        <v>267</v>
      </c>
      <c r="CN68" s="122"/>
      <c r="CO68" s="71" t="s">
        <v>268</v>
      </c>
      <c r="CP68" s="73" t="e">
        <f xml:space="preserve"> _xlfn.TEXTJOIN(" ", FALSE,#REF!)</f>
        <v>#REF!</v>
      </c>
      <c r="CQ68" s="122"/>
      <c r="CR68" s="71" t="s">
        <v>269</v>
      </c>
      <c r="CS68" s="73" t="e">
        <f xml:space="preserve"> _xlfn.TEXTJOIN(" ", FALSE,#REF!)</f>
        <v>#REF!</v>
      </c>
      <c r="CT68" s="122"/>
      <c r="CU68" s="71" t="s">
        <v>270</v>
      </c>
      <c r="CV68" s="72" t="e">
        <f xml:space="preserve"> _xlfn.TEXTJOIN(" ", FALSE,#REF!)</f>
        <v>#REF!</v>
      </c>
      <c r="CW68" s="122"/>
      <c r="CX68" s="71" t="s">
        <v>271</v>
      </c>
      <c r="CY68" s="72" t="e">
        <f xml:space="preserve"> _xlfn.TEXTJOIN(" ", FALSE,#REF!)</f>
        <v>#REF!</v>
      </c>
      <c r="CZ68" s="122"/>
      <c r="DA68" s="71" t="s">
        <v>272</v>
      </c>
      <c r="DB68" s="73" t="e">
        <f xml:space="preserve"> _xlfn.TEXTJOIN(" ", FALSE,#REF!)</f>
        <v>#REF!</v>
      </c>
      <c r="DC68" s="65" t="s">
        <v>277</v>
      </c>
      <c r="DD68" s="70" t="e">
        <f t="shared" si="4"/>
        <v>#REF!</v>
      </c>
      <c r="DE68" s="64" t="s">
        <v>273</v>
      </c>
      <c r="DF68" s="122"/>
      <c r="DG68" s="71" t="s">
        <v>274</v>
      </c>
      <c r="DH68" s="72" t="e">
        <f xml:space="preserve"> _xlfn.TEXTJOIN(" ", FALSE,#REF!)</f>
        <v>#REF!</v>
      </c>
      <c r="DI68" s="122"/>
      <c r="DJ68" s="71" t="s">
        <v>275</v>
      </c>
      <c r="DK68" s="73" t="e">
        <f xml:space="preserve"> _xlfn.TEXTJOIN(" ", FALSE,#REF!)</f>
        <v>#REF!</v>
      </c>
      <c r="DL68" s="65" t="s">
        <v>277</v>
      </c>
      <c r="DM68" s="70" t="e">
        <f t="shared" si="5"/>
        <v>#REF!</v>
      </c>
      <c r="DN68" s="70" t="e">
        <f t="shared" si="6"/>
        <v>#REF!</v>
      </c>
    </row>
    <row r="69" spans="1:118" ht="108" customHeight="1">
      <c r="A69" s="122" t="e">
        <f>Summary!A69</f>
        <v>#REF!</v>
      </c>
      <c r="B69" s="64" t="s">
        <v>233</v>
      </c>
      <c r="C69" s="65" t="e">
        <f>Summary!B69</f>
        <v>#REF!</v>
      </c>
      <c r="D69" s="122"/>
      <c r="E69" s="64" t="s">
        <v>235</v>
      </c>
      <c r="F69" s="132" t="e">
        <f>Summary!C69</f>
        <v>#REF!</v>
      </c>
      <c r="G69" s="64" t="s">
        <v>236</v>
      </c>
      <c r="H69" s="132" t="e">
        <f>Summary!D69</f>
        <v>#REF!</v>
      </c>
      <c r="I69" s="64" t="s">
        <v>237</v>
      </c>
      <c r="J69" s="66">
        <f>Summary!E69</f>
        <v>6</v>
      </c>
      <c r="K69" s="64" t="s">
        <v>238</v>
      </c>
      <c r="L69" s="132" t="e">
        <f>Summary!F69</f>
        <v>#REF!</v>
      </c>
      <c r="M69" s="64" t="s">
        <v>239</v>
      </c>
      <c r="N69" s="132" t="e">
        <f>Summary!G69</f>
        <v>#REF!</v>
      </c>
      <c r="O69" s="64" t="s">
        <v>240</v>
      </c>
      <c r="P69" s="132" t="e">
        <f>Summary!H69</f>
        <v>#REF!</v>
      </c>
      <c r="Q69" s="65" t="s">
        <v>277</v>
      </c>
      <c r="R69" s="70" t="e">
        <f t="shared" si="0"/>
        <v>#REF!</v>
      </c>
      <c r="S69" s="64" t="s">
        <v>243</v>
      </c>
      <c r="T69" s="122"/>
      <c r="U69" s="71" t="s">
        <v>244</v>
      </c>
      <c r="V69" s="72" t="e">
        <f xml:space="preserve"> _xlfn.TEXTJOIN(" ", FALSE,#REF!)</f>
        <v>#REF!</v>
      </c>
      <c r="W69" s="122"/>
      <c r="X69" s="71" t="s">
        <v>245</v>
      </c>
      <c r="Y69" s="72" t="e">
        <f xml:space="preserve"> _xlfn.TEXTJOIN(" ", FALSE,#REF!)</f>
        <v>#REF!</v>
      </c>
      <c r="Z69" s="122"/>
      <c r="AA69" s="71" t="s">
        <v>246</v>
      </c>
      <c r="AB69" s="72" t="e">
        <f xml:space="preserve"> _xlfn.TEXTJOIN(" ", FALSE,#REF!)</f>
        <v>#REF!</v>
      </c>
      <c r="AC69" s="122"/>
      <c r="AD69" s="71" t="s">
        <v>247</v>
      </c>
      <c r="AE69" s="72" t="e">
        <f xml:space="preserve"> _xlfn.TEXTJOIN(" ", FALSE,#REF!)</f>
        <v>#REF!</v>
      </c>
      <c r="AF69" s="122"/>
      <c r="AG69" s="71" t="s">
        <v>248</v>
      </c>
      <c r="AH69" s="73" t="e">
        <f xml:space="preserve"> _xlfn.TEXTJOIN(" ", FALSE,#REF!)</f>
        <v>#REF!</v>
      </c>
      <c r="AI69" s="122"/>
      <c r="AJ69" s="71" t="s">
        <v>249</v>
      </c>
      <c r="AK69" s="73" t="e">
        <f xml:space="preserve"> _xlfn.TEXTJOIN(" ", FALSE,#REF!)</f>
        <v>#REF!</v>
      </c>
      <c r="AL69" s="122"/>
      <c r="AM69" s="71" t="s">
        <v>250</v>
      </c>
      <c r="AN69" s="73" t="e">
        <f xml:space="preserve"> _xlfn.TEXTJOIN(" ", FALSE,#REF!)</f>
        <v>#REF!</v>
      </c>
      <c r="AO69" s="122"/>
      <c r="AP69" s="71" t="s">
        <v>251</v>
      </c>
      <c r="AQ69" s="72" t="e">
        <f xml:space="preserve"> _xlfn.TEXTJOIN(" ", FALSE,#REF!)</f>
        <v>#REF!</v>
      </c>
      <c r="AR69" s="122"/>
      <c r="AS69" s="71" t="s">
        <v>252</v>
      </c>
      <c r="AT69" s="72" t="e">
        <f xml:space="preserve"> _xlfn.TEXTJOIN(" ", FALSE,#REF!)</f>
        <v>#REF!</v>
      </c>
      <c r="AU69" s="122"/>
      <c r="AV69" s="71" t="s">
        <v>253</v>
      </c>
      <c r="AW69" s="73" t="e">
        <f xml:space="preserve"> _xlfn.TEXTJOIN(" ", FALSE,#REF!)</f>
        <v>#REF!</v>
      </c>
      <c r="AX69" s="122"/>
      <c r="AY69" s="71" t="s">
        <v>254</v>
      </c>
      <c r="AZ69" s="72" t="e">
        <f xml:space="preserve"> _xlfn.TEXTJOIN(" ", FALSE,#REF!)</f>
        <v>#REF!</v>
      </c>
      <c r="BA69" s="122"/>
      <c r="BB69" s="71" t="s">
        <v>255</v>
      </c>
      <c r="BC69" s="72" t="e">
        <f xml:space="preserve"> _xlfn.TEXTJOIN(" ", FALSE,#REF!)</f>
        <v>#REF!</v>
      </c>
      <c r="BD69" s="122"/>
      <c r="BE69" s="71" t="s">
        <v>256</v>
      </c>
      <c r="BF69" s="72" t="e">
        <f xml:space="preserve"> _xlfn.TEXTJOIN(" ", FALSE,#REF!)</f>
        <v>#REF!</v>
      </c>
      <c r="BG69" s="65" t="s">
        <v>277</v>
      </c>
      <c r="BH69" s="70" t="e">
        <f t="shared" si="1"/>
        <v>#REF!</v>
      </c>
      <c r="BI69" s="64" t="s">
        <v>257</v>
      </c>
      <c r="BJ69" s="122"/>
      <c r="BK69" s="71" t="s">
        <v>258</v>
      </c>
      <c r="BL69" s="74" t="str">
        <f>_xlfn.TEXTJOIN(" ", FALSE, 'Task 2a - Mitigating the Proble'!U69:AC69)</f>
        <v xml:space="preserve">1 0 0 0 1 1 0 0 </v>
      </c>
      <c r="BM69" s="65" t="s">
        <v>277</v>
      </c>
      <c r="BN69" s="70" t="str">
        <f t="shared" si="2"/>
        <v>[Details for Task 2a:]  /Question 12: 1 0 0 0 1 1 0 0  .</v>
      </c>
      <c r="BO69" s="64" t="s">
        <v>259</v>
      </c>
      <c r="BP69" s="122"/>
      <c r="BQ69" s="71" t="s">
        <v>260</v>
      </c>
      <c r="BR69" s="73" t="e">
        <f xml:space="preserve"> _xlfn.TEXTJOIN(" ", FALSE,#REF!)</f>
        <v>#REF!</v>
      </c>
      <c r="BS69" s="122"/>
      <c r="BT69" s="71" t="s">
        <v>261</v>
      </c>
      <c r="BU69" s="73" t="e">
        <f xml:space="preserve"> _xlfn.TEXTJOIN(" ", FALSE,#REF!)</f>
        <v>#REF!</v>
      </c>
      <c r="BV69" s="122"/>
      <c r="BW69" s="71" t="s">
        <v>262</v>
      </c>
      <c r="BX69" s="73" t="e">
        <f xml:space="preserve"> _xlfn.TEXTJOIN(" ", FALSE,#REF!)</f>
        <v>#REF!</v>
      </c>
      <c r="BY69" s="122"/>
      <c r="BZ69" s="71" t="s">
        <v>263</v>
      </c>
      <c r="CA69" s="73" t="e">
        <f xml:space="preserve"> _xlfn.TEXTJOIN(" ", FALSE,#REF!)</f>
        <v>#REF!</v>
      </c>
      <c r="CB69" s="122"/>
      <c r="CC69" s="71" t="s">
        <v>264</v>
      </c>
      <c r="CD69" s="73" t="e">
        <f xml:space="preserve"> _xlfn.TEXTJOIN(" ", FALSE,#REF!)</f>
        <v>#REF!</v>
      </c>
      <c r="CE69" s="122"/>
      <c r="CF69" s="71" t="s">
        <v>265</v>
      </c>
      <c r="CG69" s="73" t="e">
        <f xml:space="preserve"> _xlfn.TEXTJOIN(" ", FALSE,#REF!)</f>
        <v>#REF!</v>
      </c>
      <c r="CH69" s="122"/>
      <c r="CI69" s="74" t="s">
        <v>278</v>
      </c>
      <c r="CJ69" s="73" t="e">
        <f xml:space="preserve"> _xlfn.TEXTJOIN(" ", FALSE,#REF!)</f>
        <v>#REF!</v>
      </c>
      <c r="CK69" s="65" t="s">
        <v>277</v>
      </c>
      <c r="CL69" s="70" t="e">
        <f t="shared" si="3"/>
        <v>#REF!</v>
      </c>
      <c r="CM69" s="64" t="s">
        <v>267</v>
      </c>
      <c r="CN69" s="122"/>
      <c r="CO69" s="71" t="s">
        <v>268</v>
      </c>
      <c r="CP69" s="73" t="e">
        <f xml:space="preserve"> _xlfn.TEXTJOIN(" ", FALSE,#REF!)</f>
        <v>#REF!</v>
      </c>
      <c r="CQ69" s="122"/>
      <c r="CR69" s="71" t="s">
        <v>269</v>
      </c>
      <c r="CS69" s="73" t="e">
        <f xml:space="preserve"> _xlfn.TEXTJOIN(" ", FALSE,#REF!)</f>
        <v>#REF!</v>
      </c>
      <c r="CT69" s="122"/>
      <c r="CU69" s="71" t="s">
        <v>270</v>
      </c>
      <c r="CV69" s="72" t="e">
        <f xml:space="preserve"> _xlfn.TEXTJOIN(" ", FALSE,#REF!)</f>
        <v>#REF!</v>
      </c>
      <c r="CW69" s="122"/>
      <c r="CX69" s="71" t="s">
        <v>271</v>
      </c>
      <c r="CY69" s="72" t="e">
        <f xml:space="preserve"> _xlfn.TEXTJOIN(" ", FALSE,#REF!)</f>
        <v>#REF!</v>
      </c>
      <c r="CZ69" s="122"/>
      <c r="DA69" s="71" t="s">
        <v>272</v>
      </c>
      <c r="DB69" s="73" t="e">
        <f xml:space="preserve"> _xlfn.TEXTJOIN(" ", FALSE,#REF!)</f>
        <v>#REF!</v>
      </c>
      <c r="DC69" s="65" t="s">
        <v>277</v>
      </c>
      <c r="DD69" s="70" t="e">
        <f t="shared" si="4"/>
        <v>#REF!</v>
      </c>
      <c r="DE69" s="64" t="s">
        <v>273</v>
      </c>
      <c r="DF69" s="122"/>
      <c r="DG69" s="71" t="s">
        <v>274</v>
      </c>
      <c r="DH69" s="72" t="e">
        <f xml:space="preserve"> _xlfn.TEXTJOIN(" ", FALSE,#REF!)</f>
        <v>#REF!</v>
      </c>
      <c r="DI69" s="122"/>
      <c r="DJ69" s="71" t="s">
        <v>275</v>
      </c>
      <c r="DK69" s="73" t="e">
        <f xml:space="preserve"> _xlfn.TEXTJOIN(" ", FALSE,#REF!)</f>
        <v>#REF!</v>
      </c>
      <c r="DL69" s="65" t="s">
        <v>277</v>
      </c>
      <c r="DM69" s="70" t="e">
        <f t="shared" si="5"/>
        <v>#REF!</v>
      </c>
      <c r="DN69" s="70" t="e">
        <f t="shared" si="6"/>
        <v>#REF!</v>
      </c>
    </row>
    <row r="70" spans="1:118" ht="108" customHeight="1">
      <c r="A70" s="122" t="e">
        <f>Summary!A70</f>
        <v>#REF!</v>
      </c>
      <c r="B70" s="64" t="s">
        <v>233</v>
      </c>
      <c r="C70" s="65" t="e">
        <f>Summary!B70</f>
        <v>#REF!</v>
      </c>
      <c r="D70" s="122"/>
      <c r="E70" s="64" t="s">
        <v>235</v>
      </c>
      <c r="F70" s="132" t="e">
        <f>Summary!C70</f>
        <v>#REF!</v>
      </c>
      <c r="G70" s="64" t="s">
        <v>236</v>
      </c>
      <c r="H70" s="132" t="e">
        <f>Summary!D70</f>
        <v>#REF!</v>
      </c>
      <c r="I70" s="64" t="s">
        <v>237</v>
      </c>
      <c r="J70" s="66">
        <f>Summary!E70</f>
        <v>6</v>
      </c>
      <c r="K70" s="64" t="s">
        <v>238</v>
      </c>
      <c r="L70" s="132" t="e">
        <f>Summary!F70</f>
        <v>#REF!</v>
      </c>
      <c r="M70" s="64" t="s">
        <v>239</v>
      </c>
      <c r="N70" s="132" t="e">
        <f>Summary!G70</f>
        <v>#REF!</v>
      </c>
      <c r="O70" s="64" t="s">
        <v>240</v>
      </c>
      <c r="P70" s="132" t="e">
        <f>Summary!H70</f>
        <v>#REF!</v>
      </c>
      <c r="Q70" s="65" t="s">
        <v>277</v>
      </c>
      <c r="R70" s="70" t="e">
        <f t="shared" si="0"/>
        <v>#REF!</v>
      </c>
      <c r="S70" s="64" t="s">
        <v>243</v>
      </c>
      <c r="T70" s="122"/>
      <c r="U70" s="71" t="s">
        <v>244</v>
      </c>
      <c r="V70" s="72" t="e">
        <f xml:space="preserve"> _xlfn.TEXTJOIN(" ", FALSE,#REF!)</f>
        <v>#REF!</v>
      </c>
      <c r="W70" s="122"/>
      <c r="X70" s="71" t="s">
        <v>245</v>
      </c>
      <c r="Y70" s="72" t="e">
        <f xml:space="preserve"> _xlfn.TEXTJOIN(" ", FALSE,#REF!)</f>
        <v>#REF!</v>
      </c>
      <c r="Z70" s="122"/>
      <c r="AA70" s="71" t="s">
        <v>246</v>
      </c>
      <c r="AB70" s="72" t="e">
        <f xml:space="preserve"> _xlfn.TEXTJOIN(" ", FALSE,#REF!)</f>
        <v>#REF!</v>
      </c>
      <c r="AC70" s="122"/>
      <c r="AD70" s="71" t="s">
        <v>247</v>
      </c>
      <c r="AE70" s="72" t="e">
        <f xml:space="preserve"> _xlfn.TEXTJOIN(" ", FALSE,#REF!)</f>
        <v>#REF!</v>
      </c>
      <c r="AF70" s="122"/>
      <c r="AG70" s="71" t="s">
        <v>248</v>
      </c>
      <c r="AH70" s="73" t="e">
        <f xml:space="preserve"> _xlfn.TEXTJOIN(" ", FALSE,#REF!)</f>
        <v>#REF!</v>
      </c>
      <c r="AI70" s="122"/>
      <c r="AJ70" s="71" t="s">
        <v>249</v>
      </c>
      <c r="AK70" s="73" t="e">
        <f xml:space="preserve"> _xlfn.TEXTJOIN(" ", FALSE,#REF!)</f>
        <v>#REF!</v>
      </c>
      <c r="AL70" s="122"/>
      <c r="AM70" s="71" t="s">
        <v>250</v>
      </c>
      <c r="AN70" s="73" t="e">
        <f xml:space="preserve"> _xlfn.TEXTJOIN(" ", FALSE,#REF!)</f>
        <v>#REF!</v>
      </c>
      <c r="AO70" s="122"/>
      <c r="AP70" s="71" t="s">
        <v>251</v>
      </c>
      <c r="AQ70" s="72" t="e">
        <f xml:space="preserve"> _xlfn.TEXTJOIN(" ", FALSE,#REF!)</f>
        <v>#REF!</v>
      </c>
      <c r="AR70" s="122"/>
      <c r="AS70" s="71" t="s">
        <v>252</v>
      </c>
      <c r="AT70" s="72" t="e">
        <f xml:space="preserve"> _xlfn.TEXTJOIN(" ", FALSE,#REF!)</f>
        <v>#REF!</v>
      </c>
      <c r="AU70" s="122"/>
      <c r="AV70" s="71" t="s">
        <v>253</v>
      </c>
      <c r="AW70" s="73" t="e">
        <f xml:space="preserve"> _xlfn.TEXTJOIN(" ", FALSE,#REF!)</f>
        <v>#REF!</v>
      </c>
      <c r="AX70" s="122"/>
      <c r="AY70" s="71" t="s">
        <v>254</v>
      </c>
      <c r="AZ70" s="72" t="e">
        <f xml:space="preserve"> _xlfn.TEXTJOIN(" ", FALSE,#REF!)</f>
        <v>#REF!</v>
      </c>
      <c r="BA70" s="122"/>
      <c r="BB70" s="71" t="s">
        <v>255</v>
      </c>
      <c r="BC70" s="72" t="e">
        <f xml:space="preserve"> _xlfn.TEXTJOIN(" ", FALSE,#REF!)</f>
        <v>#REF!</v>
      </c>
      <c r="BD70" s="122"/>
      <c r="BE70" s="71" t="s">
        <v>256</v>
      </c>
      <c r="BF70" s="72" t="e">
        <f xml:space="preserve"> _xlfn.TEXTJOIN(" ", FALSE,#REF!)</f>
        <v>#REF!</v>
      </c>
      <c r="BG70" s="65" t="s">
        <v>277</v>
      </c>
      <c r="BH70" s="70" t="e">
        <f t="shared" si="1"/>
        <v>#REF!</v>
      </c>
      <c r="BI70" s="64" t="s">
        <v>257</v>
      </c>
      <c r="BJ70" s="122"/>
      <c r="BK70" s="71" t="s">
        <v>258</v>
      </c>
      <c r="BL70" s="74" t="str">
        <f>_xlfn.TEXTJOIN(" ", FALSE, 'Task 2a - Mitigating the Proble'!U70:AC70)</f>
        <v xml:space="preserve">1 1 0 0 0 1 0 0 </v>
      </c>
      <c r="BM70" s="65" t="s">
        <v>277</v>
      </c>
      <c r="BN70" s="70" t="str">
        <f t="shared" si="2"/>
        <v>[Details for Task 2a:]  /Question 12: 1 1 0 0 0 1 0 0  .</v>
      </c>
      <c r="BO70" s="64" t="s">
        <v>259</v>
      </c>
      <c r="BP70" s="122"/>
      <c r="BQ70" s="71" t="s">
        <v>260</v>
      </c>
      <c r="BR70" s="73" t="e">
        <f xml:space="preserve"> _xlfn.TEXTJOIN(" ", FALSE,#REF!)</f>
        <v>#REF!</v>
      </c>
      <c r="BS70" s="122"/>
      <c r="BT70" s="71" t="s">
        <v>261</v>
      </c>
      <c r="BU70" s="73" t="e">
        <f xml:space="preserve"> _xlfn.TEXTJOIN(" ", FALSE,#REF!)</f>
        <v>#REF!</v>
      </c>
      <c r="BV70" s="122"/>
      <c r="BW70" s="71" t="s">
        <v>262</v>
      </c>
      <c r="BX70" s="73" t="e">
        <f xml:space="preserve"> _xlfn.TEXTJOIN(" ", FALSE,#REF!)</f>
        <v>#REF!</v>
      </c>
      <c r="BY70" s="122"/>
      <c r="BZ70" s="71" t="s">
        <v>263</v>
      </c>
      <c r="CA70" s="73" t="e">
        <f xml:space="preserve"> _xlfn.TEXTJOIN(" ", FALSE,#REF!)</f>
        <v>#REF!</v>
      </c>
      <c r="CB70" s="122"/>
      <c r="CC70" s="71" t="s">
        <v>264</v>
      </c>
      <c r="CD70" s="73" t="e">
        <f xml:space="preserve"> _xlfn.TEXTJOIN(" ", FALSE,#REF!)</f>
        <v>#REF!</v>
      </c>
      <c r="CE70" s="122"/>
      <c r="CF70" s="71" t="s">
        <v>265</v>
      </c>
      <c r="CG70" s="73" t="e">
        <f xml:space="preserve"> _xlfn.TEXTJOIN(" ", FALSE,#REF!)</f>
        <v>#REF!</v>
      </c>
      <c r="CH70" s="122"/>
      <c r="CI70" s="74" t="s">
        <v>278</v>
      </c>
      <c r="CJ70" s="73" t="e">
        <f xml:space="preserve"> _xlfn.TEXTJOIN(" ", FALSE,#REF!)</f>
        <v>#REF!</v>
      </c>
      <c r="CK70" s="65" t="s">
        <v>277</v>
      </c>
      <c r="CL70" s="70" t="e">
        <f t="shared" si="3"/>
        <v>#REF!</v>
      </c>
      <c r="CM70" s="64" t="s">
        <v>267</v>
      </c>
      <c r="CN70" s="122"/>
      <c r="CO70" s="71" t="s">
        <v>268</v>
      </c>
      <c r="CP70" s="73" t="e">
        <f xml:space="preserve"> _xlfn.TEXTJOIN(" ", FALSE,#REF!)</f>
        <v>#REF!</v>
      </c>
      <c r="CQ70" s="122"/>
      <c r="CR70" s="71" t="s">
        <v>269</v>
      </c>
      <c r="CS70" s="73" t="e">
        <f xml:space="preserve"> _xlfn.TEXTJOIN(" ", FALSE,#REF!)</f>
        <v>#REF!</v>
      </c>
      <c r="CT70" s="122"/>
      <c r="CU70" s="71" t="s">
        <v>270</v>
      </c>
      <c r="CV70" s="72" t="e">
        <f xml:space="preserve"> _xlfn.TEXTJOIN(" ", FALSE,#REF!)</f>
        <v>#REF!</v>
      </c>
      <c r="CW70" s="122"/>
      <c r="CX70" s="71" t="s">
        <v>271</v>
      </c>
      <c r="CY70" s="72" t="e">
        <f xml:space="preserve"> _xlfn.TEXTJOIN(" ", FALSE,#REF!)</f>
        <v>#REF!</v>
      </c>
      <c r="CZ70" s="122"/>
      <c r="DA70" s="71" t="s">
        <v>272</v>
      </c>
      <c r="DB70" s="73" t="e">
        <f xml:space="preserve"> _xlfn.TEXTJOIN(" ", FALSE,#REF!)</f>
        <v>#REF!</v>
      </c>
      <c r="DC70" s="65" t="s">
        <v>277</v>
      </c>
      <c r="DD70" s="70" t="e">
        <f t="shared" si="4"/>
        <v>#REF!</v>
      </c>
      <c r="DE70" s="64" t="s">
        <v>273</v>
      </c>
      <c r="DF70" s="122"/>
      <c r="DG70" s="71" t="s">
        <v>274</v>
      </c>
      <c r="DH70" s="72" t="e">
        <f xml:space="preserve"> _xlfn.TEXTJOIN(" ", FALSE,#REF!)</f>
        <v>#REF!</v>
      </c>
      <c r="DI70" s="122"/>
      <c r="DJ70" s="71" t="s">
        <v>275</v>
      </c>
      <c r="DK70" s="73" t="e">
        <f xml:space="preserve"> _xlfn.TEXTJOIN(" ", FALSE,#REF!)</f>
        <v>#REF!</v>
      </c>
      <c r="DL70" s="65" t="s">
        <v>277</v>
      </c>
      <c r="DM70" s="70" t="e">
        <f t="shared" si="5"/>
        <v>#REF!</v>
      </c>
      <c r="DN70" s="70" t="e">
        <f t="shared" si="6"/>
        <v>#REF!</v>
      </c>
    </row>
    <row r="71" spans="1:118" ht="108" customHeight="1">
      <c r="A71" s="122" t="e">
        <f>Summary!A71</f>
        <v>#REF!</v>
      </c>
      <c r="B71" s="64" t="s">
        <v>233</v>
      </c>
      <c r="C71" s="65" t="e">
        <f>Summary!B71</f>
        <v>#REF!</v>
      </c>
      <c r="D71" s="122"/>
      <c r="E71" s="64" t="s">
        <v>235</v>
      </c>
      <c r="F71" s="132" t="e">
        <f>Summary!C71</f>
        <v>#REF!</v>
      </c>
      <c r="G71" s="64" t="s">
        <v>236</v>
      </c>
      <c r="H71" s="132" t="e">
        <f>Summary!D71</f>
        <v>#REF!</v>
      </c>
      <c r="I71" s="64" t="s">
        <v>237</v>
      </c>
      <c r="J71" s="66">
        <f>Summary!E71</f>
        <v>8</v>
      </c>
      <c r="K71" s="64" t="s">
        <v>238</v>
      </c>
      <c r="L71" s="132" t="e">
        <f>Summary!F71</f>
        <v>#REF!</v>
      </c>
      <c r="M71" s="64" t="s">
        <v>239</v>
      </c>
      <c r="N71" s="132" t="e">
        <f>Summary!G71</f>
        <v>#REF!</v>
      </c>
      <c r="O71" s="64" t="s">
        <v>240</v>
      </c>
      <c r="P71" s="132" t="e">
        <f>Summary!H71</f>
        <v>#REF!</v>
      </c>
      <c r="Q71" s="65" t="s">
        <v>277</v>
      </c>
      <c r="R71" s="70" t="e">
        <f t="shared" si="0"/>
        <v>#REF!</v>
      </c>
      <c r="S71" s="64" t="s">
        <v>243</v>
      </c>
      <c r="T71" s="122"/>
      <c r="U71" s="71" t="s">
        <v>244</v>
      </c>
      <c r="V71" s="72" t="e">
        <f xml:space="preserve"> _xlfn.TEXTJOIN(" ", FALSE,#REF!)</f>
        <v>#REF!</v>
      </c>
      <c r="W71" s="122"/>
      <c r="X71" s="71" t="s">
        <v>245</v>
      </c>
      <c r="Y71" s="72" t="e">
        <f xml:space="preserve"> _xlfn.TEXTJOIN(" ", FALSE,#REF!)</f>
        <v>#REF!</v>
      </c>
      <c r="Z71" s="122"/>
      <c r="AA71" s="71" t="s">
        <v>246</v>
      </c>
      <c r="AB71" s="72" t="e">
        <f xml:space="preserve"> _xlfn.TEXTJOIN(" ", FALSE,#REF!)</f>
        <v>#REF!</v>
      </c>
      <c r="AC71" s="122"/>
      <c r="AD71" s="71" t="s">
        <v>247</v>
      </c>
      <c r="AE71" s="72" t="e">
        <f xml:space="preserve"> _xlfn.TEXTJOIN(" ", FALSE,#REF!)</f>
        <v>#REF!</v>
      </c>
      <c r="AF71" s="122"/>
      <c r="AG71" s="71" t="s">
        <v>248</v>
      </c>
      <c r="AH71" s="73" t="e">
        <f xml:space="preserve"> _xlfn.TEXTJOIN(" ", FALSE,#REF!)</f>
        <v>#REF!</v>
      </c>
      <c r="AI71" s="122"/>
      <c r="AJ71" s="71" t="s">
        <v>249</v>
      </c>
      <c r="AK71" s="73" t="e">
        <f xml:space="preserve"> _xlfn.TEXTJOIN(" ", FALSE,#REF!)</f>
        <v>#REF!</v>
      </c>
      <c r="AL71" s="122"/>
      <c r="AM71" s="71" t="s">
        <v>250</v>
      </c>
      <c r="AN71" s="73" t="e">
        <f xml:space="preserve"> _xlfn.TEXTJOIN(" ", FALSE,#REF!)</f>
        <v>#REF!</v>
      </c>
      <c r="AO71" s="122"/>
      <c r="AP71" s="71" t="s">
        <v>251</v>
      </c>
      <c r="AQ71" s="72" t="e">
        <f xml:space="preserve"> _xlfn.TEXTJOIN(" ", FALSE,#REF!)</f>
        <v>#REF!</v>
      </c>
      <c r="AR71" s="122"/>
      <c r="AS71" s="71" t="s">
        <v>252</v>
      </c>
      <c r="AT71" s="72" t="e">
        <f xml:space="preserve"> _xlfn.TEXTJOIN(" ", FALSE,#REF!)</f>
        <v>#REF!</v>
      </c>
      <c r="AU71" s="122"/>
      <c r="AV71" s="71" t="s">
        <v>253</v>
      </c>
      <c r="AW71" s="73" t="e">
        <f xml:space="preserve"> _xlfn.TEXTJOIN(" ", FALSE,#REF!)</f>
        <v>#REF!</v>
      </c>
      <c r="AX71" s="122"/>
      <c r="AY71" s="71" t="s">
        <v>254</v>
      </c>
      <c r="AZ71" s="72" t="e">
        <f xml:space="preserve"> _xlfn.TEXTJOIN(" ", FALSE,#REF!)</f>
        <v>#REF!</v>
      </c>
      <c r="BA71" s="122"/>
      <c r="BB71" s="71" t="s">
        <v>255</v>
      </c>
      <c r="BC71" s="72" t="e">
        <f xml:space="preserve"> _xlfn.TEXTJOIN(" ", FALSE,#REF!)</f>
        <v>#REF!</v>
      </c>
      <c r="BD71" s="122"/>
      <c r="BE71" s="71" t="s">
        <v>256</v>
      </c>
      <c r="BF71" s="72" t="e">
        <f xml:space="preserve"> _xlfn.TEXTJOIN(" ", FALSE,#REF!)</f>
        <v>#REF!</v>
      </c>
      <c r="BG71" s="65" t="s">
        <v>277</v>
      </c>
      <c r="BH71" s="70" t="e">
        <f t="shared" si="1"/>
        <v>#REF!</v>
      </c>
      <c r="BI71" s="64" t="s">
        <v>257</v>
      </c>
      <c r="BJ71" s="122"/>
      <c r="BK71" s="71" t="s">
        <v>258</v>
      </c>
      <c r="BL71" s="74" t="str">
        <f>_xlfn.TEXTJOIN(" ", FALSE, 'Task 2a - Mitigating the Proble'!U71:AC71)</f>
        <v xml:space="preserve">1 1 1 0 1 1 1 0 </v>
      </c>
      <c r="BM71" s="65" t="s">
        <v>277</v>
      </c>
      <c r="BN71" s="70" t="str">
        <f t="shared" si="2"/>
        <v>[Details for Task 2a:]  /Question 12: 1 1 1 0 1 1 1 0  .</v>
      </c>
      <c r="BO71" s="64" t="s">
        <v>259</v>
      </c>
      <c r="BP71" s="122"/>
      <c r="BQ71" s="71" t="s">
        <v>260</v>
      </c>
      <c r="BR71" s="73" t="e">
        <f xml:space="preserve"> _xlfn.TEXTJOIN(" ", FALSE,#REF!)</f>
        <v>#REF!</v>
      </c>
      <c r="BS71" s="122"/>
      <c r="BT71" s="71" t="s">
        <v>261</v>
      </c>
      <c r="BU71" s="73" t="e">
        <f xml:space="preserve"> _xlfn.TEXTJOIN(" ", FALSE,#REF!)</f>
        <v>#REF!</v>
      </c>
      <c r="BV71" s="122"/>
      <c r="BW71" s="71" t="s">
        <v>262</v>
      </c>
      <c r="BX71" s="73" t="e">
        <f xml:space="preserve"> _xlfn.TEXTJOIN(" ", FALSE,#REF!)</f>
        <v>#REF!</v>
      </c>
      <c r="BY71" s="122"/>
      <c r="BZ71" s="71" t="s">
        <v>263</v>
      </c>
      <c r="CA71" s="73" t="e">
        <f xml:space="preserve"> _xlfn.TEXTJOIN(" ", FALSE,#REF!)</f>
        <v>#REF!</v>
      </c>
      <c r="CB71" s="122"/>
      <c r="CC71" s="71" t="s">
        <v>264</v>
      </c>
      <c r="CD71" s="73" t="e">
        <f xml:space="preserve"> _xlfn.TEXTJOIN(" ", FALSE,#REF!)</f>
        <v>#REF!</v>
      </c>
      <c r="CE71" s="122"/>
      <c r="CF71" s="71" t="s">
        <v>265</v>
      </c>
      <c r="CG71" s="73" t="e">
        <f xml:space="preserve"> _xlfn.TEXTJOIN(" ", FALSE,#REF!)</f>
        <v>#REF!</v>
      </c>
      <c r="CH71" s="122"/>
      <c r="CI71" s="74" t="s">
        <v>278</v>
      </c>
      <c r="CJ71" s="73" t="e">
        <f xml:space="preserve"> _xlfn.TEXTJOIN(" ", FALSE,#REF!)</f>
        <v>#REF!</v>
      </c>
      <c r="CK71" s="65" t="s">
        <v>277</v>
      </c>
      <c r="CL71" s="70" t="e">
        <f t="shared" si="3"/>
        <v>#REF!</v>
      </c>
      <c r="CM71" s="64" t="s">
        <v>267</v>
      </c>
      <c r="CN71" s="122"/>
      <c r="CO71" s="71" t="s">
        <v>268</v>
      </c>
      <c r="CP71" s="73" t="e">
        <f xml:space="preserve"> _xlfn.TEXTJOIN(" ", FALSE,#REF!)</f>
        <v>#REF!</v>
      </c>
      <c r="CQ71" s="122"/>
      <c r="CR71" s="71" t="s">
        <v>269</v>
      </c>
      <c r="CS71" s="73" t="e">
        <f xml:space="preserve"> _xlfn.TEXTJOIN(" ", FALSE,#REF!)</f>
        <v>#REF!</v>
      </c>
      <c r="CT71" s="122"/>
      <c r="CU71" s="71" t="s">
        <v>270</v>
      </c>
      <c r="CV71" s="72" t="e">
        <f xml:space="preserve"> _xlfn.TEXTJOIN(" ", FALSE,#REF!)</f>
        <v>#REF!</v>
      </c>
      <c r="CW71" s="122"/>
      <c r="CX71" s="71" t="s">
        <v>271</v>
      </c>
      <c r="CY71" s="72" t="e">
        <f xml:space="preserve"> _xlfn.TEXTJOIN(" ", FALSE,#REF!)</f>
        <v>#REF!</v>
      </c>
      <c r="CZ71" s="122"/>
      <c r="DA71" s="71" t="s">
        <v>272</v>
      </c>
      <c r="DB71" s="73" t="e">
        <f xml:space="preserve"> _xlfn.TEXTJOIN(" ", FALSE,#REF!)</f>
        <v>#REF!</v>
      </c>
      <c r="DC71" s="65" t="s">
        <v>277</v>
      </c>
      <c r="DD71" s="70" t="e">
        <f t="shared" si="4"/>
        <v>#REF!</v>
      </c>
      <c r="DE71" s="64" t="s">
        <v>273</v>
      </c>
      <c r="DF71" s="122"/>
      <c r="DG71" s="71" t="s">
        <v>274</v>
      </c>
      <c r="DH71" s="72" t="e">
        <f xml:space="preserve"> _xlfn.TEXTJOIN(" ", FALSE,#REF!)</f>
        <v>#REF!</v>
      </c>
      <c r="DI71" s="122"/>
      <c r="DJ71" s="71" t="s">
        <v>275</v>
      </c>
      <c r="DK71" s="73" t="e">
        <f xml:space="preserve"> _xlfn.TEXTJOIN(" ", FALSE,#REF!)</f>
        <v>#REF!</v>
      </c>
      <c r="DL71" s="65" t="s">
        <v>277</v>
      </c>
      <c r="DM71" s="70" t="e">
        <f t="shared" si="5"/>
        <v>#REF!</v>
      </c>
      <c r="DN71" s="70" t="e">
        <f t="shared" si="6"/>
        <v>#REF!</v>
      </c>
    </row>
    <row r="72" spans="1:118" ht="108" customHeight="1">
      <c r="A72" s="122" t="e">
        <f>Summary!A72</f>
        <v>#REF!</v>
      </c>
      <c r="B72" s="64" t="s">
        <v>233</v>
      </c>
      <c r="C72" s="65" t="e">
        <f>Summary!B72</f>
        <v>#REF!</v>
      </c>
      <c r="D72" s="122"/>
      <c r="E72" s="64" t="s">
        <v>235</v>
      </c>
      <c r="F72" s="132" t="e">
        <f>Summary!C72</f>
        <v>#REF!</v>
      </c>
      <c r="G72" s="64" t="s">
        <v>236</v>
      </c>
      <c r="H72" s="132" t="e">
        <f>Summary!D72</f>
        <v>#REF!</v>
      </c>
      <c r="I72" s="64" t="s">
        <v>237</v>
      </c>
      <c r="J72" s="66">
        <f>Summary!E72</f>
        <v>7</v>
      </c>
      <c r="K72" s="64" t="s">
        <v>238</v>
      </c>
      <c r="L72" s="132" t="e">
        <f>Summary!F72</f>
        <v>#REF!</v>
      </c>
      <c r="M72" s="64" t="s">
        <v>239</v>
      </c>
      <c r="N72" s="132" t="e">
        <f>Summary!G72</f>
        <v>#REF!</v>
      </c>
      <c r="O72" s="64" t="s">
        <v>240</v>
      </c>
      <c r="P72" s="132" t="e">
        <f>Summary!H72</f>
        <v>#REF!</v>
      </c>
      <c r="Q72" s="65" t="s">
        <v>277</v>
      </c>
      <c r="R72" s="70" t="e">
        <f t="shared" ref="R72:R135" si="7">_xlfn.TEXTJOIN(" ", FALSE, B72:Q72)</f>
        <v>#REF!</v>
      </c>
      <c r="S72" s="64" t="s">
        <v>243</v>
      </c>
      <c r="T72" s="122"/>
      <c r="U72" s="71" t="s">
        <v>244</v>
      </c>
      <c r="V72" s="72" t="e">
        <f xml:space="preserve"> _xlfn.TEXTJOIN(" ", FALSE,#REF!)</f>
        <v>#REF!</v>
      </c>
      <c r="W72" s="122"/>
      <c r="X72" s="71" t="s">
        <v>245</v>
      </c>
      <c r="Y72" s="72" t="e">
        <f xml:space="preserve"> _xlfn.TEXTJOIN(" ", FALSE,#REF!)</f>
        <v>#REF!</v>
      </c>
      <c r="Z72" s="122"/>
      <c r="AA72" s="71" t="s">
        <v>246</v>
      </c>
      <c r="AB72" s="72" t="e">
        <f xml:space="preserve"> _xlfn.TEXTJOIN(" ", FALSE,#REF!)</f>
        <v>#REF!</v>
      </c>
      <c r="AC72" s="122"/>
      <c r="AD72" s="71" t="s">
        <v>247</v>
      </c>
      <c r="AE72" s="72" t="e">
        <f xml:space="preserve"> _xlfn.TEXTJOIN(" ", FALSE,#REF!)</f>
        <v>#REF!</v>
      </c>
      <c r="AF72" s="122"/>
      <c r="AG72" s="71" t="s">
        <v>248</v>
      </c>
      <c r="AH72" s="73" t="e">
        <f xml:space="preserve"> _xlfn.TEXTJOIN(" ", FALSE,#REF!)</f>
        <v>#REF!</v>
      </c>
      <c r="AI72" s="122"/>
      <c r="AJ72" s="71" t="s">
        <v>249</v>
      </c>
      <c r="AK72" s="73" t="e">
        <f xml:space="preserve"> _xlfn.TEXTJOIN(" ", FALSE,#REF!)</f>
        <v>#REF!</v>
      </c>
      <c r="AL72" s="122"/>
      <c r="AM72" s="71" t="s">
        <v>250</v>
      </c>
      <c r="AN72" s="73" t="e">
        <f xml:space="preserve"> _xlfn.TEXTJOIN(" ", FALSE,#REF!)</f>
        <v>#REF!</v>
      </c>
      <c r="AO72" s="122"/>
      <c r="AP72" s="71" t="s">
        <v>251</v>
      </c>
      <c r="AQ72" s="72" t="e">
        <f xml:space="preserve"> _xlfn.TEXTJOIN(" ", FALSE,#REF!)</f>
        <v>#REF!</v>
      </c>
      <c r="AR72" s="122"/>
      <c r="AS72" s="71" t="s">
        <v>252</v>
      </c>
      <c r="AT72" s="72" t="e">
        <f xml:space="preserve"> _xlfn.TEXTJOIN(" ", FALSE,#REF!)</f>
        <v>#REF!</v>
      </c>
      <c r="AU72" s="122"/>
      <c r="AV72" s="71" t="s">
        <v>253</v>
      </c>
      <c r="AW72" s="73" t="e">
        <f xml:space="preserve"> _xlfn.TEXTJOIN(" ", FALSE,#REF!)</f>
        <v>#REF!</v>
      </c>
      <c r="AX72" s="122"/>
      <c r="AY72" s="71" t="s">
        <v>254</v>
      </c>
      <c r="AZ72" s="72" t="e">
        <f xml:space="preserve"> _xlfn.TEXTJOIN(" ", FALSE,#REF!)</f>
        <v>#REF!</v>
      </c>
      <c r="BA72" s="122"/>
      <c r="BB72" s="71" t="s">
        <v>255</v>
      </c>
      <c r="BC72" s="72" t="e">
        <f xml:space="preserve"> _xlfn.TEXTJOIN(" ", FALSE,#REF!)</f>
        <v>#REF!</v>
      </c>
      <c r="BD72" s="122"/>
      <c r="BE72" s="71" t="s">
        <v>256</v>
      </c>
      <c r="BF72" s="72" t="e">
        <f xml:space="preserve"> _xlfn.TEXTJOIN(" ", FALSE,#REF!)</f>
        <v>#REF!</v>
      </c>
      <c r="BG72" s="65" t="s">
        <v>277</v>
      </c>
      <c r="BH72" s="70" t="e">
        <f t="shared" ref="BH72:BH135" si="8">_xlfn.TEXTJOIN(" ", FALSE, S72:BG72)</f>
        <v>#REF!</v>
      </c>
      <c r="BI72" s="64" t="s">
        <v>257</v>
      </c>
      <c r="BJ72" s="122"/>
      <c r="BK72" s="71" t="s">
        <v>258</v>
      </c>
      <c r="BL72" s="74" t="str">
        <f>_xlfn.TEXTJOIN(" ", FALSE, 'Task 2a - Mitigating the Proble'!U72:AC72)</f>
        <v xml:space="preserve">1 1 1 0 1 1 0 0 </v>
      </c>
      <c r="BM72" s="65" t="s">
        <v>277</v>
      </c>
      <c r="BN72" s="70" t="str">
        <f t="shared" ref="BN72:BN135" si="9">_xlfn.TEXTJOIN(" ", FALSE, BI72:BM72)</f>
        <v>[Details for Task 2a:]  /Question 12: 1 1 1 0 1 1 0 0  .</v>
      </c>
      <c r="BO72" s="64" t="s">
        <v>259</v>
      </c>
      <c r="BP72" s="122"/>
      <c r="BQ72" s="71" t="s">
        <v>260</v>
      </c>
      <c r="BR72" s="73" t="e">
        <f xml:space="preserve"> _xlfn.TEXTJOIN(" ", FALSE,#REF!)</f>
        <v>#REF!</v>
      </c>
      <c r="BS72" s="122"/>
      <c r="BT72" s="71" t="s">
        <v>261</v>
      </c>
      <c r="BU72" s="73" t="e">
        <f xml:space="preserve"> _xlfn.TEXTJOIN(" ", FALSE,#REF!)</f>
        <v>#REF!</v>
      </c>
      <c r="BV72" s="122"/>
      <c r="BW72" s="71" t="s">
        <v>262</v>
      </c>
      <c r="BX72" s="73" t="e">
        <f xml:space="preserve"> _xlfn.TEXTJOIN(" ", FALSE,#REF!)</f>
        <v>#REF!</v>
      </c>
      <c r="BY72" s="122"/>
      <c r="BZ72" s="71" t="s">
        <v>263</v>
      </c>
      <c r="CA72" s="73" t="e">
        <f xml:space="preserve"> _xlfn.TEXTJOIN(" ", FALSE,#REF!)</f>
        <v>#REF!</v>
      </c>
      <c r="CB72" s="122"/>
      <c r="CC72" s="71" t="s">
        <v>264</v>
      </c>
      <c r="CD72" s="73" t="e">
        <f xml:space="preserve"> _xlfn.TEXTJOIN(" ", FALSE,#REF!)</f>
        <v>#REF!</v>
      </c>
      <c r="CE72" s="122"/>
      <c r="CF72" s="71" t="s">
        <v>265</v>
      </c>
      <c r="CG72" s="73" t="e">
        <f xml:space="preserve"> _xlfn.TEXTJOIN(" ", FALSE,#REF!)</f>
        <v>#REF!</v>
      </c>
      <c r="CH72" s="122"/>
      <c r="CI72" s="74" t="s">
        <v>278</v>
      </c>
      <c r="CJ72" s="73" t="e">
        <f xml:space="preserve"> _xlfn.TEXTJOIN(" ", FALSE,#REF!)</f>
        <v>#REF!</v>
      </c>
      <c r="CK72" s="65" t="s">
        <v>277</v>
      </c>
      <c r="CL72" s="70" t="e">
        <f t="shared" ref="CL72:CL135" si="10">_xlfn.TEXTJOIN(" ", FALSE, BO72:CK72)</f>
        <v>#REF!</v>
      </c>
      <c r="CM72" s="64" t="s">
        <v>267</v>
      </c>
      <c r="CN72" s="122"/>
      <c r="CO72" s="71" t="s">
        <v>268</v>
      </c>
      <c r="CP72" s="73" t="e">
        <f xml:space="preserve"> _xlfn.TEXTJOIN(" ", FALSE,#REF!)</f>
        <v>#REF!</v>
      </c>
      <c r="CQ72" s="122"/>
      <c r="CR72" s="71" t="s">
        <v>269</v>
      </c>
      <c r="CS72" s="73" t="e">
        <f xml:space="preserve"> _xlfn.TEXTJOIN(" ", FALSE,#REF!)</f>
        <v>#REF!</v>
      </c>
      <c r="CT72" s="122"/>
      <c r="CU72" s="71" t="s">
        <v>270</v>
      </c>
      <c r="CV72" s="72" t="e">
        <f xml:space="preserve"> _xlfn.TEXTJOIN(" ", FALSE,#REF!)</f>
        <v>#REF!</v>
      </c>
      <c r="CW72" s="122"/>
      <c r="CX72" s="71" t="s">
        <v>271</v>
      </c>
      <c r="CY72" s="72" t="e">
        <f xml:space="preserve"> _xlfn.TEXTJOIN(" ", FALSE,#REF!)</f>
        <v>#REF!</v>
      </c>
      <c r="CZ72" s="122"/>
      <c r="DA72" s="71" t="s">
        <v>272</v>
      </c>
      <c r="DB72" s="73" t="e">
        <f xml:space="preserve"> _xlfn.TEXTJOIN(" ", FALSE,#REF!)</f>
        <v>#REF!</v>
      </c>
      <c r="DC72" s="65" t="s">
        <v>277</v>
      </c>
      <c r="DD72" s="70" t="e">
        <f t="shared" ref="DD72:DD135" si="11">_xlfn.TEXTJOIN(" ", FALSE, CM72:DC72)</f>
        <v>#REF!</v>
      </c>
      <c r="DE72" s="64" t="s">
        <v>273</v>
      </c>
      <c r="DF72" s="122"/>
      <c r="DG72" s="71" t="s">
        <v>274</v>
      </c>
      <c r="DH72" s="72" t="e">
        <f xml:space="preserve"> _xlfn.TEXTJOIN(" ", FALSE,#REF!)</f>
        <v>#REF!</v>
      </c>
      <c r="DI72" s="122"/>
      <c r="DJ72" s="71" t="s">
        <v>275</v>
      </c>
      <c r="DK72" s="73" t="e">
        <f xml:space="preserve"> _xlfn.TEXTJOIN(" ", FALSE,#REF!)</f>
        <v>#REF!</v>
      </c>
      <c r="DL72" s="65" t="s">
        <v>277</v>
      </c>
      <c r="DM72" s="70" t="e">
        <f t="shared" ref="DM72:DM135" si="12">_xlfn.TEXTJOIN(" ", FALSE, DE72:DL72)</f>
        <v>#REF!</v>
      </c>
      <c r="DN72" s="70" t="e">
        <f t="shared" ref="DN72:DN135" si="13">_xlfn.TEXTJOIN(CHAR(10), FALSE, R72,BH72,BN72,CL72,DD72,DM72)</f>
        <v>#REF!</v>
      </c>
    </row>
    <row r="73" spans="1:118" ht="108" customHeight="1">
      <c r="A73" s="122" t="e">
        <f>Summary!A73</f>
        <v>#REF!</v>
      </c>
      <c r="B73" s="64" t="s">
        <v>233</v>
      </c>
      <c r="C73" s="65" t="e">
        <f>Summary!B73</f>
        <v>#REF!</v>
      </c>
      <c r="D73" s="122"/>
      <c r="E73" s="64" t="s">
        <v>235</v>
      </c>
      <c r="F73" s="132" t="e">
        <f>Summary!C73</f>
        <v>#REF!</v>
      </c>
      <c r="G73" s="64" t="s">
        <v>236</v>
      </c>
      <c r="H73" s="132" t="e">
        <f>Summary!D73</f>
        <v>#REF!</v>
      </c>
      <c r="I73" s="64" t="s">
        <v>237</v>
      </c>
      <c r="J73" s="66">
        <f>Summary!E73</f>
        <v>6</v>
      </c>
      <c r="K73" s="64" t="s">
        <v>238</v>
      </c>
      <c r="L73" s="132" t="e">
        <f>Summary!F73</f>
        <v>#REF!</v>
      </c>
      <c r="M73" s="64" t="s">
        <v>239</v>
      </c>
      <c r="N73" s="132" t="e">
        <f>Summary!G73</f>
        <v>#REF!</v>
      </c>
      <c r="O73" s="64" t="s">
        <v>240</v>
      </c>
      <c r="P73" s="132" t="e">
        <f>Summary!H73</f>
        <v>#REF!</v>
      </c>
      <c r="Q73" s="65" t="s">
        <v>277</v>
      </c>
      <c r="R73" s="70" t="e">
        <f t="shared" si="7"/>
        <v>#REF!</v>
      </c>
      <c r="S73" s="64" t="s">
        <v>243</v>
      </c>
      <c r="T73" s="122"/>
      <c r="U73" s="71" t="s">
        <v>244</v>
      </c>
      <c r="V73" s="72" t="e">
        <f xml:space="preserve"> _xlfn.TEXTJOIN(" ", FALSE,#REF!)</f>
        <v>#REF!</v>
      </c>
      <c r="W73" s="122"/>
      <c r="X73" s="71" t="s">
        <v>245</v>
      </c>
      <c r="Y73" s="72" t="e">
        <f xml:space="preserve"> _xlfn.TEXTJOIN(" ", FALSE,#REF!)</f>
        <v>#REF!</v>
      </c>
      <c r="Z73" s="122"/>
      <c r="AA73" s="71" t="s">
        <v>246</v>
      </c>
      <c r="AB73" s="72" t="e">
        <f xml:space="preserve"> _xlfn.TEXTJOIN(" ", FALSE,#REF!)</f>
        <v>#REF!</v>
      </c>
      <c r="AC73" s="122"/>
      <c r="AD73" s="71" t="s">
        <v>247</v>
      </c>
      <c r="AE73" s="72" t="e">
        <f xml:space="preserve"> _xlfn.TEXTJOIN(" ", FALSE,#REF!)</f>
        <v>#REF!</v>
      </c>
      <c r="AF73" s="122"/>
      <c r="AG73" s="71" t="s">
        <v>248</v>
      </c>
      <c r="AH73" s="73" t="e">
        <f xml:space="preserve"> _xlfn.TEXTJOIN(" ", FALSE,#REF!)</f>
        <v>#REF!</v>
      </c>
      <c r="AI73" s="122"/>
      <c r="AJ73" s="71" t="s">
        <v>249</v>
      </c>
      <c r="AK73" s="73" t="e">
        <f xml:space="preserve"> _xlfn.TEXTJOIN(" ", FALSE,#REF!)</f>
        <v>#REF!</v>
      </c>
      <c r="AL73" s="122"/>
      <c r="AM73" s="71" t="s">
        <v>250</v>
      </c>
      <c r="AN73" s="73" t="e">
        <f xml:space="preserve"> _xlfn.TEXTJOIN(" ", FALSE,#REF!)</f>
        <v>#REF!</v>
      </c>
      <c r="AO73" s="122"/>
      <c r="AP73" s="71" t="s">
        <v>251</v>
      </c>
      <c r="AQ73" s="72" t="e">
        <f xml:space="preserve"> _xlfn.TEXTJOIN(" ", FALSE,#REF!)</f>
        <v>#REF!</v>
      </c>
      <c r="AR73" s="122"/>
      <c r="AS73" s="71" t="s">
        <v>252</v>
      </c>
      <c r="AT73" s="72" t="e">
        <f xml:space="preserve"> _xlfn.TEXTJOIN(" ", FALSE,#REF!)</f>
        <v>#REF!</v>
      </c>
      <c r="AU73" s="122"/>
      <c r="AV73" s="71" t="s">
        <v>253</v>
      </c>
      <c r="AW73" s="73" t="e">
        <f xml:space="preserve"> _xlfn.TEXTJOIN(" ", FALSE,#REF!)</f>
        <v>#REF!</v>
      </c>
      <c r="AX73" s="122"/>
      <c r="AY73" s="71" t="s">
        <v>254</v>
      </c>
      <c r="AZ73" s="72" t="e">
        <f xml:space="preserve"> _xlfn.TEXTJOIN(" ", FALSE,#REF!)</f>
        <v>#REF!</v>
      </c>
      <c r="BA73" s="122"/>
      <c r="BB73" s="71" t="s">
        <v>255</v>
      </c>
      <c r="BC73" s="72" t="e">
        <f xml:space="preserve"> _xlfn.TEXTJOIN(" ", FALSE,#REF!)</f>
        <v>#REF!</v>
      </c>
      <c r="BD73" s="122"/>
      <c r="BE73" s="71" t="s">
        <v>256</v>
      </c>
      <c r="BF73" s="72" t="e">
        <f xml:space="preserve"> _xlfn.TEXTJOIN(" ", FALSE,#REF!)</f>
        <v>#REF!</v>
      </c>
      <c r="BG73" s="65" t="s">
        <v>277</v>
      </c>
      <c r="BH73" s="70" t="e">
        <f t="shared" si="8"/>
        <v>#REF!</v>
      </c>
      <c r="BI73" s="64" t="s">
        <v>257</v>
      </c>
      <c r="BJ73" s="122"/>
      <c r="BK73" s="71" t="s">
        <v>258</v>
      </c>
      <c r="BL73" s="74" t="str">
        <f>_xlfn.TEXTJOIN(" ", FALSE, 'Task 2a - Mitigating the Proble'!U73:AC73)</f>
        <v xml:space="preserve">1 0 1 1 0 1 0 0 </v>
      </c>
      <c r="BM73" s="65" t="s">
        <v>277</v>
      </c>
      <c r="BN73" s="70" t="str">
        <f t="shared" si="9"/>
        <v>[Details for Task 2a:]  /Question 12: 1 0 1 1 0 1 0 0  .</v>
      </c>
      <c r="BO73" s="64" t="s">
        <v>259</v>
      </c>
      <c r="BP73" s="122"/>
      <c r="BQ73" s="71" t="s">
        <v>260</v>
      </c>
      <c r="BR73" s="73" t="e">
        <f xml:space="preserve"> _xlfn.TEXTJOIN(" ", FALSE,#REF!)</f>
        <v>#REF!</v>
      </c>
      <c r="BS73" s="122"/>
      <c r="BT73" s="71" t="s">
        <v>261</v>
      </c>
      <c r="BU73" s="73" t="e">
        <f xml:space="preserve"> _xlfn.TEXTJOIN(" ", FALSE,#REF!)</f>
        <v>#REF!</v>
      </c>
      <c r="BV73" s="122"/>
      <c r="BW73" s="71" t="s">
        <v>262</v>
      </c>
      <c r="BX73" s="73" t="e">
        <f xml:space="preserve"> _xlfn.TEXTJOIN(" ", FALSE,#REF!)</f>
        <v>#REF!</v>
      </c>
      <c r="BY73" s="122"/>
      <c r="BZ73" s="71" t="s">
        <v>263</v>
      </c>
      <c r="CA73" s="73" t="e">
        <f xml:space="preserve"> _xlfn.TEXTJOIN(" ", FALSE,#REF!)</f>
        <v>#REF!</v>
      </c>
      <c r="CB73" s="122"/>
      <c r="CC73" s="71" t="s">
        <v>264</v>
      </c>
      <c r="CD73" s="73" t="e">
        <f xml:space="preserve"> _xlfn.TEXTJOIN(" ", FALSE,#REF!)</f>
        <v>#REF!</v>
      </c>
      <c r="CE73" s="122"/>
      <c r="CF73" s="71" t="s">
        <v>265</v>
      </c>
      <c r="CG73" s="73" t="e">
        <f xml:space="preserve"> _xlfn.TEXTJOIN(" ", FALSE,#REF!)</f>
        <v>#REF!</v>
      </c>
      <c r="CH73" s="122"/>
      <c r="CI73" s="74" t="s">
        <v>278</v>
      </c>
      <c r="CJ73" s="73" t="e">
        <f xml:space="preserve"> _xlfn.TEXTJOIN(" ", FALSE,#REF!)</f>
        <v>#REF!</v>
      </c>
      <c r="CK73" s="65" t="s">
        <v>277</v>
      </c>
      <c r="CL73" s="70" t="e">
        <f t="shared" si="10"/>
        <v>#REF!</v>
      </c>
      <c r="CM73" s="64" t="s">
        <v>267</v>
      </c>
      <c r="CN73" s="122"/>
      <c r="CO73" s="71" t="s">
        <v>268</v>
      </c>
      <c r="CP73" s="73" t="e">
        <f xml:space="preserve"> _xlfn.TEXTJOIN(" ", FALSE,#REF!)</f>
        <v>#REF!</v>
      </c>
      <c r="CQ73" s="122"/>
      <c r="CR73" s="71" t="s">
        <v>269</v>
      </c>
      <c r="CS73" s="73" t="e">
        <f xml:space="preserve"> _xlfn.TEXTJOIN(" ", FALSE,#REF!)</f>
        <v>#REF!</v>
      </c>
      <c r="CT73" s="122"/>
      <c r="CU73" s="71" t="s">
        <v>270</v>
      </c>
      <c r="CV73" s="72" t="e">
        <f xml:space="preserve"> _xlfn.TEXTJOIN(" ", FALSE,#REF!)</f>
        <v>#REF!</v>
      </c>
      <c r="CW73" s="122"/>
      <c r="CX73" s="71" t="s">
        <v>271</v>
      </c>
      <c r="CY73" s="72" t="e">
        <f xml:space="preserve"> _xlfn.TEXTJOIN(" ", FALSE,#REF!)</f>
        <v>#REF!</v>
      </c>
      <c r="CZ73" s="122"/>
      <c r="DA73" s="71" t="s">
        <v>272</v>
      </c>
      <c r="DB73" s="73" t="e">
        <f xml:space="preserve"> _xlfn.TEXTJOIN(" ", FALSE,#REF!)</f>
        <v>#REF!</v>
      </c>
      <c r="DC73" s="65" t="s">
        <v>277</v>
      </c>
      <c r="DD73" s="70" t="e">
        <f t="shared" si="11"/>
        <v>#REF!</v>
      </c>
      <c r="DE73" s="64" t="s">
        <v>273</v>
      </c>
      <c r="DF73" s="122"/>
      <c r="DG73" s="71" t="s">
        <v>274</v>
      </c>
      <c r="DH73" s="72" t="e">
        <f xml:space="preserve"> _xlfn.TEXTJOIN(" ", FALSE,#REF!)</f>
        <v>#REF!</v>
      </c>
      <c r="DI73" s="122"/>
      <c r="DJ73" s="71" t="s">
        <v>275</v>
      </c>
      <c r="DK73" s="73" t="e">
        <f xml:space="preserve"> _xlfn.TEXTJOIN(" ", FALSE,#REF!)</f>
        <v>#REF!</v>
      </c>
      <c r="DL73" s="65" t="s">
        <v>277</v>
      </c>
      <c r="DM73" s="70" t="e">
        <f t="shared" si="12"/>
        <v>#REF!</v>
      </c>
      <c r="DN73" s="70" t="e">
        <f t="shared" si="13"/>
        <v>#REF!</v>
      </c>
    </row>
    <row r="74" spans="1:118" ht="108" customHeight="1">
      <c r="A74" s="122" t="e">
        <f>Summary!A74</f>
        <v>#REF!</v>
      </c>
      <c r="B74" s="64" t="s">
        <v>233</v>
      </c>
      <c r="C74" s="65" t="e">
        <f>Summary!B74</f>
        <v>#REF!</v>
      </c>
      <c r="D74" s="122"/>
      <c r="E74" s="64" t="s">
        <v>235</v>
      </c>
      <c r="F74" s="132" t="e">
        <f>Summary!C74</f>
        <v>#REF!</v>
      </c>
      <c r="G74" s="64" t="s">
        <v>236</v>
      </c>
      <c r="H74" s="132" t="e">
        <f>Summary!D74</f>
        <v>#REF!</v>
      </c>
      <c r="I74" s="64" t="s">
        <v>237</v>
      </c>
      <c r="J74" s="66">
        <f>Summary!E74</f>
        <v>8</v>
      </c>
      <c r="K74" s="64" t="s">
        <v>238</v>
      </c>
      <c r="L74" s="132" t="e">
        <f>Summary!F74</f>
        <v>#REF!</v>
      </c>
      <c r="M74" s="64" t="s">
        <v>239</v>
      </c>
      <c r="N74" s="132" t="e">
        <f>Summary!G74</f>
        <v>#REF!</v>
      </c>
      <c r="O74" s="64" t="s">
        <v>240</v>
      </c>
      <c r="P74" s="132" t="e">
        <f>Summary!H74</f>
        <v>#REF!</v>
      </c>
      <c r="Q74" s="65" t="s">
        <v>277</v>
      </c>
      <c r="R74" s="70" t="e">
        <f t="shared" si="7"/>
        <v>#REF!</v>
      </c>
      <c r="S74" s="64" t="s">
        <v>243</v>
      </c>
      <c r="T74" s="122"/>
      <c r="U74" s="71" t="s">
        <v>244</v>
      </c>
      <c r="V74" s="72" t="e">
        <f xml:space="preserve"> _xlfn.TEXTJOIN(" ", FALSE,#REF!)</f>
        <v>#REF!</v>
      </c>
      <c r="W74" s="122"/>
      <c r="X74" s="71" t="s">
        <v>245</v>
      </c>
      <c r="Y74" s="72" t="e">
        <f xml:space="preserve"> _xlfn.TEXTJOIN(" ", FALSE,#REF!)</f>
        <v>#REF!</v>
      </c>
      <c r="Z74" s="122"/>
      <c r="AA74" s="71" t="s">
        <v>246</v>
      </c>
      <c r="AB74" s="72" t="e">
        <f xml:space="preserve"> _xlfn.TEXTJOIN(" ", FALSE,#REF!)</f>
        <v>#REF!</v>
      </c>
      <c r="AC74" s="122"/>
      <c r="AD74" s="71" t="s">
        <v>247</v>
      </c>
      <c r="AE74" s="72" t="e">
        <f xml:space="preserve"> _xlfn.TEXTJOIN(" ", FALSE,#REF!)</f>
        <v>#REF!</v>
      </c>
      <c r="AF74" s="122"/>
      <c r="AG74" s="71" t="s">
        <v>248</v>
      </c>
      <c r="AH74" s="73" t="e">
        <f xml:space="preserve"> _xlfn.TEXTJOIN(" ", FALSE,#REF!)</f>
        <v>#REF!</v>
      </c>
      <c r="AI74" s="122"/>
      <c r="AJ74" s="71" t="s">
        <v>249</v>
      </c>
      <c r="AK74" s="73" t="e">
        <f xml:space="preserve"> _xlfn.TEXTJOIN(" ", FALSE,#REF!)</f>
        <v>#REF!</v>
      </c>
      <c r="AL74" s="122"/>
      <c r="AM74" s="71" t="s">
        <v>250</v>
      </c>
      <c r="AN74" s="73" t="e">
        <f xml:space="preserve"> _xlfn.TEXTJOIN(" ", FALSE,#REF!)</f>
        <v>#REF!</v>
      </c>
      <c r="AO74" s="122"/>
      <c r="AP74" s="71" t="s">
        <v>251</v>
      </c>
      <c r="AQ74" s="72" t="e">
        <f xml:space="preserve"> _xlfn.TEXTJOIN(" ", FALSE,#REF!)</f>
        <v>#REF!</v>
      </c>
      <c r="AR74" s="122"/>
      <c r="AS74" s="71" t="s">
        <v>252</v>
      </c>
      <c r="AT74" s="72" t="e">
        <f xml:space="preserve"> _xlfn.TEXTJOIN(" ", FALSE,#REF!)</f>
        <v>#REF!</v>
      </c>
      <c r="AU74" s="122"/>
      <c r="AV74" s="71" t="s">
        <v>253</v>
      </c>
      <c r="AW74" s="73" t="e">
        <f xml:space="preserve"> _xlfn.TEXTJOIN(" ", FALSE,#REF!)</f>
        <v>#REF!</v>
      </c>
      <c r="AX74" s="122"/>
      <c r="AY74" s="71" t="s">
        <v>254</v>
      </c>
      <c r="AZ74" s="72" t="e">
        <f xml:space="preserve"> _xlfn.TEXTJOIN(" ", FALSE,#REF!)</f>
        <v>#REF!</v>
      </c>
      <c r="BA74" s="122"/>
      <c r="BB74" s="71" t="s">
        <v>255</v>
      </c>
      <c r="BC74" s="72" t="e">
        <f xml:space="preserve"> _xlfn.TEXTJOIN(" ", FALSE,#REF!)</f>
        <v>#REF!</v>
      </c>
      <c r="BD74" s="122"/>
      <c r="BE74" s="71" t="s">
        <v>256</v>
      </c>
      <c r="BF74" s="72" t="e">
        <f xml:space="preserve"> _xlfn.TEXTJOIN(" ", FALSE,#REF!)</f>
        <v>#REF!</v>
      </c>
      <c r="BG74" s="65" t="s">
        <v>277</v>
      </c>
      <c r="BH74" s="70" t="e">
        <f t="shared" si="8"/>
        <v>#REF!</v>
      </c>
      <c r="BI74" s="64" t="s">
        <v>257</v>
      </c>
      <c r="BJ74" s="122"/>
      <c r="BK74" s="71" t="s">
        <v>258</v>
      </c>
      <c r="BL74" s="74" t="str">
        <f>_xlfn.TEXTJOIN(" ", FALSE, 'Task 2a - Mitigating the Proble'!U74:AC74)</f>
        <v xml:space="preserve">1 1 1 1 1 1 0 0 </v>
      </c>
      <c r="BM74" s="65" t="s">
        <v>277</v>
      </c>
      <c r="BN74" s="70" t="str">
        <f t="shared" si="9"/>
        <v>[Details for Task 2a:]  /Question 12: 1 1 1 1 1 1 0 0  .</v>
      </c>
      <c r="BO74" s="64" t="s">
        <v>259</v>
      </c>
      <c r="BP74" s="122"/>
      <c r="BQ74" s="71" t="s">
        <v>260</v>
      </c>
      <c r="BR74" s="73" t="e">
        <f xml:space="preserve"> _xlfn.TEXTJOIN(" ", FALSE,#REF!)</f>
        <v>#REF!</v>
      </c>
      <c r="BS74" s="122"/>
      <c r="BT74" s="71" t="s">
        <v>261</v>
      </c>
      <c r="BU74" s="73" t="e">
        <f xml:space="preserve"> _xlfn.TEXTJOIN(" ", FALSE,#REF!)</f>
        <v>#REF!</v>
      </c>
      <c r="BV74" s="122"/>
      <c r="BW74" s="71" t="s">
        <v>262</v>
      </c>
      <c r="BX74" s="73" t="e">
        <f xml:space="preserve"> _xlfn.TEXTJOIN(" ", FALSE,#REF!)</f>
        <v>#REF!</v>
      </c>
      <c r="BY74" s="122"/>
      <c r="BZ74" s="71" t="s">
        <v>263</v>
      </c>
      <c r="CA74" s="73" t="e">
        <f xml:space="preserve"> _xlfn.TEXTJOIN(" ", FALSE,#REF!)</f>
        <v>#REF!</v>
      </c>
      <c r="CB74" s="122"/>
      <c r="CC74" s="71" t="s">
        <v>264</v>
      </c>
      <c r="CD74" s="73" t="e">
        <f xml:space="preserve"> _xlfn.TEXTJOIN(" ", FALSE,#REF!)</f>
        <v>#REF!</v>
      </c>
      <c r="CE74" s="122"/>
      <c r="CF74" s="71" t="s">
        <v>265</v>
      </c>
      <c r="CG74" s="73" t="e">
        <f xml:space="preserve"> _xlfn.TEXTJOIN(" ", FALSE,#REF!)</f>
        <v>#REF!</v>
      </c>
      <c r="CH74" s="122"/>
      <c r="CI74" s="74" t="s">
        <v>278</v>
      </c>
      <c r="CJ74" s="73" t="e">
        <f xml:space="preserve"> _xlfn.TEXTJOIN(" ", FALSE,#REF!)</f>
        <v>#REF!</v>
      </c>
      <c r="CK74" s="65" t="s">
        <v>277</v>
      </c>
      <c r="CL74" s="70" t="e">
        <f t="shared" si="10"/>
        <v>#REF!</v>
      </c>
      <c r="CM74" s="64" t="s">
        <v>267</v>
      </c>
      <c r="CN74" s="122"/>
      <c r="CO74" s="71" t="s">
        <v>268</v>
      </c>
      <c r="CP74" s="73" t="e">
        <f xml:space="preserve"> _xlfn.TEXTJOIN(" ", FALSE,#REF!)</f>
        <v>#REF!</v>
      </c>
      <c r="CQ74" s="122"/>
      <c r="CR74" s="71" t="s">
        <v>269</v>
      </c>
      <c r="CS74" s="73" t="e">
        <f xml:space="preserve"> _xlfn.TEXTJOIN(" ", FALSE,#REF!)</f>
        <v>#REF!</v>
      </c>
      <c r="CT74" s="122"/>
      <c r="CU74" s="71" t="s">
        <v>270</v>
      </c>
      <c r="CV74" s="72" t="e">
        <f xml:space="preserve"> _xlfn.TEXTJOIN(" ", FALSE,#REF!)</f>
        <v>#REF!</v>
      </c>
      <c r="CW74" s="122"/>
      <c r="CX74" s="71" t="s">
        <v>271</v>
      </c>
      <c r="CY74" s="72" t="e">
        <f xml:space="preserve"> _xlfn.TEXTJOIN(" ", FALSE,#REF!)</f>
        <v>#REF!</v>
      </c>
      <c r="CZ74" s="122"/>
      <c r="DA74" s="71" t="s">
        <v>272</v>
      </c>
      <c r="DB74" s="73" t="e">
        <f xml:space="preserve"> _xlfn.TEXTJOIN(" ", FALSE,#REF!)</f>
        <v>#REF!</v>
      </c>
      <c r="DC74" s="65" t="s">
        <v>277</v>
      </c>
      <c r="DD74" s="70" t="e">
        <f t="shared" si="11"/>
        <v>#REF!</v>
      </c>
      <c r="DE74" s="64" t="s">
        <v>273</v>
      </c>
      <c r="DF74" s="122"/>
      <c r="DG74" s="71" t="s">
        <v>274</v>
      </c>
      <c r="DH74" s="72" t="e">
        <f xml:space="preserve"> _xlfn.TEXTJOIN(" ", FALSE,#REF!)</f>
        <v>#REF!</v>
      </c>
      <c r="DI74" s="122"/>
      <c r="DJ74" s="71" t="s">
        <v>275</v>
      </c>
      <c r="DK74" s="73" t="e">
        <f xml:space="preserve"> _xlfn.TEXTJOIN(" ", FALSE,#REF!)</f>
        <v>#REF!</v>
      </c>
      <c r="DL74" s="65" t="s">
        <v>277</v>
      </c>
      <c r="DM74" s="70" t="e">
        <f t="shared" si="12"/>
        <v>#REF!</v>
      </c>
      <c r="DN74" s="70" t="e">
        <f t="shared" si="13"/>
        <v>#REF!</v>
      </c>
    </row>
    <row r="75" spans="1:118" ht="108" customHeight="1">
      <c r="A75" s="122" t="e">
        <f>Summary!A75</f>
        <v>#REF!</v>
      </c>
      <c r="B75" s="64" t="s">
        <v>233</v>
      </c>
      <c r="C75" s="65" t="e">
        <f>Summary!B75</f>
        <v>#REF!</v>
      </c>
      <c r="D75" s="122"/>
      <c r="E75" s="64" t="s">
        <v>235</v>
      </c>
      <c r="F75" s="132" t="e">
        <f>Summary!C75</f>
        <v>#REF!</v>
      </c>
      <c r="G75" s="64" t="s">
        <v>236</v>
      </c>
      <c r="H75" s="132" t="e">
        <f>Summary!D75</f>
        <v>#REF!</v>
      </c>
      <c r="I75" s="64" t="s">
        <v>237</v>
      </c>
      <c r="J75" s="66">
        <f>Summary!E75</f>
        <v>4</v>
      </c>
      <c r="K75" s="64" t="s">
        <v>238</v>
      </c>
      <c r="L75" s="132" t="e">
        <f>Summary!F75</f>
        <v>#REF!</v>
      </c>
      <c r="M75" s="64" t="s">
        <v>239</v>
      </c>
      <c r="N75" s="132" t="e">
        <f>Summary!G75</f>
        <v>#REF!</v>
      </c>
      <c r="O75" s="64" t="s">
        <v>240</v>
      </c>
      <c r="P75" s="132" t="e">
        <f>Summary!H75</f>
        <v>#REF!</v>
      </c>
      <c r="Q75" s="65" t="s">
        <v>277</v>
      </c>
      <c r="R75" s="70" t="e">
        <f t="shared" si="7"/>
        <v>#REF!</v>
      </c>
      <c r="S75" s="64" t="s">
        <v>243</v>
      </c>
      <c r="T75" s="122"/>
      <c r="U75" s="71" t="s">
        <v>244</v>
      </c>
      <c r="V75" s="72" t="e">
        <f xml:space="preserve"> _xlfn.TEXTJOIN(" ", FALSE,#REF!)</f>
        <v>#REF!</v>
      </c>
      <c r="W75" s="122"/>
      <c r="X75" s="71" t="s">
        <v>245</v>
      </c>
      <c r="Y75" s="72" t="e">
        <f xml:space="preserve"> _xlfn.TEXTJOIN(" ", FALSE,#REF!)</f>
        <v>#REF!</v>
      </c>
      <c r="Z75" s="122"/>
      <c r="AA75" s="71" t="s">
        <v>246</v>
      </c>
      <c r="AB75" s="72" t="e">
        <f xml:space="preserve"> _xlfn.TEXTJOIN(" ", FALSE,#REF!)</f>
        <v>#REF!</v>
      </c>
      <c r="AC75" s="122"/>
      <c r="AD75" s="71" t="s">
        <v>247</v>
      </c>
      <c r="AE75" s="72" t="e">
        <f xml:space="preserve"> _xlfn.TEXTJOIN(" ", FALSE,#REF!)</f>
        <v>#REF!</v>
      </c>
      <c r="AF75" s="122"/>
      <c r="AG75" s="71" t="s">
        <v>248</v>
      </c>
      <c r="AH75" s="73" t="e">
        <f xml:space="preserve"> _xlfn.TEXTJOIN(" ", FALSE,#REF!)</f>
        <v>#REF!</v>
      </c>
      <c r="AI75" s="122"/>
      <c r="AJ75" s="71" t="s">
        <v>249</v>
      </c>
      <c r="AK75" s="73" t="e">
        <f xml:space="preserve"> _xlfn.TEXTJOIN(" ", FALSE,#REF!)</f>
        <v>#REF!</v>
      </c>
      <c r="AL75" s="122"/>
      <c r="AM75" s="71" t="s">
        <v>250</v>
      </c>
      <c r="AN75" s="73" t="e">
        <f xml:space="preserve"> _xlfn.TEXTJOIN(" ", FALSE,#REF!)</f>
        <v>#REF!</v>
      </c>
      <c r="AO75" s="122"/>
      <c r="AP75" s="71" t="s">
        <v>251</v>
      </c>
      <c r="AQ75" s="72" t="e">
        <f xml:space="preserve"> _xlfn.TEXTJOIN(" ", FALSE,#REF!)</f>
        <v>#REF!</v>
      </c>
      <c r="AR75" s="122"/>
      <c r="AS75" s="71" t="s">
        <v>252</v>
      </c>
      <c r="AT75" s="72" t="e">
        <f xml:space="preserve"> _xlfn.TEXTJOIN(" ", FALSE,#REF!)</f>
        <v>#REF!</v>
      </c>
      <c r="AU75" s="122"/>
      <c r="AV75" s="71" t="s">
        <v>253</v>
      </c>
      <c r="AW75" s="73" t="e">
        <f xml:space="preserve"> _xlfn.TEXTJOIN(" ", FALSE,#REF!)</f>
        <v>#REF!</v>
      </c>
      <c r="AX75" s="122"/>
      <c r="AY75" s="71" t="s">
        <v>254</v>
      </c>
      <c r="AZ75" s="72" t="e">
        <f xml:space="preserve"> _xlfn.TEXTJOIN(" ", FALSE,#REF!)</f>
        <v>#REF!</v>
      </c>
      <c r="BA75" s="122"/>
      <c r="BB75" s="71" t="s">
        <v>255</v>
      </c>
      <c r="BC75" s="72" t="e">
        <f xml:space="preserve"> _xlfn.TEXTJOIN(" ", FALSE,#REF!)</f>
        <v>#REF!</v>
      </c>
      <c r="BD75" s="122"/>
      <c r="BE75" s="71" t="s">
        <v>256</v>
      </c>
      <c r="BF75" s="72" t="e">
        <f xml:space="preserve"> _xlfn.TEXTJOIN(" ", FALSE,#REF!)</f>
        <v>#REF!</v>
      </c>
      <c r="BG75" s="65" t="s">
        <v>277</v>
      </c>
      <c r="BH75" s="70" t="e">
        <f t="shared" si="8"/>
        <v>#REF!</v>
      </c>
      <c r="BI75" s="64" t="s">
        <v>257</v>
      </c>
      <c r="BJ75" s="122"/>
      <c r="BK75" s="71" t="s">
        <v>258</v>
      </c>
      <c r="BL75" s="74" t="str">
        <f>_xlfn.TEXTJOIN(" ", FALSE, 'Task 2a - Mitigating the Proble'!U75:AC75)</f>
        <v xml:space="preserve">1 0 0 0 0 0 0 0 </v>
      </c>
      <c r="BM75" s="65" t="s">
        <v>277</v>
      </c>
      <c r="BN75" s="70" t="str">
        <f t="shared" si="9"/>
        <v>[Details for Task 2a:]  /Question 12: 1 0 0 0 0 0 0 0  .</v>
      </c>
      <c r="BO75" s="64" t="s">
        <v>259</v>
      </c>
      <c r="BP75" s="122"/>
      <c r="BQ75" s="71" t="s">
        <v>260</v>
      </c>
      <c r="BR75" s="73" t="e">
        <f xml:space="preserve"> _xlfn.TEXTJOIN(" ", FALSE,#REF!)</f>
        <v>#REF!</v>
      </c>
      <c r="BS75" s="122"/>
      <c r="BT75" s="71" t="s">
        <v>261</v>
      </c>
      <c r="BU75" s="73" t="e">
        <f xml:space="preserve"> _xlfn.TEXTJOIN(" ", FALSE,#REF!)</f>
        <v>#REF!</v>
      </c>
      <c r="BV75" s="122"/>
      <c r="BW75" s="71" t="s">
        <v>262</v>
      </c>
      <c r="BX75" s="73" t="e">
        <f xml:space="preserve"> _xlfn.TEXTJOIN(" ", FALSE,#REF!)</f>
        <v>#REF!</v>
      </c>
      <c r="BY75" s="122"/>
      <c r="BZ75" s="71" t="s">
        <v>263</v>
      </c>
      <c r="CA75" s="73" t="e">
        <f xml:space="preserve"> _xlfn.TEXTJOIN(" ", FALSE,#REF!)</f>
        <v>#REF!</v>
      </c>
      <c r="CB75" s="122"/>
      <c r="CC75" s="71" t="s">
        <v>264</v>
      </c>
      <c r="CD75" s="73" t="e">
        <f xml:space="preserve"> _xlfn.TEXTJOIN(" ", FALSE,#REF!)</f>
        <v>#REF!</v>
      </c>
      <c r="CE75" s="122"/>
      <c r="CF75" s="71" t="s">
        <v>265</v>
      </c>
      <c r="CG75" s="73" t="e">
        <f xml:space="preserve"> _xlfn.TEXTJOIN(" ", FALSE,#REF!)</f>
        <v>#REF!</v>
      </c>
      <c r="CH75" s="122"/>
      <c r="CI75" s="74" t="s">
        <v>278</v>
      </c>
      <c r="CJ75" s="73" t="e">
        <f xml:space="preserve"> _xlfn.TEXTJOIN(" ", FALSE,#REF!)</f>
        <v>#REF!</v>
      </c>
      <c r="CK75" s="65" t="s">
        <v>277</v>
      </c>
      <c r="CL75" s="70" t="e">
        <f t="shared" si="10"/>
        <v>#REF!</v>
      </c>
      <c r="CM75" s="64" t="s">
        <v>267</v>
      </c>
      <c r="CN75" s="122"/>
      <c r="CO75" s="71" t="s">
        <v>268</v>
      </c>
      <c r="CP75" s="73" t="e">
        <f xml:space="preserve"> _xlfn.TEXTJOIN(" ", FALSE,#REF!)</f>
        <v>#REF!</v>
      </c>
      <c r="CQ75" s="122"/>
      <c r="CR75" s="71" t="s">
        <v>269</v>
      </c>
      <c r="CS75" s="73" t="e">
        <f xml:space="preserve"> _xlfn.TEXTJOIN(" ", FALSE,#REF!)</f>
        <v>#REF!</v>
      </c>
      <c r="CT75" s="122"/>
      <c r="CU75" s="71" t="s">
        <v>270</v>
      </c>
      <c r="CV75" s="72" t="e">
        <f xml:space="preserve"> _xlfn.TEXTJOIN(" ", FALSE,#REF!)</f>
        <v>#REF!</v>
      </c>
      <c r="CW75" s="122"/>
      <c r="CX75" s="71" t="s">
        <v>271</v>
      </c>
      <c r="CY75" s="72" t="e">
        <f xml:space="preserve"> _xlfn.TEXTJOIN(" ", FALSE,#REF!)</f>
        <v>#REF!</v>
      </c>
      <c r="CZ75" s="122"/>
      <c r="DA75" s="71" t="s">
        <v>272</v>
      </c>
      <c r="DB75" s="73" t="e">
        <f xml:space="preserve"> _xlfn.TEXTJOIN(" ", FALSE,#REF!)</f>
        <v>#REF!</v>
      </c>
      <c r="DC75" s="65" t="s">
        <v>277</v>
      </c>
      <c r="DD75" s="70" t="e">
        <f t="shared" si="11"/>
        <v>#REF!</v>
      </c>
      <c r="DE75" s="64" t="s">
        <v>273</v>
      </c>
      <c r="DF75" s="122"/>
      <c r="DG75" s="71" t="s">
        <v>274</v>
      </c>
      <c r="DH75" s="72" t="e">
        <f xml:space="preserve"> _xlfn.TEXTJOIN(" ", FALSE,#REF!)</f>
        <v>#REF!</v>
      </c>
      <c r="DI75" s="122"/>
      <c r="DJ75" s="71" t="s">
        <v>275</v>
      </c>
      <c r="DK75" s="73" t="e">
        <f xml:space="preserve"> _xlfn.TEXTJOIN(" ", FALSE,#REF!)</f>
        <v>#REF!</v>
      </c>
      <c r="DL75" s="65" t="s">
        <v>277</v>
      </c>
      <c r="DM75" s="70" t="e">
        <f t="shared" si="12"/>
        <v>#REF!</v>
      </c>
      <c r="DN75" s="70" t="e">
        <f t="shared" si="13"/>
        <v>#REF!</v>
      </c>
    </row>
    <row r="76" spans="1:118" ht="108" customHeight="1">
      <c r="A76" s="122" t="e">
        <f>Summary!A76</f>
        <v>#REF!</v>
      </c>
      <c r="B76" s="64" t="s">
        <v>233</v>
      </c>
      <c r="C76" s="65" t="e">
        <f>Summary!B76</f>
        <v>#REF!</v>
      </c>
      <c r="D76" s="122"/>
      <c r="E76" s="64" t="s">
        <v>235</v>
      </c>
      <c r="F76" s="132" t="e">
        <f>Summary!C76</f>
        <v>#REF!</v>
      </c>
      <c r="G76" s="64" t="s">
        <v>236</v>
      </c>
      <c r="H76" s="132" t="e">
        <f>Summary!D76</f>
        <v>#REF!</v>
      </c>
      <c r="I76" s="64" t="s">
        <v>237</v>
      </c>
      <c r="J76" s="66">
        <f>Summary!E76</f>
        <v>5</v>
      </c>
      <c r="K76" s="64" t="s">
        <v>238</v>
      </c>
      <c r="L76" s="132" t="e">
        <f>Summary!F76</f>
        <v>#REF!</v>
      </c>
      <c r="M76" s="64" t="s">
        <v>239</v>
      </c>
      <c r="N76" s="132" t="e">
        <f>Summary!G76</f>
        <v>#REF!</v>
      </c>
      <c r="O76" s="64" t="s">
        <v>240</v>
      </c>
      <c r="P76" s="132" t="e">
        <f>Summary!H76</f>
        <v>#REF!</v>
      </c>
      <c r="Q76" s="65" t="s">
        <v>277</v>
      </c>
      <c r="R76" s="70" t="e">
        <f t="shared" si="7"/>
        <v>#REF!</v>
      </c>
      <c r="S76" s="64" t="s">
        <v>243</v>
      </c>
      <c r="T76" s="122"/>
      <c r="U76" s="71" t="s">
        <v>244</v>
      </c>
      <c r="V76" s="72" t="e">
        <f xml:space="preserve"> _xlfn.TEXTJOIN(" ", FALSE,#REF!)</f>
        <v>#REF!</v>
      </c>
      <c r="W76" s="122"/>
      <c r="X76" s="71" t="s">
        <v>245</v>
      </c>
      <c r="Y76" s="72" t="e">
        <f xml:space="preserve"> _xlfn.TEXTJOIN(" ", FALSE,#REF!)</f>
        <v>#REF!</v>
      </c>
      <c r="Z76" s="122"/>
      <c r="AA76" s="71" t="s">
        <v>246</v>
      </c>
      <c r="AB76" s="72" t="e">
        <f xml:space="preserve"> _xlfn.TEXTJOIN(" ", FALSE,#REF!)</f>
        <v>#REF!</v>
      </c>
      <c r="AC76" s="122"/>
      <c r="AD76" s="71" t="s">
        <v>247</v>
      </c>
      <c r="AE76" s="72" t="e">
        <f xml:space="preserve"> _xlfn.TEXTJOIN(" ", FALSE,#REF!)</f>
        <v>#REF!</v>
      </c>
      <c r="AF76" s="122"/>
      <c r="AG76" s="71" t="s">
        <v>248</v>
      </c>
      <c r="AH76" s="73" t="e">
        <f xml:space="preserve"> _xlfn.TEXTJOIN(" ", FALSE,#REF!)</f>
        <v>#REF!</v>
      </c>
      <c r="AI76" s="122"/>
      <c r="AJ76" s="71" t="s">
        <v>249</v>
      </c>
      <c r="AK76" s="73" t="e">
        <f xml:space="preserve"> _xlfn.TEXTJOIN(" ", FALSE,#REF!)</f>
        <v>#REF!</v>
      </c>
      <c r="AL76" s="122"/>
      <c r="AM76" s="71" t="s">
        <v>250</v>
      </c>
      <c r="AN76" s="73" t="e">
        <f xml:space="preserve"> _xlfn.TEXTJOIN(" ", FALSE,#REF!)</f>
        <v>#REF!</v>
      </c>
      <c r="AO76" s="122"/>
      <c r="AP76" s="71" t="s">
        <v>251</v>
      </c>
      <c r="AQ76" s="72" t="e">
        <f xml:space="preserve"> _xlfn.TEXTJOIN(" ", FALSE,#REF!)</f>
        <v>#REF!</v>
      </c>
      <c r="AR76" s="122"/>
      <c r="AS76" s="71" t="s">
        <v>252</v>
      </c>
      <c r="AT76" s="72" t="e">
        <f xml:space="preserve"> _xlfn.TEXTJOIN(" ", FALSE,#REF!)</f>
        <v>#REF!</v>
      </c>
      <c r="AU76" s="122"/>
      <c r="AV76" s="71" t="s">
        <v>253</v>
      </c>
      <c r="AW76" s="73" t="e">
        <f xml:space="preserve"> _xlfn.TEXTJOIN(" ", FALSE,#REF!)</f>
        <v>#REF!</v>
      </c>
      <c r="AX76" s="122"/>
      <c r="AY76" s="71" t="s">
        <v>254</v>
      </c>
      <c r="AZ76" s="72" t="e">
        <f xml:space="preserve"> _xlfn.TEXTJOIN(" ", FALSE,#REF!)</f>
        <v>#REF!</v>
      </c>
      <c r="BA76" s="122"/>
      <c r="BB76" s="71" t="s">
        <v>255</v>
      </c>
      <c r="BC76" s="72" t="e">
        <f xml:space="preserve"> _xlfn.TEXTJOIN(" ", FALSE,#REF!)</f>
        <v>#REF!</v>
      </c>
      <c r="BD76" s="122"/>
      <c r="BE76" s="71" t="s">
        <v>256</v>
      </c>
      <c r="BF76" s="72" t="e">
        <f xml:space="preserve"> _xlfn.TEXTJOIN(" ", FALSE,#REF!)</f>
        <v>#REF!</v>
      </c>
      <c r="BG76" s="65" t="s">
        <v>277</v>
      </c>
      <c r="BH76" s="70" t="e">
        <f t="shared" si="8"/>
        <v>#REF!</v>
      </c>
      <c r="BI76" s="64" t="s">
        <v>257</v>
      </c>
      <c r="BJ76" s="122"/>
      <c r="BK76" s="71" t="s">
        <v>258</v>
      </c>
      <c r="BL76" s="74" t="str">
        <f>_xlfn.TEXTJOIN(" ", FALSE, 'Task 2a - Mitigating the Proble'!U76:AC76)</f>
        <v xml:space="preserve">1 0 0 0 0 1 0 0 </v>
      </c>
      <c r="BM76" s="65" t="s">
        <v>277</v>
      </c>
      <c r="BN76" s="70" t="str">
        <f t="shared" si="9"/>
        <v>[Details for Task 2a:]  /Question 12: 1 0 0 0 0 1 0 0  .</v>
      </c>
      <c r="BO76" s="64" t="s">
        <v>259</v>
      </c>
      <c r="BP76" s="122"/>
      <c r="BQ76" s="71" t="s">
        <v>260</v>
      </c>
      <c r="BR76" s="73" t="e">
        <f xml:space="preserve"> _xlfn.TEXTJOIN(" ", FALSE,#REF!)</f>
        <v>#REF!</v>
      </c>
      <c r="BS76" s="122"/>
      <c r="BT76" s="71" t="s">
        <v>261</v>
      </c>
      <c r="BU76" s="73" t="e">
        <f xml:space="preserve"> _xlfn.TEXTJOIN(" ", FALSE,#REF!)</f>
        <v>#REF!</v>
      </c>
      <c r="BV76" s="122"/>
      <c r="BW76" s="71" t="s">
        <v>262</v>
      </c>
      <c r="BX76" s="73" t="e">
        <f xml:space="preserve"> _xlfn.TEXTJOIN(" ", FALSE,#REF!)</f>
        <v>#REF!</v>
      </c>
      <c r="BY76" s="122"/>
      <c r="BZ76" s="71" t="s">
        <v>263</v>
      </c>
      <c r="CA76" s="73" t="e">
        <f xml:space="preserve"> _xlfn.TEXTJOIN(" ", FALSE,#REF!)</f>
        <v>#REF!</v>
      </c>
      <c r="CB76" s="122"/>
      <c r="CC76" s="71" t="s">
        <v>264</v>
      </c>
      <c r="CD76" s="73" t="e">
        <f xml:space="preserve"> _xlfn.TEXTJOIN(" ", FALSE,#REF!)</f>
        <v>#REF!</v>
      </c>
      <c r="CE76" s="122"/>
      <c r="CF76" s="71" t="s">
        <v>265</v>
      </c>
      <c r="CG76" s="73" t="e">
        <f xml:space="preserve"> _xlfn.TEXTJOIN(" ", FALSE,#REF!)</f>
        <v>#REF!</v>
      </c>
      <c r="CH76" s="122"/>
      <c r="CI76" s="74" t="s">
        <v>278</v>
      </c>
      <c r="CJ76" s="73" t="e">
        <f xml:space="preserve"> _xlfn.TEXTJOIN(" ", FALSE,#REF!)</f>
        <v>#REF!</v>
      </c>
      <c r="CK76" s="65" t="s">
        <v>277</v>
      </c>
      <c r="CL76" s="70" t="e">
        <f t="shared" si="10"/>
        <v>#REF!</v>
      </c>
      <c r="CM76" s="64" t="s">
        <v>267</v>
      </c>
      <c r="CN76" s="122"/>
      <c r="CO76" s="71" t="s">
        <v>268</v>
      </c>
      <c r="CP76" s="73" t="e">
        <f xml:space="preserve"> _xlfn.TEXTJOIN(" ", FALSE,#REF!)</f>
        <v>#REF!</v>
      </c>
      <c r="CQ76" s="122"/>
      <c r="CR76" s="71" t="s">
        <v>269</v>
      </c>
      <c r="CS76" s="73" t="e">
        <f xml:space="preserve"> _xlfn.TEXTJOIN(" ", FALSE,#REF!)</f>
        <v>#REF!</v>
      </c>
      <c r="CT76" s="122"/>
      <c r="CU76" s="71" t="s">
        <v>270</v>
      </c>
      <c r="CV76" s="72" t="e">
        <f xml:space="preserve"> _xlfn.TEXTJOIN(" ", FALSE,#REF!)</f>
        <v>#REF!</v>
      </c>
      <c r="CW76" s="122"/>
      <c r="CX76" s="71" t="s">
        <v>271</v>
      </c>
      <c r="CY76" s="72" t="e">
        <f xml:space="preserve"> _xlfn.TEXTJOIN(" ", FALSE,#REF!)</f>
        <v>#REF!</v>
      </c>
      <c r="CZ76" s="122"/>
      <c r="DA76" s="71" t="s">
        <v>272</v>
      </c>
      <c r="DB76" s="73" t="e">
        <f xml:space="preserve"> _xlfn.TEXTJOIN(" ", FALSE,#REF!)</f>
        <v>#REF!</v>
      </c>
      <c r="DC76" s="65" t="s">
        <v>277</v>
      </c>
      <c r="DD76" s="70" t="e">
        <f t="shared" si="11"/>
        <v>#REF!</v>
      </c>
      <c r="DE76" s="64" t="s">
        <v>273</v>
      </c>
      <c r="DF76" s="122"/>
      <c r="DG76" s="71" t="s">
        <v>274</v>
      </c>
      <c r="DH76" s="72" t="e">
        <f xml:space="preserve"> _xlfn.TEXTJOIN(" ", FALSE,#REF!)</f>
        <v>#REF!</v>
      </c>
      <c r="DI76" s="122"/>
      <c r="DJ76" s="71" t="s">
        <v>275</v>
      </c>
      <c r="DK76" s="73" t="e">
        <f xml:space="preserve"> _xlfn.TEXTJOIN(" ", FALSE,#REF!)</f>
        <v>#REF!</v>
      </c>
      <c r="DL76" s="65" t="s">
        <v>277</v>
      </c>
      <c r="DM76" s="70" t="e">
        <f t="shared" si="12"/>
        <v>#REF!</v>
      </c>
      <c r="DN76" s="70" t="e">
        <f t="shared" si="13"/>
        <v>#REF!</v>
      </c>
    </row>
    <row r="77" spans="1:118" ht="108" customHeight="1">
      <c r="A77" s="122" t="e">
        <f>Summary!A77</f>
        <v>#REF!</v>
      </c>
      <c r="B77" s="64" t="s">
        <v>233</v>
      </c>
      <c r="C77" s="65" t="e">
        <f>Summary!B77</f>
        <v>#REF!</v>
      </c>
      <c r="D77" s="122"/>
      <c r="E77" s="64" t="s">
        <v>235</v>
      </c>
      <c r="F77" s="132" t="e">
        <f>Summary!C77</f>
        <v>#REF!</v>
      </c>
      <c r="G77" s="64" t="s">
        <v>236</v>
      </c>
      <c r="H77" s="132" t="e">
        <f>Summary!D77</f>
        <v>#REF!</v>
      </c>
      <c r="I77" s="64" t="s">
        <v>237</v>
      </c>
      <c r="J77" s="66">
        <f>Summary!E77</f>
        <v>5</v>
      </c>
      <c r="K77" s="64" t="s">
        <v>238</v>
      </c>
      <c r="L77" s="132" t="e">
        <f>Summary!F77</f>
        <v>#REF!</v>
      </c>
      <c r="M77" s="64" t="s">
        <v>239</v>
      </c>
      <c r="N77" s="132" t="e">
        <f>Summary!G77</f>
        <v>#REF!</v>
      </c>
      <c r="O77" s="64" t="s">
        <v>240</v>
      </c>
      <c r="P77" s="132" t="e">
        <f>Summary!H77</f>
        <v>#REF!</v>
      </c>
      <c r="Q77" s="65" t="s">
        <v>277</v>
      </c>
      <c r="R77" s="70" t="e">
        <f t="shared" si="7"/>
        <v>#REF!</v>
      </c>
      <c r="S77" s="64" t="s">
        <v>243</v>
      </c>
      <c r="T77" s="122"/>
      <c r="U77" s="71" t="s">
        <v>244</v>
      </c>
      <c r="V77" s="72" t="e">
        <f xml:space="preserve"> _xlfn.TEXTJOIN(" ", FALSE,#REF!)</f>
        <v>#REF!</v>
      </c>
      <c r="W77" s="122"/>
      <c r="X77" s="71" t="s">
        <v>245</v>
      </c>
      <c r="Y77" s="72" t="e">
        <f xml:space="preserve"> _xlfn.TEXTJOIN(" ", FALSE,#REF!)</f>
        <v>#REF!</v>
      </c>
      <c r="Z77" s="122"/>
      <c r="AA77" s="71" t="s">
        <v>246</v>
      </c>
      <c r="AB77" s="72" t="e">
        <f xml:space="preserve"> _xlfn.TEXTJOIN(" ", FALSE,#REF!)</f>
        <v>#REF!</v>
      </c>
      <c r="AC77" s="122"/>
      <c r="AD77" s="71" t="s">
        <v>247</v>
      </c>
      <c r="AE77" s="72" t="e">
        <f xml:space="preserve"> _xlfn.TEXTJOIN(" ", FALSE,#REF!)</f>
        <v>#REF!</v>
      </c>
      <c r="AF77" s="122"/>
      <c r="AG77" s="71" t="s">
        <v>248</v>
      </c>
      <c r="AH77" s="73" t="e">
        <f xml:space="preserve"> _xlfn.TEXTJOIN(" ", FALSE,#REF!)</f>
        <v>#REF!</v>
      </c>
      <c r="AI77" s="122"/>
      <c r="AJ77" s="71" t="s">
        <v>249</v>
      </c>
      <c r="AK77" s="73" t="e">
        <f xml:space="preserve"> _xlfn.TEXTJOIN(" ", FALSE,#REF!)</f>
        <v>#REF!</v>
      </c>
      <c r="AL77" s="122"/>
      <c r="AM77" s="71" t="s">
        <v>250</v>
      </c>
      <c r="AN77" s="73" t="e">
        <f xml:space="preserve"> _xlfn.TEXTJOIN(" ", FALSE,#REF!)</f>
        <v>#REF!</v>
      </c>
      <c r="AO77" s="122"/>
      <c r="AP77" s="71" t="s">
        <v>251</v>
      </c>
      <c r="AQ77" s="72" t="e">
        <f xml:space="preserve"> _xlfn.TEXTJOIN(" ", FALSE,#REF!)</f>
        <v>#REF!</v>
      </c>
      <c r="AR77" s="122"/>
      <c r="AS77" s="71" t="s">
        <v>252</v>
      </c>
      <c r="AT77" s="72" t="e">
        <f xml:space="preserve"> _xlfn.TEXTJOIN(" ", FALSE,#REF!)</f>
        <v>#REF!</v>
      </c>
      <c r="AU77" s="122"/>
      <c r="AV77" s="71" t="s">
        <v>253</v>
      </c>
      <c r="AW77" s="73" t="e">
        <f xml:space="preserve"> _xlfn.TEXTJOIN(" ", FALSE,#REF!)</f>
        <v>#REF!</v>
      </c>
      <c r="AX77" s="122"/>
      <c r="AY77" s="71" t="s">
        <v>254</v>
      </c>
      <c r="AZ77" s="72" t="e">
        <f xml:space="preserve"> _xlfn.TEXTJOIN(" ", FALSE,#REF!)</f>
        <v>#REF!</v>
      </c>
      <c r="BA77" s="122"/>
      <c r="BB77" s="71" t="s">
        <v>255</v>
      </c>
      <c r="BC77" s="72" t="e">
        <f xml:space="preserve"> _xlfn.TEXTJOIN(" ", FALSE,#REF!)</f>
        <v>#REF!</v>
      </c>
      <c r="BD77" s="122"/>
      <c r="BE77" s="71" t="s">
        <v>256</v>
      </c>
      <c r="BF77" s="72" t="e">
        <f xml:space="preserve"> _xlfn.TEXTJOIN(" ", FALSE,#REF!)</f>
        <v>#REF!</v>
      </c>
      <c r="BG77" s="65" t="s">
        <v>277</v>
      </c>
      <c r="BH77" s="70" t="e">
        <f t="shared" si="8"/>
        <v>#REF!</v>
      </c>
      <c r="BI77" s="64" t="s">
        <v>257</v>
      </c>
      <c r="BJ77" s="122"/>
      <c r="BK77" s="71" t="s">
        <v>258</v>
      </c>
      <c r="BL77" s="74" t="str">
        <f>_xlfn.TEXTJOIN(" ", FALSE, 'Task 2a - Mitigating the Proble'!U77:AC77)</f>
        <v xml:space="preserve">1 0 0 0 0 1 0 0 </v>
      </c>
      <c r="BM77" s="65" t="s">
        <v>277</v>
      </c>
      <c r="BN77" s="70" t="str">
        <f t="shared" si="9"/>
        <v>[Details for Task 2a:]  /Question 12: 1 0 0 0 0 1 0 0  .</v>
      </c>
      <c r="BO77" s="64" t="s">
        <v>259</v>
      </c>
      <c r="BP77" s="122"/>
      <c r="BQ77" s="71" t="s">
        <v>260</v>
      </c>
      <c r="BR77" s="73" t="e">
        <f xml:space="preserve"> _xlfn.TEXTJOIN(" ", FALSE,#REF!)</f>
        <v>#REF!</v>
      </c>
      <c r="BS77" s="122"/>
      <c r="BT77" s="71" t="s">
        <v>261</v>
      </c>
      <c r="BU77" s="73" t="e">
        <f xml:space="preserve"> _xlfn.TEXTJOIN(" ", FALSE,#REF!)</f>
        <v>#REF!</v>
      </c>
      <c r="BV77" s="122"/>
      <c r="BW77" s="71" t="s">
        <v>262</v>
      </c>
      <c r="BX77" s="73" t="e">
        <f xml:space="preserve"> _xlfn.TEXTJOIN(" ", FALSE,#REF!)</f>
        <v>#REF!</v>
      </c>
      <c r="BY77" s="122"/>
      <c r="BZ77" s="71" t="s">
        <v>263</v>
      </c>
      <c r="CA77" s="73" t="e">
        <f xml:space="preserve"> _xlfn.TEXTJOIN(" ", FALSE,#REF!)</f>
        <v>#REF!</v>
      </c>
      <c r="CB77" s="122"/>
      <c r="CC77" s="71" t="s">
        <v>264</v>
      </c>
      <c r="CD77" s="73" t="e">
        <f xml:space="preserve"> _xlfn.TEXTJOIN(" ", FALSE,#REF!)</f>
        <v>#REF!</v>
      </c>
      <c r="CE77" s="122"/>
      <c r="CF77" s="71" t="s">
        <v>265</v>
      </c>
      <c r="CG77" s="73" t="e">
        <f xml:space="preserve"> _xlfn.TEXTJOIN(" ", FALSE,#REF!)</f>
        <v>#REF!</v>
      </c>
      <c r="CH77" s="122"/>
      <c r="CI77" s="74" t="s">
        <v>278</v>
      </c>
      <c r="CJ77" s="73" t="e">
        <f xml:space="preserve"> _xlfn.TEXTJOIN(" ", FALSE,#REF!)</f>
        <v>#REF!</v>
      </c>
      <c r="CK77" s="65" t="s">
        <v>277</v>
      </c>
      <c r="CL77" s="70" t="e">
        <f t="shared" si="10"/>
        <v>#REF!</v>
      </c>
      <c r="CM77" s="64" t="s">
        <v>267</v>
      </c>
      <c r="CN77" s="122"/>
      <c r="CO77" s="71" t="s">
        <v>268</v>
      </c>
      <c r="CP77" s="73" t="e">
        <f xml:space="preserve"> _xlfn.TEXTJOIN(" ", FALSE,#REF!)</f>
        <v>#REF!</v>
      </c>
      <c r="CQ77" s="122"/>
      <c r="CR77" s="71" t="s">
        <v>269</v>
      </c>
      <c r="CS77" s="73" t="e">
        <f xml:space="preserve"> _xlfn.TEXTJOIN(" ", FALSE,#REF!)</f>
        <v>#REF!</v>
      </c>
      <c r="CT77" s="122"/>
      <c r="CU77" s="71" t="s">
        <v>270</v>
      </c>
      <c r="CV77" s="72" t="e">
        <f xml:space="preserve"> _xlfn.TEXTJOIN(" ", FALSE,#REF!)</f>
        <v>#REF!</v>
      </c>
      <c r="CW77" s="122"/>
      <c r="CX77" s="71" t="s">
        <v>271</v>
      </c>
      <c r="CY77" s="72" t="e">
        <f xml:space="preserve"> _xlfn.TEXTJOIN(" ", FALSE,#REF!)</f>
        <v>#REF!</v>
      </c>
      <c r="CZ77" s="122"/>
      <c r="DA77" s="71" t="s">
        <v>272</v>
      </c>
      <c r="DB77" s="73" t="e">
        <f xml:space="preserve"> _xlfn.TEXTJOIN(" ", FALSE,#REF!)</f>
        <v>#REF!</v>
      </c>
      <c r="DC77" s="65" t="s">
        <v>277</v>
      </c>
      <c r="DD77" s="70" t="e">
        <f t="shared" si="11"/>
        <v>#REF!</v>
      </c>
      <c r="DE77" s="64" t="s">
        <v>273</v>
      </c>
      <c r="DF77" s="122"/>
      <c r="DG77" s="71" t="s">
        <v>274</v>
      </c>
      <c r="DH77" s="72" t="e">
        <f xml:space="preserve"> _xlfn.TEXTJOIN(" ", FALSE,#REF!)</f>
        <v>#REF!</v>
      </c>
      <c r="DI77" s="122"/>
      <c r="DJ77" s="71" t="s">
        <v>275</v>
      </c>
      <c r="DK77" s="73" t="e">
        <f xml:space="preserve"> _xlfn.TEXTJOIN(" ", FALSE,#REF!)</f>
        <v>#REF!</v>
      </c>
      <c r="DL77" s="65" t="s">
        <v>277</v>
      </c>
      <c r="DM77" s="70" t="e">
        <f t="shared" si="12"/>
        <v>#REF!</v>
      </c>
      <c r="DN77" s="70" t="e">
        <f t="shared" si="13"/>
        <v>#REF!</v>
      </c>
    </row>
    <row r="78" spans="1:118" ht="108" customHeight="1">
      <c r="A78" s="122" t="e">
        <f>Summary!A78</f>
        <v>#REF!</v>
      </c>
      <c r="B78" s="64" t="s">
        <v>233</v>
      </c>
      <c r="C78" s="115" t="e">
        <f>Summary!B78</f>
        <v>#REF!</v>
      </c>
      <c r="D78" s="122"/>
      <c r="E78" s="64" t="s">
        <v>235</v>
      </c>
      <c r="F78" s="133" t="e">
        <f>Summary!C78</f>
        <v>#REF!</v>
      </c>
      <c r="G78" s="64" t="s">
        <v>236</v>
      </c>
      <c r="H78" s="132" t="e">
        <f>Summary!D78</f>
        <v>#REF!</v>
      </c>
      <c r="I78" s="64" t="s">
        <v>237</v>
      </c>
      <c r="J78" s="66">
        <f>Summary!E78</f>
        <v>7</v>
      </c>
      <c r="K78" s="64" t="s">
        <v>238</v>
      </c>
      <c r="L78" s="133" t="e">
        <f>Summary!F78</f>
        <v>#REF!</v>
      </c>
      <c r="M78" s="64" t="s">
        <v>239</v>
      </c>
      <c r="N78" s="132" t="e">
        <f>Summary!G78</f>
        <v>#REF!</v>
      </c>
      <c r="O78" s="64" t="s">
        <v>240</v>
      </c>
      <c r="P78" s="132" t="e">
        <f>Summary!H78</f>
        <v>#REF!</v>
      </c>
      <c r="Q78" s="65" t="s">
        <v>277</v>
      </c>
      <c r="R78" s="70" t="e">
        <f t="shared" si="7"/>
        <v>#REF!</v>
      </c>
      <c r="S78" s="64" t="s">
        <v>243</v>
      </c>
      <c r="T78" s="122"/>
      <c r="U78" s="71" t="s">
        <v>244</v>
      </c>
      <c r="V78" s="72" t="e">
        <f xml:space="preserve"> _xlfn.TEXTJOIN(" ", FALSE,#REF!)</f>
        <v>#REF!</v>
      </c>
      <c r="W78" s="122"/>
      <c r="X78" s="71" t="s">
        <v>245</v>
      </c>
      <c r="Y78" s="72" t="e">
        <f xml:space="preserve"> _xlfn.TEXTJOIN(" ", FALSE,#REF!)</f>
        <v>#REF!</v>
      </c>
      <c r="Z78" s="122"/>
      <c r="AA78" s="71" t="s">
        <v>246</v>
      </c>
      <c r="AB78" s="72" t="e">
        <f xml:space="preserve"> _xlfn.TEXTJOIN(" ", FALSE,#REF!)</f>
        <v>#REF!</v>
      </c>
      <c r="AC78" s="122"/>
      <c r="AD78" s="71" t="s">
        <v>247</v>
      </c>
      <c r="AE78" s="72" t="e">
        <f xml:space="preserve"> _xlfn.TEXTJOIN(" ", FALSE,#REF!)</f>
        <v>#REF!</v>
      </c>
      <c r="AF78" s="122"/>
      <c r="AG78" s="71" t="s">
        <v>248</v>
      </c>
      <c r="AH78" s="73" t="e">
        <f xml:space="preserve"> _xlfn.TEXTJOIN(" ", FALSE,#REF!)</f>
        <v>#REF!</v>
      </c>
      <c r="AI78" s="122"/>
      <c r="AJ78" s="71" t="s">
        <v>249</v>
      </c>
      <c r="AK78" s="73" t="e">
        <f xml:space="preserve"> _xlfn.TEXTJOIN(" ", FALSE,#REF!)</f>
        <v>#REF!</v>
      </c>
      <c r="AL78" s="122"/>
      <c r="AM78" s="71" t="s">
        <v>250</v>
      </c>
      <c r="AN78" s="73" t="e">
        <f xml:space="preserve"> _xlfn.TEXTJOIN(" ", FALSE,#REF!)</f>
        <v>#REF!</v>
      </c>
      <c r="AO78" s="122"/>
      <c r="AP78" s="71" t="s">
        <v>251</v>
      </c>
      <c r="AQ78" s="72" t="e">
        <f xml:space="preserve"> _xlfn.TEXTJOIN(" ", FALSE,#REF!)</f>
        <v>#REF!</v>
      </c>
      <c r="AR78" s="122"/>
      <c r="AS78" s="71" t="s">
        <v>252</v>
      </c>
      <c r="AT78" s="72" t="e">
        <f xml:space="preserve"> _xlfn.TEXTJOIN(" ", FALSE,#REF!)</f>
        <v>#REF!</v>
      </c>
      <c r="AU78" s="122"/>
      <c r="AV78" s="71" t="s">
        <v>253</v>
      </c>
      <c r="AW78" s="73" t="e">
        <f xml:space="preserve"> _xlfn.TEXTJOIN(" ", FALSE,#REF!)</f>
        <v>#REF!</v>
      </c>
      <c r="AX78" s="122"/>
      <c r="AY78" s="71" t="s">
        <v>254</v>
      </c>
      <c r="AZ78" s="72" t="e">
        <f xml:space="preserve"> _xlfn.TEXTJOIN(" ", FALSE,#REF!)</f>
        <v>#REF!</v>
      </c>
      <c r="BA78" s="122"/>
      <c r="BB78" s="71" t="s">
        <v>255</v>
      </c>
      <c r="BC78" s="72" t="e">
        <f xml:space="preserve"> _xlfn.TEXTJOIN(" ", FALSE,#REF!)</f>
        <v>#REF!</v>
      </c>
      <c r="BD78" s="122"/>
      <c r="BE78" s="71" t="s">
        <v>256</v>
      </c>
      <c r="BF78" s="72" t="e">
        <f xml:space="preserve"> _xlfn.TEXTJOIN(" ", FALSE,#REF!)</f>
        <v>#REF!</v>
      </c>
      <c r="BG78" s="65" t="s">
        <v>277</v>
      </c>
      <c r="BH78" s="70" t="e">
        <f t="shared" si="8"/>
        <v>#REF!</v>
      </c>
      <c r="BI78" s="64" t="s">
        <v>257</v>
      </c>
      <c r="BJ78" s="122"/>
      <c r="BK78" s="71" t="s">
        <v>258</v>
      </c>
      <c r="BL78" s="74" t="str">
        <f>_xlfn.TEXTJOIN(" ", FALSE, 'Task 2a - Mitigating the Proble'!U78:AC78)</f>
        <v xml:space="preserve">1 1 1 1 0 1 0 0 </v>
      </c>
      <c r="BM78" s="65" t="s">
        <v>277</v>
      </c>
      <c r="BN78" s="70" t="str">
        <f t="shared" si="9"/>
        <v>[Details for Task 2a:]  /Question 12: 1 1 1 1 0 1 0 0  .</v>
      </c>
      <c r="BO78" s="64" t="s">
        <v>259</v>
      </c>
      <c r="BP78" s="122"/>
      <c r="BQ78" s="71" t="s">
        <v>260</v>
      </c>
      <c r="BR78" s="73" t="e">
        <f xml:space="preserve"> _xlfn.TEXTJOIN(" ", FALSE,#REF!)</f>
        <v>#REF!</v>
      </c>
      <c r="BS78" s="122"/>
      <c r="BT78" s="71" t="s">
        <v>261</v>
      </c>
      <c r="BU78" s="73" t="e">
        <f xml:space="preserve"> _xlfn.TEXTJOIN(" ", FALSE,#REF!)</f>
        <v>#REF!</v>
      </c>
      <c r="BV78" s="122"/>
      <c r="BW78" s="71" t="s">
        <v>262</v>
      </c>
      <c r="BX78" s="73" t="e">
        <f xml:space="preserve"> _xlfn.TEXTJOIN(" ", FALSE,#REF!)</f>
        <v>#REF!</v>
      </c>
      <c r="BY78" s="122"/>
      <c r="BZ78" s="71" t="s">
        <v>263</v>
      </c>
      <c r="CA78" s="73" t="e">
        <f xml:space="preserve"> _xlfn.TEXTJOIN(" ", FALSE,#REF!)</f>
        <v>#REF!</v>
      </c>
      <c r="CB78" s="122"/>
      <c r="CC78" s="71" t="s">
        <v>264</v>
      </c>
      <c r="CD78" s="73" t="e">
        <f xml:space="preserve"> _xlfn.TEXTJOIN(" ", FALSE,#REF!)</f>
        <v>#REF!</v>
      </c>
      <c r="CE78" s="122"/>
      <c r="CF78" s="71" t="s">
        <v>265</v>
      </c>
      <c r="CG78" s="73" t="e">
        <f xml:space="preserve"> _xlfn.TEXTJOIN(" ", FALSE,#REF!)</f>
        <v>#REF!</v>
      </c>
      <c r="CH78" s="122"/>
      <c r="CI78" s="74" t="s">
        <v>278</v>
      </c>
      <c r="CJ78" s="73" t="e">
        <f xml:space="preserve"> _xlfn.TEXTJOIN(" ", FALSE,#REF!)</f>
        <v>#REF!</v>
      </c>
      <c r="CK78" s="65" t="s">
        <v>277</v>
      </c>
      <c r="CL78" s="116" t="e">
        <f t="shared" si="10"/>
        <v>#REF!</v>
      </c>
      <c r="CM78" s="64" t="s">
        <v>267</v>
      </c>
      <c r="CN78" s="122"/>
      <c r="CO78" s="71" t="s">
        <v>268</v>
      </c>
      <c r="CP78" s="73" t="e">
        <f xml:space="preserve"> _xlfn.TEXTJOIN(" ", FALSE,#REF!)</f>
        <v>#REF!</v>
      </c>
      <c r="CQ78" s="122"/>
      <c r="CR78" s="71" t="s">
        <v>269</v>
      </c>
      <c r="CS78" s="73" t="e">
        <f xml:space="preserve"> _xlfn.TEXTJOIN(" ", FALSE,#REF!)</f>
        <v>#REF!</v>
      </c>
      <c r="CT78" s="122"/>
      <c r="CU78" s="71" t="s">
        <v>270</v>
      </c>
      <c r="CV78" s="72" t="e">
        <f xml:space="preserve"> _xlfn.TEXTJOIN(" ", FALSE,#REF!)</f>
        <v>#REF!</v>
      </c>
      <c r="CW78" s="122"/>
      <c r="CX78" s="71" t="s">
        <v>271</v>
      </c>
      <c r="CY78" s="72" t="e">
        <f xml:space="preserve"> _xlfn.TEXTJOIN(" ", FALSE,#REF!)</f>
        <v>#REF!</v>
      </c>
      <c r="CZ78" s="122"/>
      <c r="DA78" s="71" t="s">
        <v>272</v>
      </c>
      <c r="DB78" s="73" t="e">
        <f xml:space="preserve"> _xlfn.TEXTJOIN(" ", FALSE,#REF!)</f>
        <v>#REF!</v>
      </c>
      <c r="DC78" s="65" t="s">
        <v>277</v>
      </c>
      <c r="DD78" s="70" t="e">
        <f t="shared" si="11"/>
        <v>#REF!</v>
      </c>
      <c r="DE78" s="64" t="s">
        <v>273</v>
      </c>
      <c r="DF78" s="122"/>
      <c r="DG78" s="71" t="s">
        <v>274</v>
      </c>
      <c r="DH78" s="72" t="e">
        <f xml:space="preserve"> _xlfn.TEXTJOIN(" ", FALSE,#REF!)</f>
        <v>#REF!</v>
      </c>
      <c r="DI78" s="122"/>
      <c r="DJ78" s="71" t="s">
        <v>275</v>
      </c>
      <c r="DK78" s="73" t="e">
        <f xml:space="preserve"> _xlfn.TEXTJOIN(" ", FALSE,#REF!)</f>
        <v>#REF!</v>
      </c>
      <c r="DL78" s="65" t="s">
        <v>277</v>
      </c>
      <c r="DM78" s="70" t="e">
        <f t="shared" si="12"/>
        <v>#REF!</v>
      </c>
      <c r="DN78" s="70" t="e">
        <f t="shared" si="13"/>
        <v>#REF!</v>
      </c>
    </row>
    <row r="79" spans="1:118" ht="108" customHeight="1">
      <c r="A79" s="122" t="e">
        <f>Summary!A79</f>
        <v>#REF!</v>
      </c>
      <c r="B79" s="64" t="s">
        <v>233</v>
      </c>
      <c r="C79" s="65" t="e">
        <f>Summary!B79</f>
        <v>#REF!</v>
      </c>
      <c r="D79" s="122"/>
      <c r="E79" s="64" t="s">
        <v>235</v>
      </c>
      <c r="F79" s="132" t="e">
        <f>Summary!C79</f>
        <v>#REF!</v>
      </c>
      <c r="G79" s="64" t="s">
        <v>236</v>
      </c>
      <c r="H79" s="132" t="e">
        <f>Summary!D79</f>
        <v>#REF!</v>
      </c>
      <c r="I79" s="64" t="s">
        <v>237</v>
      </c>
      <c r="J79" s="66">
        <f>Summary!E79</f>
        <v>6</v>
      </c>
      <c r="K79" s="64" t="s">
        <v>238</v>
      </c>
      <c r="L79" s="132" t="e">
        <f>Summary!F79</f>
        <v>#REF!</v>
      </c>
      <c r="M79" s="64" t="s">
        <v>239</v>
      </c>
      <c r="N79" s="132" t="e">
        <f>Summary!G79</f>
        <v>#REF!</v>
      </c>
      <c r="O79" s="64" t="s">
        <v>240</v>
      </c>
      <c r="P79" s="132" t="e">
        <f>Summary!H79</f>
        <v>#REF!</v>
      </c>
      <c r="Q79" s="65" t="s">
        <v>277</v>
      </c>
      <c r="R79" s="70" t="e">
        <f t="shared" si="7"/>
        <v>#REF!</v>
      </c>
      <c r="S79" s="64" t="s">
        <v>243</v>
      </c>
      <c r="T79" s="122"/>
      <c r="U79" s="71" t="s">
        <v>244</v>
      </c>
      <c r="V79" s="72" t="e">
        <f xml:space="preserve"> _xlfn.TEXTJOIN(" ", FALSE,#REF!)</f>
        <v>#REF!</v>
      </c>
      <c r="W79" s="122"/>
      <c r="X79" s="71" t="s">
        <v>245</v>
      </c>
      <c r="Y79" s="72" t="e">
        <f xml:space="preserve"> _xlfn.TEXTJOIN(" ", FALSE,#REF!)</f>
        <v>#REF!</v>
      </c>
      <c r="Z79" s="122"/>
      <c r="AA79" s="71" t="s">
        <v>246</v>
      </c>
      <c r="AB79" s="72" t="e">
        <f xml:space="preserve"> _xlfn.TEXTJOIN(" ", FALSE,#REF!)</f>
        <v>#REF!</v>
      </c>
      <c r="AC79" s="122"/>
      <c r="AD79" s="71" t="s">
        <v>247</v>
      </c>
      <c r="AE79" s="72" t="e">
        <f xml:space="preserve"> _xlfn.TEXTJOIN(" ", FALSE,#REF!)</f>
        <v>#REF!</v>
      </c>
      <c r="AF79" s="122"/>
      <c r="AG79" s="71" t="s">
        <v>248</v>
      </c>
      <c r="AH79" s="73" t="e">
        <f xml:space="preserve"> _xlfn.TEXTJOIN(" ", FALSE,#REF!)</f>
        <v>#REF!</v>
      </c>
      <c r="AI79" s="122"/>
      <c r="AJ79" s="71" t="s">
        <v>249</v>
      </c>
      <c r="AK79" s="73" t="e">
        <f xml:space="preserve"> _xlfn.TEXTJOIN(" ", FALSE,#REF!)</f>
        <v>#REF!</v>
      </c>
      <c r="AL79" s="122"/>
      <c r="AM79" s="71" t="s">
        <v>250</v>
      </c>
      <c r="AN79" s="73" t="e">
        <f xml:space="preserve"> _xlfn.TEXTJOIN(" ", FALSE,#REF!)</f>
        <v>#REF!</v>
      </c>
      <c r="AO79" s="122"/>
      <c r="AP79" s="71" t="s">
        <v>251</v>
      </c>
      <c r="AQ79" s="72" t="e">
        <f xml:space="preserve"> _xlfn.TEXTJOIN(" ", FALSE,#REF!)</f>
        <v>#REF!</v>
      </c>
      <c r="AR79" s="122"/>
      <c r="AS79" s="71" t="s">
        <v>252</v>
      </c>
      <c r="AT79" s="72" t="e">
        <f xml:space="preserve"> _xlfn.TEXTJOIN(" ", FALSE,#REF!)</f>
        <v>#REF!</v>
      </c>
      <c r="AU79" s="122"/>
      <c r="AV79" s="71" t="s">
        <v>253</v>
      </c>
      <c r="AW79" s="73" t="e">
        <f xml:space="preserve"> _xlfn.TEXTJOIN(" ", FALSE,#REF!)</f>
        <v>#REF!</v>
      </c>
      <c r="AX79" s="122"/>
      <c r="AY79" s="71" t="s">
        <v>254</v>
      </c>
      <c r="AZ79" s="72" t="e">
        <f xml:space="preserve"> _xlfn.TEXTJOIN(" ", FALSE,#REF!)</f>
        <v>#REF!</v>
      </c>
      <c r="BA79" s="122"/>
      <c r="BB79" s="71" t="s">
        <v>255</v>
      </c>
      <c r="BC79" s="72" t="e">
        <f xml:space="preserve"> _xlfn.TEXTJOIN(" ", FALSE,#REF!)</f>
        <v>#REF!</v>
      </c>
      <c r="BD79" s="122"/>
      <c r="BE79" s="71" t="s">
        <v>256</v>
      </c>
      <c r="BF79" s="72" t="e">
        <f xml:space="preserve"> _xlfn.TEXTJOIN(" ", FALSE,#REF!)</f>
        <v>#REF!</v>
      </c>
      <c r="BG79" s="65" t="s">
        <v>277</v>
      </c>
      <c r="BH79" s="70" t="e">
        <f t="shared" si="8"/>
        <v>#REF!</v>
      </c>
      <c r="BI79" s="64" t="s">
        <v>257</v>
      </c>
      <c r="BJ79" s="122"/>
      <c r="BK79" s="71" t="s">
        <v>258</v>
      </c>
      <c r="BL79" s="74" t="str">
        <f>_xlfn.TEXTJOIN(" ", FALSE, 'Task 2a - Mitigating the Proble'!U79:AC79)</f>
        <v xml:space="preserve">1 0 1 1 0 1 0 0 </v>
      </c>
      <c r="BM79" s="65" t="s">
        <v>277</v>
      </c>
      <c r="BN79" s="70" t="str">
        <f t="shared" si="9"/>
        <v>[Details for Task 2a:]  /Question 12: 1 0 1 1 0 1 0 0  .</v>
      </c>
      <c r="BO79" s="64" t="s">
        <v>259</v>
      </c>
      <c r="BP79" s="122"/>
      <c r="BQ79" s="71" t="s">
        <v>260</v>
      </c>
      <c r="BR79" s="73" t="e">
        <f xml:space="preserve"> _xlfn.TEXTJOIN(" ", FALSE,#REF!)</f>
        <v>#REF!</v>
      </c>
      <c r="BS79" s="122"/>
      <c r="BT79" s="71" t="s">
        <v>261</v>
      </c>
      <c r="BU79" s="73" t="e">
        <f xml:space="preserve"> _xlfn.TEXTJOIN(" ", FALSE,#REF!)</f>
        <v>#REF!</v>
      </c>
      <c r="BV79" s="122"/>
      <c r="BW79" s="71" t="s">
        <v>262</v>
      </c>
      <c r="BX79" s="73" t="e">
        <f xml:space="preserve"> _xlfn.TEXTJOIN(" ", FALSE,#REF!)</f>
        <v>#REF!</v>
      </c>
      <c r="BY79" s="122"/>
      <c r="BZ79" s="71" t="s">
        <v>263</v>
      </c>
      <c r="CA79" s="73" t="e">
        <f xml:space="preserve"> _xlfn.TEXTJOIN(" ", FALSE,#REF!)</f>
        <v>#REF!</v>
      </c>
      <c r="CB79" s="122"/>
      <c r="CC79" s="71" t="s">
        <v>264</v>
      </c>
      <c r="CD79" s="73" t="e">
        <f xml:space="preserve"> _xlfn.TEXTJOIN(" ", FALSE,#REF!)</f>
        <v>#REF!</v>
      </c>
      <c r="CE79" s="122"/>
      <c r="CF79" s="71" t="s">
        <v>265</v>
      </c>
      <c r="CG79" s="73" t="e">
        <f xml:space="preserve"> _xlfn.TEXTJOIN(" ", FALSE,#REF!)</f>
        <v>#REF!</v>
      </c>
      <c r="CH79" s="122"/>
      <c r="CI79" s="74" t="s">
        <v>278</v>
      </c>
      <c r="CJ79" s="73" t="e">
        <f xml:space="preserve"> _xlfn.TEXTJOIN(" ", FALSE,#REF!)</f>
        <v>#REF!</v>
      </c>
      <c r="CK79" s="65" t="s">
        <v>277</v>
      </c>
      <c r="CL79" s="70" t="e">
        <f t="shared" si="10"/>
        <v>#REF!</v>
      </c>
      <c r="CM79" s="64" t="s">
        <v>267</v>
      </c>
      <c r="CN79" s="122"/>
      <c r="CO79" s="71" t="s">
        <v>268</v>
      </c>
      <c r="CP79" s="73" t="e">
        <f xml:space="preserve"> _xlfn.TEXTJOIN(" ", FALSE,#REF!)</f>
        <v>#REF!</v>
      </c>
      <c r="CQ79" s="122"/>
      <c r="CR79" s="71" t="s">
        <v>269</v>
      </c>
      <c r="CS79" s="73" t="e">
        <f xml:space="preserve"> _xlfn.TEXTJOIN(" ", FALSE,#REF!)</f>
        <v>#REF!</v>
      </c>
      <c r="CT79" s="122"/>
      <c r="CU79" s="71" t="s">
        <v>270</v>
      </c>
      <c r="CV79" s="72" t="e">
        <f xml:space="preserve"> _xlfn.TEXTJOIN(" ", FALSE,#REF!)</f>
        <v>#REF!</v>
      </c>
      <c r="CW79" s="122"/>
      <c r="CX79" s="71" t="s">
        <v>271</v>
      </c>
      <c r="CY79" s="72" t="e">
        <f xml:space="preserve"> _xlfn.TEXTJOIN(" ", FALSE,#REF!)</f>
        <v>#REF!</v>
      </c>
      <c r="CZ79" s="122"/>
      <c r="DA79" s="71" t="s">
        <v>272</v>
      </c>
      <c r="DB79" s="73" t="e">
        <f xml:space="preserve"> _xlfn.TEXTJOIN(" ", FALSE,#REF!)</f>
        <v>#REF!</v>
      </c>
      <c r="DC79" s="65" t="s">
        <v>277</v>
      </c>
      <c r="DD79" s="70" t="e">
        <f t="shared" si="11"/>
        <v>#REF!</v>
      </c>
      <c r="DE79" s="64" t="s">
        <v>273</v>
      </c>
      <c r="DF79" s="122"/>
      <c r="DG79" s="71" t="s">
        <v>274</v>
      </c>
      <c r="DH79" s="72" t="e">
        <f xml:space="preserve"> _xlfn.TEXTJOIN(" ", FALSE,#REF!)</f>
        <v>#REF!</v>
      </c>
      <c r="DI79" s="122"/>
      <c r="DJ79" s="71" t="s">
        <v>275</v>
      </c>
      <c r="DK79" s="73" t="e">
        <f xml:space="preserve"> _xlfn.TEXTJOIN(" ", FALSE,#REF!)</f>
        <v>#REF!</v>
      </c>
      <c r="DL79" s="65" t="s">
        <v>277</v>
      </c>
      <c r="DM79" s="70" t="e">
        <f t="shared" si="12"/>
        <v>#REF!</v>
      </c>
      <c r="DN79" s="70" t="e">
        <f t="shared" si="13"/>
        <v>#REF!</v>
      </c>
    </row>
    <row r="80" spans="1:118" ht="108" customHeight="1">
      <c r="A80" s="122" t="e">
        <f>Summary!A80</f>
        <v>#REF!</v>
      </c>
      <c r="B80" s="64" t="s">
        <v>233</v>
      </c>
      <c r="C80" s="115" t="e">
        <f>Summary!B80</f>
        <v>#REF!</v>
      </c>
      <c r="D80" s="122"/>
      <c r="E80" s="64" t="s">
        <v>235</v>
      </c>
      <c r="F80" s="133" t="e">
        <f>Summary!C80</f>
        <v>#REF!</v>
      </c>
      <c r="G80" s="64" t="s">
        <v>236</v>
      </c>
      <c r="H80" s="132" t="e">
        <f>Summary!D80</f>
        <v>#REF!</v>
      </c>
      <c r="I80" s="64" t="s">
        <v>237</v>
      </c>
      <c r="J80" s="66">
        <f>Summary!E80</f>
        <v>0</v>
      </c>
      <c r="K80" s="64" t="s">
        <v>238</v>
      </c>
      <c r="L80" s="133" t="e">
        <f>Summary!F80</f>
        <v>#REF!</v>
      </c>
      <c r="M80" s="64" t="s">
        <v>239</v>
      </c>
      <c r="N80" s="132" t="e">
        <f>Summary!G80</f>
        <v>#REF!</v>
      </c>
      <c r="O80" s="64" t="s">
        <v>240</v>
      </c>
      <c r="P80" s="132" t="e">
        <f>Summary!H80</f>
        <v>#REF!</v>
      </c>
      <c r="Q80" s="65" t="s">
        <v>277</v>
      </c>
      <c r="R80" s="70" t="e">
        <f t="shared" si="7"/>
        <v>#REF!</v>
      </c>
      <c r="S80" s="64" t="s">
        <v>243</v>
      </c>
      <c r="T80" s="122"/>
      <c r="U80" s="71" t="s">
        <v>244</v>
      </c>
      <c r="V80" s="72" t="e">
        <f xml:space="preserve"> _xlfn.TEXTJOIN(" ", FALSE,#REF!)</f>
        <v>#REF!</v>
      </c>
      <c r="W80" s="122"/>
      <c r="X80" s="71" t="s">
        <v>245</v>
      </c>
      <c r="Y80" s="72" t="e">
        <f xml:space="preserve"> _xlfn.TEXTJOIN(" ", FALSE,#REF!)</f>
        <v>#REF!</v>
      </c>
      <c r="Z80" s="122"/>
      <c r="AA80" s="71" t="s">
        <v>246</v>
      </c>
      <c r="AB80" s="72" t="e">
        <f xml:space="preserve"> _xlfn.TEXTJOIN(" ", FALSE,#REF!)</f>
        <v>#REF!</v>
      </c>
      <c r="AC80" s="122"/>
      <c r="AD80" s="71" t="s">
        <v>247</v>
      </c>
      <c r="AE80" s="72" t="e">
        <f xml:space="preserve"> _xlfn.TEXTJOIN(" ", FALSE,#REF!)</f>
        <v>#REF!</v>
      </c>
      <c r="AF80" s="122"/>
      <c r="AG80" s="71" t="s">
        <v>248</v>
      </c>
      <c r="AH80" s="73" t="e">
        <f xml:space="preserve"> _xlfn.TEXTJOIN(" ", FALSE,#REF!)</f>
        <v>#REF!</v>
      </c>
      <c r="AI80" s="122"/>
      <c r="AJ80" s="71" t="s">
        <v>249</v>
      </c>
      <c r="AK80" s="73" t="e">
        <f xml:space="preserve"> _xlfn.TEXTJOIN(" ", FALSE,#REF!)</f>
        <v>#REF!</v>
      </c>
      <c r="AL80" s="122"/>
      <c r="AM80" s="71" t="s">
        <v>250</v>
      </c>
      <c r="AN80" s="73" t="e">
        <f xml:space="preserve"> _xlfn.TEXTJOIN(" ", FALSE,#REF!)</f>
        <v>#REF!</v>
      </c>
      <c r="AO80" s="122"/>
      <c r="AP80" s="71" t="s">
        <v>251</v>
      </c>
      <c r="AQ80" s="72" t="e">
        <f xml:space="preserve"> _xlfn.TEXTJOIN(" ", FALSE,#REF!)</f>
        <v>#REF!</v>
      </c>
      <c r="AR80" s="122"/>
      <c r="AS80" s="71" t="s">
        <v>252</v>
      </c>
      <c r="AT80" s="72" t="e">
        <f xml:space="preserve"> _xlfn.TEXTJOIN(" ", FALSE,#REF!)</f>
        <v>#REF!</v>
      </c>
      <c r="AU80" s="122"/>
      <c r="AV80" s="71" t="s">
        <v>253</v>
      </c>
      <c r="AW80" s="73" t="e">
        <f xml:space="preserve"> _xlfn.TEXTJOIN(" ", FALSE,#REF!)</f>
        <v>#REF!</v>
      </c>
      <c r="AX80" s="122"/>
      <c r="AY80" s="71" t="s">
        <v>254</v>
      </c>
      <c r="AZ80" s="72" t="e">
        <f xml:space="preserve"> _xlfn.TEXTJOIN(" ", FALSE,#REF!)</f>
        <v>#REF!</v>
      </c>
      <c r="BA80" s="122"/>
      <c r="BB80" s="71" t="s">
        <v>255</v>
      </c>
      <c r="BC80" s="72" t="e">
        <f xml:space="preserve"> _xlfn.TEXTJOIN(" ", FALSE,#REF!)</f>
        <v>#REF!</v>
      </c>
      <c r="BD80" s="122"/>
      <c r="BE80" s="71" t="s">
        <v>256</v>
      </c>
      <c r="BF80" s="72" t="e">
        <f xml:space="preserve"> _xlfn.TEXTJOIN(" ", FALSE,#REF!)</f>
        <v>#REF!</v>
      </c>
      <c r="BG80" s="65" t="s">
        <v>277</v>
      </c>
      <c r="BH80" s="70" t="e">
        <f t="shared" si="8"/>
        <v>#REF!</v>
      </c>
      <c r="BI80" s="64" t="s">
        <v>257</v>
      </c>
      <c r="BJ80" s="122"/>
      <c r="BK80" s="71" t="s">
        <v>258</v>
      </c>
      <c r="BL80" s="74" t="str">
        <f>_xlfn.TEXTJOIN(" ", FALSE, 'Task 2a - Mitigating the Proble'!U80:AC80)</f>
        <v>0 0 0 0 0 0 0 0 The answer is not relevant to L1 and L2.</v>
      </c>
      <c r="BM80" s="65" t="s">
        <v>277</v>
      </c>
      <c r="BN80" s="70" t="str">
        <f t="shared" si="9"/>
        <v>[Details for Task 2a:]  /Question 12: 0 0 0 0 0 0 0 0 The answer is not relevant to L1 and L2. .</v>
      </c>
      <c r="BO80" s="64" t="s">
        <v>259</v>
      </c>
      <c r="BP80" s="122"/>
      <c r="BQ80" s="71" t="s">
        <v>260</v>
      </c>
      <c r="BR80" s="73" t="e">
        <f xml:space="preserve"> _xlfn.TEXTJOIN(" ", FALSE,#REF!)</f>
        <v>#REF!</v>
      </c>
      <c r="BS80" s="122"/>
      <c r="BT80" s="71" t="s">
        <v>261</v>
      </c>
      <c r="BU80" s="73" t="e">
        <f xml:space="preserve"> _xlfn.TEXTJOIN(" ", FALSE,#REF!)</f>
        <v>#REF!</v>
      </c>
      <c r="BV80" s="122"/>
      <c r="BW80" s="71" t="s">
        <v>262</v>
      </c>
      <c r="BX80" s="73" t="e">
        <f xml:space="preserve"> _xlfn.TEXTJOIN(" ", FALSE,#REF!)</f>
        <v>#REF!</v>
      </c>
      <c r="BY80" s="122"/>
      <c r="BZ80" s="71" t="s">
        <v>263</v>
      </c>
      <c r="CA80" s="73" t="e">
        <f xml:space="preserve"> _xlfn.TEXTJOIN(" ", FALSE,#REF!)</f>
        <v>#REF!</v>
      </c>
      <c r="CB80" s="122"/>
      <c r="CC80" s="71" t="s">
        <v>264</v>
      </c>
      <c r="CD80" s="73" t="e">
        <f xml:space="preserve"> _xlfn.TEXTJOIN(" ", FALSE,#REF!)</f>
        <v>#REF!</v>
      </c>
      <c r="CE80" s="122"/>
      <c r="CF80" s="71" t="s">
        <v>265</v>
      </c>
      <c r="CG80" s="73" t="e">
        <f xml:space="preserve"> _xlfn.TEXTJOIN(" ", FALSE,#REF!)</f>
        <v>#REF!</v>
      </c>
      <c r="CH80" s="122"/>
      <c r="CI80" s="74" t="s">
        <v>278</v>
      </c>
      <c r="CJ80" s="73" t="e">
        <f xml:space="preserve"> _xlfn.TEXTJOIN(" ", FALSE,#REF!)</f>
        <v>#REF!</v>
      </c>
      <c r="CK80" s="65" t="s">
        <v>277</v>
      </c>
      <c r="CL80" s="116" t="e">
        <f t="shared" si="10"/>
        <v>#REF!</v>
      </c>
      <c r="CM80" s="64" t="s">
        <v>267</v>
      </c>
      <c r="CN80" s="122"/>
      <c r="CO80" s="71" t="s">
        <v>268</v>
      </c>
      <c r="CP80" s="73" t="e">
        <f xml:space="preserve"> _xlfn.TEXTJOIN(" ", FALSE,#REF!)</f>
        <v>#REF!</v>
      </c>
      <c r="CQ80" s="122"/>
      <c r="CR80" s="71" t="s">
        <v>269</v>
      </c>
      <c r="CS80" s="73" t="e">
        <f xml:space="preserve"> _xlfn.TEXTJOIN(" ", FALSE,#REF!)</f>
        <v>#REF!</v>
      </c>
      <c r="CT80" s="122"/>
      <c r="CU80" s="71" t="s">
        <v>270</v>
      </c>
      <c r="CV80" s="72" t="e">
        <f xml:space="preserve"> _xlfn.TEXTJOIN(" ", FALSE,#REF!)</f>
        <v>#REF!</v>
      </c>
      <c r="CW80" s="122"/>
      <c r="CX80" s="71" t="s">
        <v>271</v>
      </c>
      <c r="CY80" s="72" t="e">
        <f xml:space="preserve"> _xlfn.TEXTJOIN(" ", FALSE,#REF!)</f>
        <v>#REF!</v>
      </c>
      <c r="CZ80" s="122"/>
      <c r="DA80" s="71" t="s">
        <v>272</v>
      </c>
      <c r="DB80" s="73" t="e">
        <f xml:space="preserve"> _xlfn.TEXTJOIN(" ", FALSE,#REF!)</f>
        <v>#REF!</v>
      </c>
      <c r="DC80" s="65" t="s">
        <v>277</v>
      </c>
      <c r="DD80" s="70" t="e">
        <f t="shared" si="11"/>
        <v>#REF!</v>
      </c>
      <c r="DE80" s="64" t="s">
        <v>273</v>
      </c>
      <c r="DF80" s="122"/>
      <c r="DG80" s="71" t="s">
        <v>274</v>
      </c>
      <c r="DH80" s="72" t="e">
        <f xml:space="preserve"> _xlfn.TEXTJOIN(" ", FALSE,#REF!)</f>
        <v>#REF!</v>
      </c>
      <c r="DI80" s="122"/>
      <c r="DJ80" s="71" t="s">
        <v>275</v>
      </c>
      <c r="DK80" s="73" t="e">
        <f xml:space="preserve"> _xlfn.TEXTJOIN(" ", FALSE,#REF!)</f>
        <v>#REF!</v>
      </c>
      <c r="DL80" s="65" t="s">
        <v>277</v>
      </c>
      <c r="DM80" s="70" t="e">
        <f t="shared" si="12"/>
        <v>#REF!</v>
      </c>
      <c r="DN80" s="70" t="e">
        <f t="shared" si="13"/>
        <v>#REF!</v>
      </c>
    </row>
    <row r="81" spans="1:118" ht="108" customHeight="1">
      <c r="A81" s="122" t="e">
        <f>Summary!A81</f>
        <v>#REF!</v>
      </c>
      <c r="B81" s="64" t="s">
        <v>233</v>
      </c>
      <c r="C81" s="65" t="e">
        <f>Summary!B81</f>
        <v>#REF!</v>
      </c>
      <c r="D81" s="122"/>
      <c r="E81" s="64" t="s">
        <v>235</v>
      </c>
      <c r="F81" s="132" t="e">
        <f>Summary!C81</f>
        <v>#REF!</v>
      </c>
      <c r="G81" s="64" t="s">
        <v>236</v>
      </c>
      <c r="H81" s="132" t="e">
        <f>Summary!D81</f>
        <v>#REF!</v>
      </c>
      <c r="I81" s="64" t="s">
        <v>237</v>
      </c>
      <c r="J81" s="66">
        <f>Summary!E81</f>
        <v>7</v>
      </c>
      <c r="K81" s="64" t="s">
        <v>238</v>
      </c>
      <c r="L81" s="132" t="e">
        <f>Summary!F81</f>
        <v>#REF!</v>
      </c>
      <c r="M81" s="64" t="s">
        <v>239</v>
      </c>
      <c r="N81" s="132" t="e">
        <f>Summary!G81</f>
        <v>#REF!</v>
      </c>
      <c r="O81" s="64" t="s">
        <v>240</v>
      </c>
      <c r="P81" s="132" t="e">
        <f>Summary!H81</f>
        <v>#REF!</v>
      </c>
      <c r="Q81" s="65" t="s">
        <v>277</v>
      </c>
      <c r="R81" s="70" t="e">
        <f t="shared" si="7"/>
        <v>#REF!</v>
      </c>
      <c r="S81" s="64" t="s">
        <v>243</v>
      </c>
      <c r="T81" s="122"/>
      <c r="U81" s="71" t="s">
        <v>244</v>
      </c>
      <c r="V81" s="72" t="e">
        <f xml:space="preserve"> _xlfn.TEXTJOIN(" ", FALSE,#REF!)</f>
        <v>#REF!</v>
      </c>
      <c r="W81" s="122"/>
      <c r="X81" s="71" t="s">
        <v>245</v>
      </c>
      <c r="Y81" s="72" t="e">
        <f xml:space="preserve"> _xlfn.TEXTJOIN(" ", FALSE,#REF!)</f>
        <v>#REF!</v>
      </c>
      <c r="Z81" s="122"/>
      <c r="AA81" s="71" t="s">
        <v>246</v>
      </c>
      <c r="AB81" s="72" t="e">
        <f xml:space="preserve"> _xlfn.TEXTJOIN(" ", FALSE,#REF!)</f>
        <v>#REF!</v>
      </c>
      <c r="AC81" s="122"/>
      <c r="AD81" s="71" t="s">
        <v>247</v>
      </c>
      <c r="AE81" s="72" t="e">
        <f xml:space="preserve"> _xlfn.TEXTJOIN(" ", FALSE,#REF!)</f>
        <v>#REF!</v>
      </c>
      <c r="AF81" s="122"/>
      <c r="AG81" s="71" t="s">
        <v>248</v>
      </c>
      <c r="AH81" s="73" t="e">
        <f xml:space="preserve"> _xlfn.TEXTJOIN(" ", FALSE,#REF!)</f>
        <v>#REF!</v>
      </c>
      <c r="AI81" s="122"/>
      <c r="AJ81" s="71" t="s">
        <v>249</v>
      </c>
      <c r="AK81" s="73" t="e">
        <f xml:space="preserve"> _xlfn.TEXTJOIN(" ", FALSE,#REF!)</f>
        <v>#REF!</v>
      </c>
      <c r="AL81" s="122"/>
      <c r="AM81" s="71" t="s">
        <v>250</v>
      </c>
      <c r="AN81" s="73" t="e">
        <f xml:space="preserve"> _xlfn.TEXTJOIN(" ", FALSE,#REF!)</f>
        <v>#REF!</v>
      </c>
      <c r="AO81" s="122"/>
      <c r="AP81" s="71" t="s">
        <v>251</v>
      </c>
      <c r="AQ81" s="72" t="e">
        <f xml:space="preserve"> _xlfn.TEXTJOIN(" ", FALSE,#REF!)</f>
        <v>#REF!</v>
      </c>
      <c r="AR81" s="122"/>
      <c r="AS81" s="71" t="s">
        <v>252</v>
      </c>
      <c r="AT81" s="72" t="e">
        <f xml:space="preserve"> _xlfn.TEXTJOIN(" ", FALSE,#REF!)</f>
        <v>#REF!</v>
      </c>
      <c r="AU81" s="122"/>
      <c r="AV81" s="71" t="s">
        <v>253</v>
      </c>
      <c r="AW81" s="73" t="e">
        <f xml:space="preserve"> _xlfn.TEXTJOIN(" ", FALSE,#REF!)</f>
        <v>#REF!</v>
      </c>
      <c r="AX81" s="122"/>
      <c r="AY81" s="71" t="s">
        <v>254</v>
      </c>
      <c r="AZ81" s="72" t="e">
        <f xml:space="preserve"> _xlfn.TEXTJOIN(" ", FALSE,#REF!)</f>
        <v>#REF!</v>
      </c>
      <c r="BA81" s="122"/>
      <c r="BB81" s="71" t="s">
        <v>255</v>
      </c>
      <c r="BC81" s="72" t="e">
        <f xml:space="preserve"> _xlfn.TEXTJOIN(" ", FALSE,#REF!)</f>
        <v>#REF!</v>
      </c>
      <c r="BD81" s="122"/>
      <c r="BE81" s="71" t="s">
        <v>256</v>
      </c>
      <c r="BF81" s="72" t="e">
        <f xml:space="preserve"> _xlfn.TEXTJOIN(" ", FALSE,#REF!)</f>
        <v>#REF!</v>
      </c>
      <c r="BG81" s="65" t="s">
        <v>277</v>
      </c>
      <c r="BH81" s="70" t="e">
        <f t="shared" si="8"/>
        <v>#REF!</v>
      </c>
      <c r="BI81" s="64" t="s">
        <v>257</v>
      </c>
      <c r="BJ81" s="122"/>
      <c r="BK81" s="71" t="s">
        <v>258</v>
      </c>
      <c r="BL81" s="74" t="str">
        <f>_xlfn.TEXTJOIN(" ", FALSE, 'Task 2a - Mitigating the Proble'!U81:AC81)</f>
        <v xml:space="preserve">1 1 1 0 1 1 0 0 </v>
      </c>
      <c r="BM81" s="65" t="s">
        <v>277</v>
      </c>
      <c r="BN81" s="70" t="str">
        <f t="shared" si="9"/>
        <v>[Details for Task 2a:]  /Question 12: 1 1 1 0 1 1 0 0  .</v>
      </c>
      <c r="BO81" s="64" t="s">
        <v>259</v>
      </c>
      <c r="BP81" s="122"/>
      <c r="BQ81" s="71" t="s">
        <v>260</v>
      </c>
      <c r="BR81" s="73" t="e">
        <f xml:space="preserve"> _xlfn.TEXTJOIN(" ", FALSE,#REF!)</f>
        <v>#REF!</v>
      </c>
      <c r="BS81" s="122"/>
      <c r="BT81" s="71" t="s">
        <v>261</v>
      </c>
      <c r="BU81" s="73" t="e">
        <f xml:space="preserve"> _xlfn.TEXTJOIN(" ", FALSE,#REF!)</f>
        <v>#REF!</v>
      </c>
      <c r="BV81" s="122"/>
      <c r="BW81" s="71" t="s">
        <v>262</v>
      </c>
      <c r="BX81" s="73" t="e">
        <f xml:space="preserve"> _xlfn.TEXTJOIN(" ", FALSE,#REF!)</f>
        <v>#REF!</v>
      </c>
      <c r="BY81" s="122"/>
      <c r="BZ81" s="71" t="s">
        <v>263</v>
      </c>
      <c r="CA81" s="73" t="e">
        <f xml:space="preserve"> _xlfn.TEXTJOIN(" ", FALSE,#REF!)</f>
        <v>#REF!</v>
      </c>
      <c r="CB81" s="122"/>
      <c r="CC81" s="71" t="s">
        <v>264</v>
      </c>
      <c r="CD81" s="73" t="e">
        <f xml:space="preserve"> _xlfn.TEXTJOIN(" ", FALSE,#REF!)</f>
        <v>#REF!</v>
      </c>
      <c r="CE81" s="122"/>
      <c r="CF81" s="71" t="s">
        <v>265</v>
      </c>
      <c r="CG81" s="73" t="e">
        <f xml:space="preserve"> _xlfn.TEXTJOIN(" ", FALSE,#REF!)</f>
        <v>#REF!</v>
      </c>
      <c r="CH81" s="122"/>
      <c r="CI81" s="74" t="s">
        <v>278</v>
      </c>
      <c r="CJ81" s="73" t="e">
        <f xml:space="preserve"> _xlfn.TEXTJOIN(" ", FALSE,#REF!)</f>
        <v>#REF!</v>
      </c>
      <c r="CK81" s="65" t="s">
        <v>277</v>
      </c>
      <c r="CL81" s="70" t="e">
        <f t="shared" si="10"/>
        <v>#REF!</v>
      </c>
      <c r="CM81" s="64" t="s">
        <v>267</v>
      </c>
      <c r="CN81" s="122"/>
      <c r="CO81" s="71" t="s">
        <v>268</v>
      </c>
      <c r="CP81" s="73" t="e">
        <f xml:space="preserve"> _xlfn.TEXTJOIN(" ", FALSE,#REF!)</f>
        <v>#REF!</v>
      </c>
      <c r="CQ81" s="122"/>
      <c r="CR81" s="71" t="s">
        <v>269</v>
      </c>
      <c r="CS81" s="73" t="e">
        <f xml:space="preserve"> _xlfn.TEXTJOIN(" ", FALSE,#REF!)</f>
        <v>#REF!</v>
      </c>
      <c r="CT81" s="122"/>
      <c r="CU81" s="71" t="s">
        <v>270</v>
      </c>
      <c r="CV81" s="72" t="e">
        <f xml:space="preserve"> _xlfn.TEXTJOIN(" ", FALSE,#REF!)</f>
        <v>#REF!</v>
      </c>
      <c r="CW81" s="122"/>
      <c r="CX81" s="71" t="s">
        <v>271</v>
      </c>
      <c r="CY81" s="72" t="e">
        <f xml:space="preserve"> _xlfn.TEXTJOIN(" ", FALSE,#REF!)</f>
        <v>#REF!</v>
      </c>
      <c r="CZ81" s="122"/>
      <c r="DA81" s="71" t="s">
        <v>272</v>
      </c>
      <c r="DB81" s="73" t="e">
        <f xml:space="preserve"> _xlfn.TEXTJOIN(" ", FALSE,#REF!)</f>
        <v>#REF!</v>
      </c>
      <c r="DC81" s="65" t="s">
        <v>277</v>
      </c>
      <c r="DD81" s="70" t="e">
        <f t="shared" si="11"/>
        <v>#REF!</v>
      </c>
      <c r="DE81" s="64" t="s">
        <v>273</v>
      </c>
      <c r="DF81" s="122"/>
      <c r="DG81" s="71" t="s">
        <v>274</v>
      </c>
      <c r="DH81" s="72" t="e">
        <f xml:space="preserve"> _xlfn.TEXTJOIN(" ", FALSE,#REF!)</f>
        <v>#REF!</v>
      </c>
      <c r="DI81" s="122"/>
      <c r="DJ81" s="71" t="s">
        <v>275</v>
      </c>
      <c r="DK81" s="73" t="e">
        <f xml:space="preserve"> _xlfn.TEXTJOIN(" ", FALSE,#REF!)</f>
        <v>#REF!</v>
      </c>
      <c r="DL81" s="65" t="s">
        <v>277</v>
      </c>
      <c r="DM81" s="70" t="e">
        <f t="shared" si="12"/>
        <v>#REF!</v>
      </c>
      <c r="DN81" s="70" t="e">
        <f t="shared" si="13"/>
        <v>#REF!</v>
      </c>
    </row>
    <row r="82" spans="1:118" ht="108" customHeight="1">
      <c r="A82" s="122" t="e">
        <f>Summary!A82</f>
        <v>#REF!</v>
      </c>
      <c r="B82" s="64" t="s">
        <v>233</v>
      </c>
      <c r="C82" s="65" t="e">
        <f>Summary!B82</f>
        <v>#REF!</v>
      </c>
      <c r="D82" s="122"/>
      <c r="E82" s="64" t="s">
        <v>235</v>
      </c>
      <c r="F82" s="132" t="e">
        <f>Summary!C82</f>
        <v>#REF!</v>
      </c>
      <c r="G82" s="64" t="s">
        <v>236</v>
      </c>
      <c r="H82" s="132" t="e">
        <f>Summary!D82</f>
        <v>#REF!</v>
      </c>
      <c r="I82" s="64" t="s">
        <v>237</v>
      </c>
      <c r="J82" s="66">
        <f>Summary!E82</f>
        <v>5</v>
      </c>
      <c r="K82" s="64" t="s">
        <v>238</v>
      </c>
      <c r="L82" s="132" t="e">
        <f>Summary!F82</f>
        <v>#REF!</v>
      </c>
      <c r="M82" s="64" t="s">
        <v>239</v>
      </c>
      <c r="N82" s="132" t="e">
        <f>Summary!G82</f>
        <v>#REF!</v>
      </c>
      <c r="O82" s="64" t="s">
        <v>240</v>
      </c>
      <c r="P82" s="132" t="e">
        <f>Summary!H82</f>
        <v>#REF!</v>
      </c>
      <c r="Q82" s="65" t="s">
        <v>277</v>
      </c>
      <c r="R82" s="70" t="e">
        <f t="shared" si="7"/>
        <v>#REF!</v>
      </c>
      <c r="S82" s="64" t="s">
        <v>243</v>
      </c>
      <c r="T82" s="122"/>
      <c r="U82" s="71" t="s">
        <v>244</v>
      </c>
      <c r="V82" s="72" t="e">
        <f xml:space="preserve"> _xlfn.TEXTJOIN(" ", FALSE,#REF!)</f>
        <v>#REF!</v>
      </c>
      <c r="W82" s="122"/>
      <c r="X82" s="71" t="s">
        <v>245</v>
      </c>
      <c r="Y82" s="72" t="e">
        <f xml:space="preserve"> _xlfn.TEXTJOIN(" ", FALSE,#REF!)</f>
        <v>#REF!</v>
      </c>
      <c r="Z82" s="122"/>
      <c r="AA82" s="71" t="s">
        <v>246</v>
      </c>
      <c r="AB82" s="72" t="e">
        <f xml:space="preserve"> _xlfn.TEXTJOIN(" ", FALSE,#REF!)</f>
        <v>#REF!</v>
      </c>
      <c r="AC82" s="122"/>
      <c r="AD82" s="71" t="s">
        <v>247</v>
      </c>
      <c r="AE82" s="72" t="e">
        <f xml:space="preserve"> _xlfn.TEXTJOIN(" ", FALSE,#REF!)</f>
        <v>#REF!</v>
      </c>
      <c r="AF82" s="122"/>
      <c r="AG82" s="71" t="s">
        <v>248</v>
      </c>
      <c r="AH82" s="73" t="e">
        <f xml:space="preserve"> _xlfn.TEXTJOIN(" ", FALSE,#REF!)</f>
        <v>#REF!</v>
      </c>
      <c r="AI82" s="122"/>
      <c r="AJ82" s="71" t="s">
        <v>249</v>
      </c>
      <c r="AK82" s="73" t="e">
        <f xml:space="preserve"> _xlfn.TEXTJOIN(" ", FALSE,#REF!)</f>
        <v>#REF!</v>
      </c>
      <c r="AL82" s="122"/>
      <c r="AM82" s="71" t="s">
        <v>250</v>
      </c>
      <c r="AN82" s="73" t="e">
        <f xml:space="preserve"> _xlfn.TEXTJOIN(" ", FALSE,#REF!)</f>
        <v>#REF!</v>
      </c>
      <c r="AO82" s="122"/>
      <c r="AP82" s="71" t="s">
        <v>251</v>
      </c>
      <c r="AQ82" s="72" t="e">
        <f xml:space="preserve"> _xlfn.TEXTJOIN(" ", FALSE,#REF!)</f>
        <v>#REF!</v>
      </c>
      <c r="AR82" s="122"/>
      <c r="AS82" s="71" t="s">
        <v>252</v>
      </c>
      <c r="AT82" s="72" t="e">
        <f xml:space="preserve"> _xlfn.TEXTJOIN(" ", FALSE,#REF!)</f>
        <v>#REF!</v>
      </c>
      <c r="AU82" s="122"/>
      <c r="AV82" s="71" t="s">
        <v>253</v>
      </c>
      <c r="AW82" s="73" t="e">
        <f xml:space="preserve"> _xlfn.TEXTJOIN(" ", FALSE,#REF!)</f>
        <v>#REF!</v>
      </c>
      <c r="AX82" s="122"/>
      <c r="AY82" s="71" t="s">
        <v>254</v>
      </c>
      <c r="AZ82" s="72" t="e">
        <f xml:space="preserve"> _xlfn.TEXTJOIN(" ", FALSE,#REF!)</f>
        <v>#REF!</v>
      </c>
      <c r="BA82" s="122"/>
      <c r="BB82" s="71" t="s">
        <v>255</v>
      </c>
      <c r="BC82" s="72" t="e">
        <f xml:space="preserve"> _xlfn.TEXTJOIN(" ", FALSE,#REF!)</f>
        <v>#REF!</v>
      </c>
      <c r="BD82" s="122"/>
      <c r="BE82" s="71" t="s">
        <v>256</v>
      </c>
      <c r="BF82" s="72" t="e">
        <f xml:space="preserve"> _xlfn.TEXTJOIN(" ", FALSE,#REF!)</f>
        <v>#REF!</v>
      </c>
      <c r="BG82" s="65" t="s">
        <v>277</v>
      </c>
      <c r="BH82" s="70" t="e">
        <f t="shared" si="8"/>
        <v>#REF!</v>
      </c>
      <c r="BI82" s="64" t="s">
        <v>257</v>
      </c>
      <c r="BJ82" s="122"/>
      <c r="BK82" s="71" t="s">
        <v>258</v>
      </c>
      <c r="BL82" s="74" t="str">
        <f>_xlfn.TEXTJOIN(" ", FALSE, 'Task 2a - Mitigating the Proble'!U82:AC82)</f>
        <v xml:space="preserve">1 0 0 0 0 1 0 0 </v>
      </c>
      <c r="BM82" s="65" t="s">
        <v>277</v>
      </c>
      <c r="BN82" s="70" t="str">
        <f t="shared" si="9"/>
        <v>[Details for Task 2a:]  /Question 12: 1 0 0 0 0 1 0 0  .</v>
      </c>
      <c r="BO82" s="64" t="s">
        <v>259</v>
      </c>
      <c r="BP82" s="122"/>
      <c r="BQ82" s="71" t="s">
        <v>260</v>
      </c>
      <c r="BR82" s="73" t="e">
        <f xml:space="preserve"> _xlfn.TEXTJOIN(" ", FALSE,#REF!)</f>
        <v>#REF!</v>
      </c>
      <c r="BS82" s="122"/>
      <c r="BT82" s="71" t="s">
        <v>261</v>
      </c>
      <c r="BU82" s="73" t="e">
        <f xml:space="preserve"> _xlfn.TEXTJOIN(" ", FALSE,#REF!)</f>
        <v>#REF!</v>
      </c>
      <c r="BV82" s="122"/>
      <c r="BW82" s="71" t="s">
        <v>262</v>
      </c>
      <c r="BX82" s="73" t="e">
        <f xml:space="preserve"> _xlfn.TEXTJOIN(" ", FALSE,#REF!)</f>
        <v>#REF!</v>
      </c>
      <c r="BY82" s="122"/>
      <c r="BZ82" s="71" t="s">
        <v>263</v>
      </c>
      <c r="CA82" s="73" t="e">
        <f xml:space="preserve"> _xlfn.TEXTJOIN(" ", FALSE,#REF!)</f>
        <v>#REF!</v>
      </c>
      <c r="CB82" s="122"/>
      <c r="CC82" s="71" t="s">
        <v>264</v>
      </c>
      <c r="CD82" s="73" t="e">
        <f xml:space="preserve"> _xlfn.TEXTJOIN(" ", FALSE,#REF!)</f>
        <v>#REF!</v>
      </c>
      <c r="CE82" s="122"/>
      <c r="CF82" s="71" t="s">
        <v>265</v>
      </c>
      <c r="CG82" s="73" t="e">
        <f xml:space="preserve"> _xlfn.TEXTJOIN(" ", FALSE,#REF!)</f>
        <v>#REF!</v>
      </c>
      <c r="CH82" s="122"/>
      <c r="CI82" s="74" t="s">
        <v>278</v>
      </c>
      <c r="CJ82" s="73" t="e">
        <f xml:space="preserve"> _xlfn.TEXTJOIN(" ", FALSE,#REF!)</f>
        <v>#REF!</v>
      </c>
      <c r="CK82" s="65" t="s">
        <v>277</v>
      </c>
      <c r="CL82" s="70" t="e">
        <f t="shared" si="10"/>
        <v>#REF!</v>
      </c>
      <c r="CM82" s="64" t="s">
        <v>267</v>
      </c>
      <c r="CN82" s="122"/>
      <c r="CO82" s="71" t="s">
        <v>268</v>
      </c>
      <c r="CP82" s="73" t="e">
        <f xml:space="preserve"> _xlfn.TEXTJOIN(" ", FALSE,#REF!)</f>
        <v>#REF!</v>
      </c>
      <c r="CQ82" s="122"/>
      <c r="CR82" s="71" t="s">
        <v>269</v>
      </c>
      <c r="CS82" s="73" t="e">
        <f xml:space="preserve"> _xlfn.TEXTJOIN(" ", FALSE,#REF!)</f>
        <v>#REF!</v>
      </c>
      <c r="CT82" s="122"/>
      <c r="CU82" s="71" t="s">
        <v>270</v>
      </c>
      <c r="CV82" s="72" t="e">
        <f xml:space="preserve"> _xlfn.TEXTJOIN(" ", FALSE,#REF!)</f>
        <v>#REF!</v>
      </c>
      <c r="CW82" s="122"/>
      <c r="CX82" s="71" t="s">
        <v>271</v>
      </c>
      <c r="CY82" s="72" t="e">
        <f xml:space="preserve"> _xlfn.TEXTJOIN(" ", FALSE,#REF!)</f>
        <v>#REF!</v>
      </c>
      <c r="CZ82" s="122"/>
      <c r="DA82" s="71" t="s">
        <v>272</v>
      </c>
      <c r="DB82" s="73" t="e">
        <f xml:space="preserve"> _xlfn.TEXTJOIN(" ", FALSE,#REF!)</f>
        <v>#REF!</v>
      </c>
      <c r="DC82" s="65" t="s">
        <v>277</v>
      </c>
      <c r="DD82" s="70" t="e">
        <f t="shared" si="11"/>
        <v>#REF!</v>
      </c>
      <c r="DE82" s="64" t="s">
        <v>273</v>
      </c>
      <c r="DF82" s="122"/>
      <c r="DG82" s="71" t="s">
        <v>274</v>
      </c>
      <c r="DH82" s="72" t="e">
        <f xml:space="preserve"> _xlfn.TEXTJOIN(" ", FALSE,#REF!)</f>
        <v>#REF!</v>
      </c>
      <c r="DI82" s="122"/>
      <c r="DJ82" s="71" t="s">
        <v>275</v>
      </c>
      <c r="DK82" s="73" t="e">
        <f xml:space="preserve"> _xlfn.TEXTJOIN(" ", FALSE,#REF!)</f>
        <v>#REF!</v>
      </c>
      <c r="DL82" s="65" t="s">
        <v>277</v>
      </c>
      <c r="DM82" s="70" t="e">
        <f t="shared" si="12"/>
        <v>#REF!</v>
      </c>
      <c r="DN82" s="70" t="e">
        <f t="shared" si="13"/>
        <v>#REF!</v>
      </c>
    </row>
    <row r="83" spans="1:118" ht="108" customHeight="1">
      <c r="A83" s="122" t="e">
        <f>Summary!A83</f>
        <v>#REF!</v>
      </c>
      <c r="B83" s="64" t="s">
        <v>233</v>
      </c>
      <c r="C83" s="65" t="e">
        <f>Summary!B83</f>
        <v>#REF!</v>
      </c>
      <c r="D83" s="122"/>
      <c r="E83" s="64" t="s">
        <v>235</v>
      </c>
      <c r="F83" s="132" t="e">
        <f>Summary!C83</f>
        <v>#REF!</v>
      </c>
      <c r="G83" s="64" t="s">
        <v>236</v>
      </c>
      <c r="H83" s="132" t="e">
        <f>Summary!D83</f>
        <v>#REF!</v>
      </c>
      <c r="I83" s="64" t="s">
        <v>237</v>
      </c>
      <c r="J83" s="66">
        <f>Summary!E83</f>
        <v>5</v>
      </c>
      <c r="K83" s="64" t="s">
        <v>238</v>
      </c>
      <c r="L83" s="132" t="e">
        <f>Summary!F83</f>
        <v>#REF!</v>
      </c>
      <c r="M83" s="64" t="s">
        <v>239</v>
      </c>
      <c r="N83" s="132" t="e">
        <f>Summary!G83</f>
        <v>#REF!</v>
      </c>
      <c r="O83" s="64" t="s">
        <v>240</v>
      </c>
      <c r="P83" s="132" t="e">
        <f>Summary!H83</f>
        <v>#REF!</v>
      </c>
      <c r="Q83" s="65" t="s">
        <v>277</v>
      </c>
      <c r="R83" s="70" t="e">
        <f t="shared" si="7"/>
        <v>#REF!</v>
      </c>
      <c r="S83" s="64" t="s">
        <v>243</v>
      </c>
      <c r="T83" s="122"/>
      <c r="U83" s="71" t="s">
        <v>244</v>
      </c>
      <c r="V83" s="72" t="e">
        <f xml:space="preserve"> _xlfn.TEXTJOIN(" ", FALSE,#REF!)</f>
        <v>#REF!</v>
      </c>
      <c r="W83" s="122"/>
      <c r="X83" s="71" t="s">
        <v>245</v>
      </c>
      <c r="Y83" s="72" t="e">
        <f xml:space="preserve"> _xlfn.TEXTJOIN(" ", FALSE,#REF!)</f>
        <v>#REF!</v>
      </c>
      <c r="Z83" s="122"/>
      <c r="AA83" s="71" t="s">
        <v>246</v>
      </c>
      <c r="AB83" s="72" t="e">
        <f xml:space="preserve"> _xlfn.TEXTJOIN(" ", FALSE,#REF!)</f>
        <v>#REF!</v>
      </c>
      <c r="AC83" s="122"/>
      <c r="AD83" s="71" t="s">
        <v>247</v>
      </c>
      <c r="AE83" s="72" t="e">
        <f xml:space="preserve"> _xlfn.TEXTJOIN(" ", FALSE,#REF!)</f>
        <v>#REF!</v>
      </c>
      <c r="AF83" s="122"/>
      <c r="AG83" s="71" t="s">
        <v>248</v>
      </c>
      <c r="AH83" s="73" t="e">
        <f xml:space="preserve"> _xlfn.TEXTJOIN(" ", FALSE,#REF!)</f>
        <v>#REF!</v>
      </c>
      <c r="AI83" s="122"/>
      <c r="AJ83" s="71" t="s">
        <v>249</v>
      </c>
      <c r="AK83" s="73" t="e">
        <f xml:space="preserve"> _xlfn.TEXTJOIN(" ", FALSE,#REF!)</f>
        <v>#REF!</v>
      </c>
      <c r="AL83" s="122"/>
      <c r="AM83" s="71" t="s">
        <v>250</v>
      </c>
      <c r="AN83" s="73" t="e">
        <f xml:space="preserve"> _xlfn.TEXTJOIN(" ", FALSE,#REF!)</f>
        <v>#REF!</v>
      </c>
      <c r="AO83" s="122"/>
      <c r="AP83" s="71" t="s">
        <v>251</v>
      </c>
      <c r="AQ83" s="72" t="e">
        <f xml:space="preserve"> _xlfn.TEXTJOIN(" ", FALSE,#REF!)</f>
        <v>#REF!</v>
      </c>
      <c r="AR83" s="122"/>
      <c r="AS83" s="71" t="s">
        <v>252</v>
      </c>
      <c r="AT83" s="72" t="e">
        <f xml:space="preserve"> _xlfn.TEXTJOIN(" ", FALSE,#REF!)</f>
        <v>#REF!</v>
      </c>
      <c r="AU83" s="122"/>
      <c r="AV83" s="71" t="s">
        <v>253</v>
      </c>
      <c r="AW83" s="73" t="e">
        <f xml:space="preserve"> _xlfn.TEXTJOIN(" ", FALSE,#REF!)</f>
        <v>#REF!</v>
      </c>
      <c r="AX83" s="122"/>
      <c r="AY83" s="71" t="s">
        <v>254</v>
      </c>
      <c r="AZ83" s="72" t="e">
        <f xml:space="preserve"> _xlfn.TEXTJOIN(" ", FALSE,#REF!)</f>
        <v>#REF!</v>
      </c>
      <c r="BA83" s="122"/>
      <c r="BB83" s="71" t="s">
        <v>255</v>
      </c>
      <c r="BC83" s="72" t="e">
        <f xml:space="preserve"> _xlfn.TEXTJOIN(" ", FALSE,#REF!)</f>
        <v>#REF!</v>
      </c>
      <c r="BD83" s="122"/>
      <c r="BE83" s="71" t="s">
        <v>256</v>
      </c>
      <c r="BF83" s="72" t="e">
        <f xml:space="preserve"> _xlfn.TEXTJOIN(" ", FALSE,#REF!)</f>
        <v>#REF!</v>
      </c>
      <c r="BG83" s="65" t="s">
        <v>277</v>
      </c>
      <c r="BH83" s="70" t="e">
        <f t="shared" si="8"/>
        <v>#REF!</v>
      </c>
      <c r="BI83" s="64" t="s">
        <v>257</v>
      </c>
      <c r="BJ83" s="122"/>
      <c r="BK83" s="71" t="s">
        <v>258</v>
      </c>
      <c r="BL83" s="74" t="str">
        <f>_xlfn.TEXTJOIN(" ", FALSE, 'Task 2a - Mitigating the Proble'!U83:AC83)</f>
        <v xml:space="preserve">1 0 0 0 0 1 0 0 </v>
      </c>
      <c r="BM83" s="65" t="s">
        <v>277</v>
      </c>
      <c r="BN83" s="70" t="str">
        <f t="shared" si="9"/>
        <v>[Details for Task 2a:]  /Question 12: 1 0 0 0 0 1 0 0  .</v>
      </c>
      <c r="BO83" s="64" t="s">
        <v>259</v>
      </c>
      <c r="BP83" s="122"/>
      <c r="BQ83" s="71" t="s">
        <v>260</v>
      </c>
      <c r="BR83" s="73" t="e">
        <f xml:space="preserve"> _xlfn.TEXTJOIN(" ", FALSE,#REF!)</f>
        <v>#REF!</v>
      </c>
      <c r="BS83" s="122"/>
      <c r="BT83" s="71" t="s">
        <v>261</v>
      </c>
      <c r="BU83" s="73" t="e">
        <f xml:space="preserve"> _xlfn.TEXTJOIN(" ", FALSE,#REF!)</f>
        <v>#REF!</v>
      </c>
      <c r="BV83" s="122"/>
      <c r="BW83" s="71" t="s">
        <v>262</v>
      </c>
      <c r="BX83" s="73" t="e">
        <f xml:space="preserve"> _xlfn.TEXTJOIN(" ", FALSE,#REF!)</f>
        <v>#REF!</v>
      </c>
      <c r="BY83" s="122"/>
      <c r="BZ83" s="71" t="s">
        <v>263</v>
      </c>
      <c r="CA83" s="73" t="e">
        <f xml:space="preserve"> _xlfn.TEXTJOIN(" ", FALSE,#REF!)</f>
        <v>#REF!</v>
      </c>
      <c r="CB83" s="122"/>
      <c r="CC83" s="71" t="s">
        <v>264</v>
      </c>
      <c r="CD83" s="73" t="e">
        <f xml:space="preserve"> _xlfn.TEXTJOIN(" ", FALSE,#REF!)</f>
        <v>#REF!</v>
      </c>
      <c r="CE83" s="122"/>
      <c r="CF83" s="71" t="s">
        <v>265</v>
      </c>
      <c r="CG83" s="73" t="e">
        <f xml:space="preserve"> _xlfn.TEXTJOIN(" ", FALSE,#REF!)</f>
        <v>#REF!</v>
      </c>
      <c r="CH83" s="122"/>
      <c r="CI83" s="74" t="s">
        <v>278</v>
      </c>
      <c r="CJ83" s="73" t="e">
        <f xml:space="preserve"> _xlfn.TEXTJOIN(" ", FALSE,#REF!)</f>
        <v>#REF!</v>
      </c>
      <c r="CK83" s="65" t="s">
        <v>277</v>
      </c>
      <c r="CL83" s="70" t="e">
        <f t="shared" si="10"/>
        <v>#REF!</v>
      </c>
      <c r="CM83" s="64" t="s">
        <v>267</v>
      </c>
      <c r="CN83" s="122"/>
      <c r="CO83" s="71" t="s">
        <v>268</v>
      </c>
      <c r="CP83" s="73" t="e">
        <f xml:space="preserve"> _xlfn.TEXTJOIN(" ", FALSE,#REF!)</f>
        <v>#REF!</v>
      </c>
      <c r="CQ83" s="122"/>
      <c r="CR83" s="71" t="s">
        <v>269</v>
      </c>
      <c r="CS83" s="73" t="e">
        <f xml:space="preserve"> _xlfn.TEXTJOIN(" ", FALSE,#REF!)</f>
        <v>#REF!</v>
      </c>
      <c r="CT83" s="122"/>
      <c r="CU83" s="71" t="s">
        <v>270</v>
      </c>
      <c r="CV83" s="72" t="e">
        <f xml:space="preserve"> _xlfn.TEXTJOIN(" ", FALSE,#REF!)</f>
        <v>#REF!</v>
      </c>
      <c r="CW83" s="122"/>
      <c r="CX83" s="71" t="s">
        <v>271</v>
      </c>
      <c r="CY83" s="72" t="e">
        <f xml:space="preserve"> _xlfn.TEXTJOIN(" ", FALSE,#REF!)</f>
        <v>#REF!</v>
      </c>
      <c r="CZ83" s="122"/>
      <c r="DA83" s="71" t="s">
        <v>272</v>
      </c>
      <c r="DB83" s="73" t="e">
        <f xml:space="preserve"> _xlfn.TEXTJOIN(" ", FALSE,#REF!)</f>
        <v>#REF!</v>
      </c>
      <c r="DC83" s="65" t="s">
        <v>277</v>
      </c>
      <c r="DD83" s="70" t="e">
        <f t="shared" si="11"/>
        <v>#REF!</v>
      </c>
      <c r="DE83" s="64" t="s">
        <v>273</v>
      </c>
      <c r="DF83" s="122"/>
      <c r="DG83" s="71" t="s">
        <v>274</v>
      </c>
      <c r="DH83" s="72" t="e">
        <f xml:space="preserve"> _xlfn.TEXTJOIN(" ", FALSE,#REF!)</f>
        <v>#REF!</v>
      </c>
      <c r="DI83" s="122"/>
      <c r="DJ83" s="71" t="s">
        <v>275</v>
      </c>
      <c r="DK83" s="73" t="e">
        <f xml:space="preserve"> _xlfn.TEXTJOIN(" ", FALSE,#REF!)</f>
        <v>#REF!</v>
      </c>
      <c r="DL83" s="65" t="s">
        <v>277</v>
      </c>
      <c r="DM83" s="70" t="e">
        <f t="shared" si="12"/>
        <v>#REF!</v>
      </c>
      <c r="DN83" s="70" t="e">
        <f t="shared" si="13"/>
        <v>#REF!</v>
      </c>
    </row>
    <row r="84" spans="1:118" ht="108" customHeight="1">
      <c r="A84" s="122" t="e">
        <f>Summary!A84</f>
        <v>#REF!</v>
      </c>
      <c r="B84" s="64" t="s">
        <v>233</v>
      </c>
      <c r="C84" s="65" t="e">
        <f>Summary!B84</f>
        <v>#REF!</v>
      </c>
      <c r="D84" s="122"/>
      <c r="E84" s="64" t="s">
        <v>235</v>
      </c>
      <c r="F84" s="132" t="e">
        <f>Summary!C84</f>
        <v>#REF!</v>
      </c>
      <c r="G84" s="64" t="s">
        <v>236</v>
      </c>
      <c r="H84" s="132" t="e">
        <f>Summary!D84</f>
        <v>#REF!</v>
      </c>
      <c r="I84" s="64" t="s">
        <v>237</v>
      </c>
      <c r="J84" s="66">
        <f>Summary!E84</f>
        <v>6</v>
      </c>
      <c r="K84" s="64" t="s">
        <v>238</v>
      </c>
      <c r="L84" s="132" t="e">
        <f>Summary!F84</f>
        <v>#REF!</v>
      </c>
      <c r="M84" s="64" t="s">
        <v>239</v>
      </c>
      <c r="N84" s="132" t="e">
        <f>Summary!G84</f>
        <v>#REF!</v>
      </c>
      <c r="O84" s="64" t="s">
        <v>240</v>
      </c>
      <c r="P84" s="132" t="e">
        <f>Summary!H84</f>
        <v>#REF!</v>
      </c>
      <c r="Q84" s="65" t="s">
        <v>277</v>
      </c>
      <c r="R84" s="70" t="e">
        <f t="shared" si="7"/>
        <v>#REF!</v>
      </c>
      <c r="S84" s="64" t="s">
        <v>243</v>
      </c>
      <c r="T84" s="122"/>
      <c r="U84" s="71" t="s">
        <v>244</v>
      </c>
      <c r="V84" s="72" t="e">
        <f xml:space="preserve"> _xlfn.TEXTJOIN(" ", FALSE,#REF!)</f>
        <v>#REF!</v>
      </c>
      <c r="W84" s="122"/>
      <c r="X84" s="71" t="s">
        <v>245</v>
      </c>
      <c r="Y84" s="72" t="e">
        <f xml:space="preserve"> _xlfn.TEXTJOIN(" ", FALSE,#REF!)</f>
        <v>#REF!</v>
      </c>
      <c r="Z84" s="122"/>
      <c r="AA84" s="71" t="s">
        <v>246</v>
      </c>
      <c r="AB84" s="72" t="e">
        <f xml:space="preserve"> _xlfn.TEXTJOIN(" ", FALSE,#REF!)</f>
        <v>#REF!</v>
      </c>
      <c r="AC84" s="122"/>
      <c r="AD84" s="71" t="s">
        <v>247</v>
      </c>
      <c r="AE84" s="72" t="e">
        <f xml:space="preserve"> _xlfn.TEXTJOIN(" ", FALSE,#REF!)</f>
        <v>#REF!</v>
      </c>
      <c r="AF84" s="122"/>
      <c r="AG84" s="71" t="s">
        <v>248</v>
      </c>
      <c r="AH84" s="73" t="e">
        <f xml:space="preserve"> _xlfn.TEXTJOIN(" ", FALSE,#REF!)</f>
        <v>#REF!</v>
      </c>
      <c r="AI84" s="122"/>
      <c r="AJ84" s="71" t="s">
        <v>249</v>
      </c>
      <c r="AK84" s="73" t="e">
        <f xml:space="preserve"> _xlfn.TEXTJOIN(" ", FALSE,#REF!)</f>
        <v>#REF!</v>
      </c>
      <c r="AL84" s="122"/>
      <c r="AM84" s="71" t="s">
        <v>250</v>
      </c>
      <c r="AN84" s="73" t="e">
        <f xml:space="preserve"> _xlfn.TEXTJOIN(" ", FALSE,#REF!)</f>
        <v>#REF!</v>
      </c>
      <c r="AO84" s="122"/>
      <c r="AP84" s="71" t="s">
        <v>251</v>
      </c>
      <c r="AQ84" s="72" t="e">
        <f xml:space="preserve"> _xlfn.TEXTJOIN(" ", FALSE,#REF!)</f>
        <v>#REF!</v>
      </c>
      <c r="AR84" s="122"/>
      <c r="AS84" s="71" t="s">
        <v>252</v>
      </c>
      <c r="AT84" s="72" t="e">
        <f xml:space="preserve"> _xlfn.TEXTJOIN(" ", FALSE,#REF!)</f>
        <v>#REF!</v>
      </c>
      <c r="AU84" s="122"/>
      <c r="AV84" s="71" t="s">
        <v>253</v>
      </c>
      <c r="AW84" s="73" t="e">
        <f xml:space="preserve"> _xlfn.TEXTJOIN(" ", FALSE,#REF!)</f>
        <v>#REF!</v>
      </c>
      <c r="AX84" s="122"/>
      <c r="AY84" s="71" t="s">
        <v>254</v>
      </c>
      <c r="AZ84" s="72" t="e">
        <f xml:space="preserve"> _xlfn.TEXTJOIN(" ", FALSE,#REF!)</f>
        <v>#REF!</v>
      </c>
      <c r="BA84" s="122"/>
      <c r="BB84" s="71" t="s">
        <v>255</v>
      </c>
      <c r="BC84" s="72" t="e">
        <f xml:space="preserve"> _xlfn.TEXTJOIN(" ", FALSE,#REF!)</f>
        <v>#REF!</v>
      </c>
      <c r="BD84" s="122"/>
      <c r="BE84" s="71" t="s">
        <v>256</v>
      </c>
      <c r="BF84" s="72" t="e">
        <f xml:space="preserve"> _xlfn.TEXTJOIN(" ", FALSE,#REF!)</f>
        <v>#REF!</v>
      </c>
      <c r="BG84" s="65" t="s">
        <v>277</v>
      </c>
      <c r="BH84" s="70" t="e">
        <f t="shared" si="8"/>
        <v>#REF!</v>
      </c>
      <c r="BI84" s="64" t="s">
        <v>257</v>
      </c>
      <c r="BJ84" s="122"/>
      <c r="BK84" s="71" t="s">
        <v>258</v>
      </c>
      <c r="BL84" s="74" t="str">
        <f>_xlfn.TEXTJOIN(" ", FALSE, 'Task 2a - Mitigating the Proble'!U84:AC84)</f>
        <v xml:space="preserve">1 0 1 1 0 1 0 0 </v>
      </c>
      <c r="BM84" s="65" t="s">
        <v>277</v>
      </c>
      <c r="BN84" s="70" t="str">
        <f t="shared" si="9"/>
        <v>[Details for Task 2a:]  /Question 12: 1 0 1 1 0 1 0 0  .</v>
      </c>
      <c r="BO84" s="64" t="s">
        <v>259</v>
      </c>
      <c r="BP84" s="122"/>
      <c r="BQ84" s="71" t="s">
        <v>260</v>
      </c>
      <c r="BR84" s="73" t="e">
        <f xml:space="preserve"> _xlfn.TEXTJOIN(" ", FALSE,#REF!)</f>
        <v>#REF!</v>
      </c>
      <c r="BS84" s="122"/>
      <c r="BT84" s="71" t="s">
        <v>261</v>
      </c>
      <c r="BU84" s="73" t="e">
        <f xml:space="preserve"> _xlfn.TEXTJOIN(" ", FALSE,#REF!)</f>
        <v>#REF!</v>
      </c>
      <c r="BV84" s="122"/>
      <c r="BW84" s="71" t="s">
        <v>262</v>
      </c>
      <c r="BX84" s="73" t="e">
        <f xml:space="preserve"> _xlfn.TEXTJOIN(" ", FALSE,#REF!)</f>
        <v>#REF!</v>
      </c>
      <c r="BY84" s="122"/>
      <c r="BZ84" s="71" t="s">
        <v>263</v>
      </c>
      <c r="CA84" s="73" t="e">
        <f xml:space="preserve"> _xlfn.TEXTJOIN(" ", FALSE,#REF!)</f>
        <v>#REF!</v>
      </c>
      <c r="CB84" s="122"/>
      <c r="CC84" s="71" t="s">
        <v>264</v>
      </c>
      <c r="CD84" s="73" t="e">
        <f xml:space="preserve"> _xlfn.TEXTJOIN(" ", FALSE,#REF!)</f>
        <v>#REF!</v>
      </c>
      <c r="CE84" s="122"/>
      <c r="CF84" s="71" t="s">
        <v>265</v>
      </c>
      <c r="CG84" s="73" t="e">
        <f xml:space="preserve"> _xlfn.TEXTJOIN(" ", FALSE,#REF!)</f>
        <v>#REF!</v>
      </c>
      <c r="CH84" s="122"/>
      <c r="CI84" s="74" t="s">
        <v>278</v>
      </c>
      <c r="CJ84" s="73" t="e">
        <f xml:space="preserve"> _xlfn.TEXTJOIN(" ", FALSE,#REF!)</f>
        <v>#REF!</v>
      </c>
      <c r="CK84" s="65" t="s">
        <v>277</v>
      </c>
      <c r="CL84" s="70" t="e">
        <f t="shared" si="10"/>
        <v>#REF!</v>
      </c>
      <c r="CM84" s="64" t="s">
        <v>267</v>
      </c>
      <c r="CN84" s="122"/>
      <c r="CO84" s="71" t="s">
        <v>268</v>
      </c>
      <c r="CP84" s="73" t="e">
        <f xml:space="preserve"> _xlfn.TEXTJOIN(" ", FALSE,#REF!)</f>
        <v>#REF!</v>
      </c>
      <c r="CQ84" s="122"/>
      <c r="CR84" s="71" t="s">
        <v>269</v>
      </c>
      <c r="CS84" s="73" t="e">
        <f xml:space="preserve"> _xlfn.TEXTJOIN(" ", FALSE,#REF!)</f>
        <v>#REF!</v>
      </c>
      <c r="CT84" s="122"/>
      <c r="CU84" s="71" t="s">
        <v>270</v>
      </c>
      <c r="CV84" s="72" t="e">
        <f xml:space="preserve"> _xlfn.TEXTJOIN(" ", FALSE,#REF!)</f>
        <v>#REF!</v>
      </c>
      <c r="CW84" s="122"/>
      <c r="CX84" s="71" t="s">
        <v>271</v>
      </c>
      <c r="CY84" s="72" t="e">
        <f xml:space="preserve"> _xlfn.TEXTJOIN(" ", FALSE,#REF!)</f>
        <v>#REF!</v>
      </c>
      <c r="CZ84" s="122"/>
      <c r="DA84" s="71" t="s">
        <v>272</v>
      </c>
      <c r="DB84" s="73" t="e">
        <f xml:space="preserve"> _xlfn.TEXTJOIN(" ", FALSE,#REF!)</f>
        <v>#REF!</v>
      </c>
      <c r="DC84" s="65" t="s">
        <v>277</v>
      </c>
      <c r="DD84" s="70" t="e">
        <f t="shared" si="11"/>
        <v>#REF!</v>
      </c>
      <c r="DE84" s="64" t="s">
        <v>273</v>
      </c>
      <c r="DF84" s="122"/>
      <c r="DG84" s="71" t="s">
        <v>274</v>
      </c>
      <c r="DH84" s="72" t="e">
        <f xml:space="preserve"> _xlfn.TEXTJOIN(" ", FALSE,#REF!)</f>
        <v>#REF!</v>
      </c>
      <c r="DI84" s="122"/>
      <c r="DJ84" s="71" t="s">
        <v>275</v>
      </c>
      <c r="DK84" s="73" t="e">
        <f xml:space="preserve"> _xlfn.TEXTJOIN(" ", FALSE,#REF!)</f>
        <v>#REF!</v>
      </c>
      <c r="DL84" s="65" t="s">
        <v>277</v>
      </c>
      <c r="DM84" s="70" t="e">
        <f t="shared" si="12"/>
        <v>#REF!</v>
      </c>
      <c r="DN84" s="70" t="e">
        <f t="shared" si="13"/>
        <v>#REF!</v>
      </c>
    </row>
    <row r="85" spans="1:118" ht="108" customHeight="1">
      <c r="A85" s="122" t="e">
        <f>Summary!A85</f>
        <v>#REF!</v>
      </c>
      <c r="B85" s="64" t="s">
        <v>233</v>
      </c>
      <c r="C85" s="65" t="e">
        <f>Summary!B85</f>
        <v>#REF!</v>
      </c>
      <c r="D85" s="122"/>
      <c r="E85" s="64" t="s">
        <v>235</v>
      </c>
      <c r="F85" s="132" t="e">
        <f>Summary!C85</f>
        <v>#REF!</v>
      </c>
      <c r="G85" s="64" t="s">
        <v>236</v>
      </c>
      <c r="H85" s="132" t="e">
        <f>Summary!D85</f>
        <v>#REF!</v>
      </c>
      <c r="I85" s="64" t="s">
        <v>237</v>
      </c>
      <c r="J85" s="66">
        <f>Summary!E85</f>
        <v>5</v>
      </c>
      <c r="K85" s="64" t="s">
        <v>238</v>
      </c>
      <c r="L85" s="132" t="e">
        <f>Summary!F85</f>
        <v>#REF!</v>
      </c>
      <c r="M85" s="64" t="s">
        <v>239</v>
      </c>
      <c r="N85" s="132" t="e">
        <f>Summary!G85</f>
        <v>#REF!</v>
      </c>
      <c r="O85" s="64" t="s">
        <v>240</v>
      </c>
      <c r="P85" s="132" t="e">
        <f>Summary!H85</f>
        <v>#REF!</v>
      </c>
      <c r="Q85" s="65" t="s">
        <v>277</v>
      </c>
      <c r="R85" s="70" t="e">
        <f t="shared" si="7"/>
        <v>#REF!</v>
      </c>
      <c r="S85" s="64" t="s">
        <v>243</v>
      </c>
      <c r="T85" s="122"/>
      <c r="U85" s="71" t="s">
        <v>244</v>
      </c>
      <c r="V85" s="72" t="e">
        <f xml:space="preserve"> _xlfn.TEXTJOIN(" ", FALSE,#REF!)</f>
        <v>#REF!</v>
      </c>
      <c r="W85" s="122"/>
      <c r="X85" s="71" t="s">
        <v>245</v>
      </c>
      <c r="Y85" s="72" t="e">
        <f xml:space="preserve"> _xlfn.TEXTJOIN(" ", FALSE,#REF!)</f>
        <v>#REF!</v>
      </c>
      <c r="Z85" s="122"/>
      <c r="AA85" s="71" t="s">
        <v>246</v>
      </c>
      <c r="AB85" s="72" t="e">
        <f xml:space="preserve"> _xlfn.TEXTJOIN(" ", FALSE,#REF!)</f>
        <v>#REF!</v>
      </c>
      <c r="AC85" s="122"/>
      <c r="AD85" s="71" t="s">
        <v>247</v>
      </c>
      <c r="AE85" s="72" t="e">
        <f xml:space="preserve"> _xlfn.TEXTJOIN(" ", FALSE,#REF!)</f>
        <v>#REF!</v>
      </c>
      <c r="AF85" s="122"/>
      <c r="AG85" s="71" t="s">
        <v>248</v>
      </c>
      <c r="AH85" s="73" t="e">
        <f xml:space="preserve"> _xlfn.TEXTJOIN(" ", FALSE,#REF!)</f>
        <v>#REF!</v>
      </c>
      <c r="AI85" s="122"/>
      <c r="AJ85" s="71" t="s">
        <v>249</v>
      </c>
      <c r="AK85" s="73" t="e">
        <f xml:space="preserve"> _xlfn.TEXTJOIN(" ", FALSE,#REF!)</f>
        <v>#REF!</v>
      </c>
      <c r="AL85" s="122"/>
      <c r="AM85" s="71" t="s">
        <v>250</v>
      </c>
      <c r="AN85" s="73" t="e">
        <f xml:space="preserve"> _xlfn.TEXTJOIN(" ", FALSE,#REF!)</f>
        <v>#REF!</v>
      </c>
      <c r="AO85" s="122"/>
      <c r="AP85" s="71" t="s">
        <v>251</v>
      </c>
      <c r="AQ85" s="72" t="e">
        <f xml:space="preserve"> _xlfn.TEXTJOIN(" ", FALSE,#REF!)</f>
        <v>#REF!</v>
      </c>
      <c r="AR85" s="122"/>
      <c r="AS85" s="71" t="s">
        <v>252</v>
      </c>
      <c r="AT85" s="72" t="e">
        <f xml:space="preserve"> _xlfn.TEXTJOIN(" ", FALSE,#REF!)</f>
        <v>#REF!</v>
      </c>
      <c r="AU85" s="122"/>
      <c r="AV85" s="71" t="s">
        <v>253</v>
      </c>
      <c r="AW85" s="73" t="e">
        <f xml:space="preserve"> _xlfn.TEXTJOIN(" ", FALSE,#REF!)</f>
        <v>#REF!</v>
      </c>
      <c r="AX85" s="122"/>
      <c r="AY85" s="71" t="s">
        <v>254</v>
      </c>
      <c r="AZ85" s="72" t="e">
        <f xml:space="preserve"> _xlfn.TEXTJOIN(" ", FALSE,#REF!)</f>
        <v>#REF!</v>
      </c>
      <c r="BA85" s="122"/>
      <c r="BB85" s="71" t="s">
        <v>255</v>
      </c>
      <c r="BC85" s="72" t="e">
        <f xml:space="preserve"> _xlfn.TEXTJOIN(" ", FALSE,#REF!)</f>
        <v>#REF!</v>
      </c>
      <c r="BD85" s="122"/>
      <c r="BE85" s="71" t="s">
        <v>256</v>
      </c>
      <c r="BF85" s="72" t="e">
        <f xml:space="preserve"> _xlfn.TEXTJOIN(" ", FALSE,#REF!)</f>
        <v>#REF!</v>
      </c>
      <c r="BG85" s="65" t="s">
        <v>277</v>
      </c>
      <c r="BH85" s="70" t="e">
        <f t="shared" si="8"/>
        <v>#REF!</v>
      </c>
      <c r="BI85" s="64" t="s">
        <v>257</v>
      </c>
      <c r="BJ85" s="122"/>
      <c r="BK85" s="71" t="s">
        <v>258</v>
      </c>
      <c r="BL85" s="74" t="str">
        <f>_xlfn.TEXTJOIN(" ", FALSE, 'Task 2a - Mitigating the Proble'!U85:AC85)</f>
        <v xml:space="preserve">1 0 0 0 0 1 0 0 </v>
      </c>
      <c r="BM85" s="65" t="s">
        <v>277</v>
      </c>
      <c r="BN85" s="70" t="str">
        <f t="shared" si="9"/>
        <v>[Details for Task 2a:]  /Question 12: 1 0 0 0 0 1 0 0  .</v>
      </c>
      <c r="BO85" s="64" t="s">
        <v>259</v>
      </c>
      <c r="BP85" s="122"/>
      <c r="BQ85" s="71" t="s">
        <v>260</v>
      </c>
      <c r="BR85" s="73" t="e">
        <f xml:space="preserve"> _xlfn.TEXTJOIN(" ", FALSE,#REF!)</f>
        <v>#REF!</v>
      </c>
      <c r="BS85" s="122"/>
      <c r="BT85" s="71" t="s">
        <v>261</v>
      </c>
      <c r="BU85" s="73" t="e">
        <f xml:space="preserve"> _xlfn.TEXTJOIN(" ", FALSE,#REF!)</f>
        <v>#REF!</v>
      </c>
      <c r="BV85" s="122"/>
      <c r="BW85" s="71" t="s">
        <v>262</v>
      </c>
      <c r="BX85" s="73" t="e">
        <f xml:space="preserve"> _xlfn.TEXTJOIN(" ", FALSE,#REF!)</f>
        <v>#REF!</v>
      </c>
      <c r="BY85" s="122"/>
      <c r="BZ85" s="71" t="s">
        <v>263</v>
      </c>
      <c r="CA85" s="73" t="e">
        <f xml:space="preserve"> _xlfn.TEXTJOIN(" ", FALSE,#REF!)</f>
        <v>#REF!</v>
      </c>
      <c r="CB85" s="122"/>
      <c r="CC85" s="71" t="s">
        <v>264</v>
      </c>
      <c r="CD85" s="73" t="e">
        <f xml:space="preserve"> _xlfn.TEXTJOIN(" ", FALSE,#REF!)</f>
        <v>#REF!</v>
      </c>
      <c r="CE85" s="122"/>
      <c r="CF85" s="71" t="s">
        <v>265</v>
      </c>
      <c r="CG85" s="73" t="e">
        <f xml:space="preserve"> _xlfn.TEXTJOIN(" ", FALSE,#REF!)</f>
        <v>#REF!</v>
      </c>
      <c r="CH85" s="122"/>
      <c r="CI85" s="74" t="s">
        <v>278</v>
      </c>
      <c r="CJ85" s="73" t="e">
        <f xml:space="preserve"> _xlfn.TEXTJOIN(" ", FALSE,#REF!)</f>
        <v>#REF!</v>
      </c>
      <c r="CK85" s="65" t="s">
        <v>277</v>
      </c>
      <c r="CL85" s="70" t="e">
        <f t="shared" si="10"/>
        <v>#REF!</v>
      </c>
      <c r="CM85" s="64" t="s">
        <v>267</v>
      </c>
      <c r="CN85" s="122"/>
      <c r="CO85" s="71" t="s">
        <v>268</v>
      </c>
      <c r="CP85" s="73" t="e">
        <f xml:space="preserve"> _xlfn.TEXTJOIN(" ", FALSE,#REF!)</f>
        <v>#REF!</v>
      </c>
      <c r="CQ85" s="122"/>
      <c r="CR85" s="71" t="s">
        <v>269</v>
      </c>
      <c r="CS85" s="73" t="e">
        <f xml:space="preserve"> _xlfn.TEXTJOIN(" ", FALSE,#REF!)</f>
        <v>#REF!</v>
      </c>
      <c r="CT85" s="122"/>
      <c r="CU85" s="71" t="s">
        <v>270</v>
      </c>
      <c r="CV85" s="72" t="e">
        <f xml:space="preserve"> _xlfn.TEXTJOIN(" ", FALSE,#REF!)</f>
        <v>#REF!</v>
      </c>
      <c r="CW85" s="122"/>
      <c r="CX85" s="71" t="s">
        <v>271</v>
      </c>
      <c r="CY85" s="72" t="e">
        <f xml:space="preserve"> _xlfn.TEXTJOIN(" ", FALSE,#REF!)</f>
        <v>#REF!</v>
      </c>
      <c r="CZ85" s="122"/>
      <c r="DA85" s="71" t="s">
        <v>272</v>
      </c>
      <c r="DB85" s="73" t="e">
        <f xml:space="preserve"> _xlfn.TEXTJOIN(" ", FALSE,#REF!)</f>
        <v>#REF!</v>
      </c>
      <c r="DC85" s="65" t="s">
        <v>277</v>
      </c>
      <c r="DD85" s="70" t="e">
        <f t="shared" si="11"/>
        <v>#REF!</v>
      </c>
      <c r="DE85" s="64" t="s">
        <v>273</v>
      </c>
      <c r="DF85" s="122"/>
      <c r="DG85" s="71" t="s">
        <v>274</v>
      </c>
      <c r="DH85" s="72" t="e">
        <f xml:space="preserve"> _xlfn.TEXTJOIN(" ", FALSE,#REF!)</f>
        <v>#REF!</v>
      </c>
      <c r="DI85" s="122"/>
      <c r="DJ85" s="71" t="s">
        <v>275</v>
      </c>
      <c r="DK85" s="73" t="e">
        <f xml:space="preserve"> _xlfn.TEXTJOIN(" ", FALSE,#REF!)</f>
        <v>#REF!</v>
      </c>
      <c r="DL85" s="65" t="s">
        <v>277</v>
      </c>
      <c r="DM85" s="70" t="e">
        <f t="shared" si="12"/>
        <v>#REF!</v>
      </c>
      <c r="DN85" s="70" t="e">
        <f t="shared" si="13"/>
        <v>#REF!</v>
      </c>
    </row>
    <row r="86" spans="1:118" ht="108" customHeight="1">
      <c r="A86" s="122" t="e">
        <f>Summary!A86</f>
        <v>#REF!</v>
      </c>
      <c r="B86" s="64" t="s">
        <v>233</v>
      </c>
      <c r="C86" s="65" t="e">
        <f>Summary!B86</f>
        <v>#REF!</v>
      </c>
      <c r="D86" s="122"/>
      <c r="E86" s="64" t="s">
        <v>235</v>
      </c>
      <c r="F86" s="132" t="e">
        <f>Summary!C86</f>
        <v>#REF!</v>
      </c>
      <c r="G86" s="64" t="s">
        <v>236</v>
      </c>
      <c r="H86" s="132" t="e">
        <f>Summary!D86</f>
        <v>#REF!</v>
      </c>
      <c r="I86" s="64" t="s">
        <v>237</v>
      </c>
      <c r="J86" s="66">
        <f>Summary!E86</f>
        <v>5</v>
      </c>
      <c r="K86" s="64" t="s">
        <v>238</v>
      </c>
      <c r="L86" s="132" t="e">
        <f>Summary!F86</f>
        <v>#REF!</v>
      </c>
      <c r="M86" s="64" t="s">
        <v>239</v>
      </c>
      <c r="N86" s="132" t="e">
        <f>Summary!G86</f>
        <v>#REF!</v>
      </c>
      <c r="O86" s="64" t="s">
        <v>240</v>
      </c>
      <c r="P86" s="132" t="e">
        <f>Summary!H86</f>
        <v>#REF!</v>
      </c>
      <c r="Q86" s="65" t="s">
        <v>277</v>
      </c>
      <c r="R86" s="70" t="e">
        <f t="shared" si="7"/>
        <v>#REF!</v>
      </c>
      <c r="S86" s="64" t="s">
        <v>243</v>
      </c>
      <c r="T86" s="122"/>
      <c r="U86" s="71" t="s">
        <v>244</v>
      </c>
      <c r="V86" s="72" t="e">
        <f xml:space="preserve"> _xlfn.TEXTJOIN(" ", FALSE,#REF!)</f>
        <v>#REF!</v>
      </c>
      <c r="W86" s="122"/>
      <c r="X86" s="71" t="s">
        <v>245</v>
      </c>
      <c r="Y86" s="72" t="e">
        <f xml:space="preserve"> _xlfn.TEXTJOIN(" ", FALSE,#REF!)</f>
        <v>#REF!</v>
      </c>
      <c r="Z86" s="122"/>
      <c r="AA86" s="71" t="s">
        <v>246</v>
      </c>
      <c r="AB86" s="72" t="e">
        <f xml:space="preserve"> _xlfn.TEXTJOIN(" ", FALSE,#REF!)</f>
        <v>#REF!</v>
      </c>
      <c r="AC86" s="122"/>
      <c r="AD86" s="71" t="s">
        <v>247</v>
      </c>
      <c r="AE86" s="72" t="e">
        <f xml:space="preserve"> _xlfn.TEXTJOIN(" ", FALSE,#REF!)</f>
        <v>#REF!</v>
      </c>
      <c r="AF86" s="122"/>
      <c r="AG86" s="71" t="s">
        <v>248</v>
      </c>
      <c r="AH86" s="73" t="e">
        <f xml:space="preserve"> _xlfn.TEXTJOIN(" ", FALSE,#REF!)</f>
        <v>#REF!</v>
      </c>
      <c r="AI86" s="122"/>
      <c r="AJ86" s="71" t="s">
        <v>249</v>
      </c>
      <c r="AK86" s="73" t="e">
        <f xml:space="preserve"> _xlfn.TEXTJOIN(" ", FALSE,#REF!)</f>
        <v>#REF!</v>
      </c>
      <c r="AL86" s="122"/>
      <c r="AM86" s="71" t="s">
        <v>250</v>
      </c>
      <c r="AN86" s="73" t="e">
        <f xml:space="preserve"> _xlfn.TEXTJOIN(" ", FALSE,#REF!)</f>
        <v>#REF!</v>
      </c>
      <c r="AO86" s="122"/>
      <c r="AP86" s="71" t="s">
        <v>251</v>
      </c>
      <c r="AQ86" s="72" t="e">
        <f xml:space="preserve"> _xlfn.TEXTJOIN(" ", FALSE,#REF!)</f>
        <v>#REF!</v>
      </c>
      <c r="AR86" s="122"/>
      <c r="AS86" s="71" t="s">
        <v>252</v>
      </c>
      <c r="AT86" s="72" t="e">
        <f xml:space="preserve"> _xlfn.TEXTJOIN(" ", FALSE,#REF!)</f>
        <v>#REF!</v>
      </c>
      <c r="AU86" s="122"/>
      <c r="AV86" s="71" t="s">
        <v>253</v>
      </c>
      <c r="AW86" s="73" t="e">
        <f xml:space="preserve"> _xlfn.TEXTJOIN(" ", FALSE,#REF!)</f>
        <v>#REF!</v>
      </c>
      <c r="AX86" s="122"/>
      <c r="AY86" s="71" t="s">
        <v>254</v>
      </c>
      <c r="AZ86" s="72" t="e">
        <f xml:space="preserve"> _xlfn.TEXTJOIN(" ", FALSE,#REF!)</f>
        <v>#REF!</v>
      </c>
      <c r="BA86" s="122"/>
      <c r="BB86" s="71" t="s">
        <v>255</v>
      </c>
      <c r="BC86" s="72" t="e">
        <f xml:space="preserve"> _xlfn.TEXTJOIN(" ", FALSE,#REF!)</f>
        <v>#REF!</v>
      </c>
      <c r="BD86" s="122"/>
      <c r="BE86" s="71" t="s">
        <v>256</v>
      </c>
      <c r="BF86" s="72" t="e">
        <f xml:space="preserve"> _xlfn.TEXTJOIN(" ", FALSE,#REF!)</f>
        <v>#REF!</v>
      </c>
      <c r="BG86" s="65" t="s">
        <v>277</v>
      </c>
      <c r="BH86" s="70" t="e">
        <f t="shared" si="8"/>
        <v>#REF!</v>
      </c>
      <c r="BI86" s="64" t="s">
        <v>257</v>
      </c>
      <c r="BJ86" s="122"/>
      <c r="BK86" s="71" t="s">
        <v>258</v>
      </c>
      <c r="BL86" s="74" t="str">
        <f>_xlfn.TEXTJOIN(" ", FALSE, 'Task 2a - Mitigating the Proble'!U86:AC86)</f>
        <v xml:space="preserve">1 0 0 0 0 1 0 0 </v>
      </c>
      <c r="BM86" s="65" t="s">
        <v>277</v>
      </c>
      <c r="BN86" s="70" t="str">
        <f t="shared" si="9"/>
        <v>[Details for Task 2a:]  /Question 12: 1 0 0 0 0 1 0 0  .</v>
      </c>
      <c r="BO86" s="64" t="s">
        <v>259</v>
      </c>
      <c r="BP86" s="122"/>
      <c r="BQ86" s="71" t="s">
        <v>260</v>
      </c>
      <c r="BR86" s="73" t="e">
        <f xml:space="preserve"> _xlfn.TEXTJOIN(" ", FALSE,#REF!)</f>
        <v>#REF!</v>
      </c>
      <c r="BS86" s="122"/>
      <c r="BT86" s="71" t="s">
        <v>261</v>
      </c>
      <c r="BU86" s="73" t="e">
        <f xml:space="preserve"> _xlfn.TEXTJOIN(" ", FALSE,#REF!)</f>
        <v>#REF!</v>
      </c>
      <c r="BV86" s="122"/>
      <c r="BW86" s="71" t="s">
        <v>262</v>
      </c>
      <c r="BX86" s="73" t="e">
        <f xml:space="preserve"> _xlfn.TEXTJOIN(" ", FALSE,#REF!)</f>
        <v>#REF!</v>
      </c>
      <c r="BY86" s="122"/>
      <c r="BZ86" s="71" t="s">
        <v>263</v>
      </c>
      <c r="CA86" s="73" t="e">
        <f xml:space="preserve"> _xlfn.TEXTJOIN(" ", FALSE,#REF!)</f>
        <v>#REF!</v>
      </c>
      <c r="CB86" s="122"/>
      <c r="CC86" s="71" t="s">
        <v>264</v>
      </c>
      <c r="CD86" s="73" t="e">
        <f xml:space="preserve"> _xlfn.TEXTJOIN(" ", FALSE,#REF!)</f>
        <v>#REF!</v>
      </c>
      <c r="CE86" s="122"/>
      <c r="CF86" s="71" t="s">
        <v>265</v>
      </c>
      <c r="CG86" s="73" t="e">
        <f xml:space="preserve"> _xlfn.TEXTJOIN(" ", FALSE,#REF!)</f>
        <v>#REF!</v>
      </c>
      <c r="CH86" s="122"/>
      <c r="CI86" s="74" t="s">
        <v>278</v>
      </c>
      <c r="CJ86" s="73" t="e">
        <f xml:space="preserve"> _xlfn.TEXTJOIN(" ", FALSE,#REF!)</f>
        <v>#REF!</v>
      </c>
      <c r="CK86" s="65" t="s">
        <v>277</v>
      </c>
      <c r="CL86" s="70" t="e">
        <f t="shared" si="10"/>
        <v>#REF!</v>
      </c>
      <c r="CM86" s="64" t="s">
        <v>267</v>
      </c>
      <c r="CN86" s="122"/>
      <c r="CO86" s="71" t="s">
        <v>268</v>
      </c>
      <c r="CP86" s="73" t="e">
        <f xml:space="preserve"> _xlfn.TEXTJOIN(" ", FALSE,#REF!)</f>
        <v>#REF!</v>
      </c>
      <c r="CQ86" s="122"/>
      <c r="CR86" s="71" t="s">
        <v>269</v>
      </c>
      <c r="CS86" s="73" t="e">
        <f xml:space="preserve"> _xlfn.TEXTJOIN(" ", FALSE,#REF!)</f>
        <v>#REF!</v>
      </c>
      <c r="CT86" s="122"/>
      <c r="CU86" s="71" t="s">
        <v>270</v>
      </c>
      <c r="CV86" s="72" t="e">
        <f xml:space="preserve"> _xlfn.TEXTJOIN(" ", FALSE,#REF!)</f>
        <v>#REF!</v>
      </c>
      <c r="CW86" s="122"/>
      <c r="CX86" s="71" t="s">
        <v>271</v>
      </c>
      <c r="CY86" s="72" t="e">
        <f xml:space="preserve"> _xlfn.TEXTJOIN(" ", FALSE,#REF!)</f>
        <v>#REF!</v>
      </c>
      <c r="CZ86" s="122"/>
      <c r="DA86" s="71" t="s">
        <v>272</v>
      </c>
      <c r="DB86" s="73" t="e">
        <f xml:space="preserve"> _xlfn.TEXTJOIN(" ", FALSE,#REF!)</f>
        <v>#REF!</v>
      </c>
      <c r="DC86" s="65" t="s">
        <v>277</v>
      </c>
      <c r="DD86" s="70" t="e">
        <f t="shared" si="11"/>
        <v>#REF!</v>
      </c>
      <c r="DE86" s="64" t="s">
        <v>273</v>
      </c>
      <c r="DF86" s="122"/>
      <c r="DG86" s="71" t="s">
        <v>274</v>
      </c>
      <c r="DH86" s="72" t="e">
        <f xml:space="preserve"> _xlfn.TEXTJOIN(" ", FALSE,#REF!)</f>
        <v>#REF!</v>
      </c>
      <c r="DI86" s="122"/>
      <c r="DJ86" s="71" t="s">
        <v>275</v>
      </c>
      <c r="DK86" s="73" t="e">
        <f xml:space="preserve"> _xlfn.TEXTJOIN(" ", FALSE,#REF!)</f>
        <v>#REF!</v>
      </c>
      <c r="DL86" s="65" t="s">
        <v>277</v>
      </c>
      <c r="DM86" s="70" t="e">
        <f t="shared" si="12"/>
        <v>#REF!</v>
      </c>
      <c r="DN86" s="70" t="e">
        <f t="shared" si="13"/>
        <v>#REF!</v>
      </c>
    </row>
    <row r="87" spans="1:118" ht="108" customHeight="1">
      <c r="A87" s="122" t="e">
        <f>Summary!A87</f>
        <v>#REF!</v>
      </c>
      <c r="B87" s="64" t="s">
        <v>233</v>
      </c>
      <c r="C87" s="65" t="e">
        <f>Summary!B87</f>
        <v>#REF!</v>
      </c>
      <c r="D87" s="122"/>
      <c r="E87" s="64" t="s">
        <v>235</v>
      </c>
      <c r="F87" s="132">
        <f>Summary!C87</f>
        <v>40</v>
      </c>
      <c r="G87" s="64" t="s">
        <v>236</v>
      </c>
      <c r="H87" s="132" t="e">
        <f>Summary!D87</f>
        <v>#REF!</v>
      </c>
      <c r="I87" s="64" t="s">
        <v>237</v>
      </c>
      <c r="J87" s="66">
        <f>Summary!E87</f>
        <v>6</v>
      </c>
      <c r="K87" s="64" t="s">
        <v>238</v>
      </c>
      <c r="L87" s="132" t="e">
        <f>Summary!F87</f>
        <v>#REF!</v>
      </c>
      <c r="M87" s="64" t="s">
        <v>239</v>
      </c>
      <c r="N87" s="132" t="e">
        <f>Summary!G87</f>
        <v>#REF!</v>
      </c>
      <c r="O87" s="64" t="s">
        <v>240</v>
      </c>
      <c r="P87" s="132" t="e">
        <f>Summary!H87</f>
        <v>#REF!</v>
      </c>
      <c r="Q87" s="65" t="s">
        <v>277</v>
      </c>
      <c r="R87" s="70" t="e">
        <f t="shared" si="7"/>
        <v>#REF!</v>
      </c>
      <c r="S87" s="64" t="s">
        <v>243</v>
      </c>
      <c r="T87" s="122"/>
      <c r="U87" s="71" t="s">
        <v>244</v>
      </c>
      <c r="V87" s="72" t="e">
        <f xml:space="preserve"> _xlfn.TEXTJOIN(" ", FALSE,#REF!)</f>
        <v>#REF!</v>
      </c>
      <c r="W87" s="122"/>
      <c r="X87" s="71" t="s">
        <v>245</v>
      </c>
      <c r="Y87" s="72" t="e">
        <f xml:space="preserve"> _xlfn.TEXTJOIN(" ", FALSE,#REF!)</f>
        <v>#REF!</v>
      </c>
      <c r="Z87" s="122"/>
      <c r="AA87" s="71" t="s">
        <v>246</v>
      </c>
      <c r="AB87" s="72" t="e">
        <f xml:space="preserve"> _xlfn.TEXTJOIN(" ", FALSE,#REF!)</f>
        <v>#REF!</v>
      </c>
      <c r="AC87" s="122"/>
      <c r="AD87" s="71" t="s">
        <v>247</v>
      </c>
      <c r="AE87" s="72" t="e">
        <f xml:space="preserve"> _xlfn.TEXTJOIN(" ", FALSE,#REF!)</f>
        <v>#REF!</v>
      </c>
      <c r="AF87" s="122"/>
      <c r="AG87" s="71" t="s">
        <v>248</v>
      </c>
      <c r="AH87" s="73" t="e">
        <f xml:space="preserve"> _xlfn.TEXTJOIN(" ", FALSE,#REF!)</f>
        <v>#REF!</v>
      </c>
      <c r="AI87" s="122"/>
      <c r="AJ87" s="71" t="s">
        <v>249</v>
      </c>
      <c r="AK87" s="73" t="e">
        <f xml:space="preserve"> _xlfn.TEXTJOIN(" ", FALSE,#REF!)</f>
        <v>#REF!</v>
      </c>
      <c r="AL87" s="122"/>
      <c r="AM87" s="71" t="s">
        <v>250</v>
      </c>
      <c r="AN87" s="73" t="e">
        <f xml:space="preserve"> _xlfn.TEXTJOIN(" ", FALSE,#REF!)</f>
        <v>#REF!</v>
      </c>
      <c r="AO87" s="122"/>
      <c r="AP87" s="71" t="s">
        <v>251</v>
      </c>
      <c r="AQ87" s="72" t="e">
        <f xml:space="preserve"> _xlfn.TEXTJOIN(" ", FALSE,#REF!)</f>
        <v>#REF!</v>
      </c>
      <c r="AR87" s="122"/>
      <c r="AS87" s="71" t="s">
        <v>252</v>
      </c>
      <c r="AT87" s="72" t="e">
        <f xml:space="preserve"> _xlfn.TEXTJOIN(" ", FALSE,#REF!)</f>
        <v>#REF!</v>
      </c>
      <c r="AU87" s="122"/>
      <c r="AV87" s="71" t="s">
        <v>253</v>
      </c>
      <c r="AW87" s="73" t="e">
        <f xml:space="preserve"> _xlfn.TEXTJOIN(" ", FALSE,#REF!)</f>
        <v>#REF!</v>
      </c>
      <c r="AX87" s="122"/>
      <c r="AY87" s="71" t="s">
        <v>254</v>
      </c>
      <c r="AZ87" s="72" t="e">
        <f xml:space="preserve"> _xlfn.TEXTJOIN(" ", FALSE,#REF!)</f>
        <v>#REF!</v>
      </c>
      <c r="BA87" s="122"/>
      <c r="BB87" s="71" t="s">
        <v>255</v>
      </c>
      <c r="BC87" s="72" t="e">
        <f xml:space="preserve"> _xlfn.TEXTJOIN(" ", FALSE,#REF!)</f>
        <v>#REF!</v>
      </c>
      <c r="BD87" s="122"/>
      <c r="BE87" s="71" t="s">
        <v>256</v>
      </c>
      <c r="BF87" s="72" t="e">
        <f xml:space="preserve"> _xlfn.TEXTJOIN(" ", FALSE,#REF!)</f>
        <v>#REF!</v>
      </c>
      <c r="BG87" s="65" t="s">
        <v>277</v>
      </c>
      <c r="BH87" s="70" t="e">
        <f t="shared" si="8"/>
        <v>#REF!</v>
      </c>
      <c r="BI87" s="64" t="s">
        <v>257</v>
      </c>
      <c r="BJ87" s="122"/>
      <c r="BK87" s="71" t="s">
        <v>258</v>
      </c>
      <c r="BL87" s="74" t="str">
        <f>_xlfn.TEXTJOIN(" ", FALSE, 'Task 2a - Mitigating the Proble'!U87:AC87)</f>
        <v xml:space="preserve">1 0 1 0 0 1 0 0 </v>
      </c>
      <c r="BM87" s="65" t="s">
        <v>277</v>
      </c>
      <c r="BN87" s="70" t="str">
        <f t="shared" si="9"/>
        <v>[Details for Task 2a:]  /Question 12: 1 0 1 0 0 1 0 0  .</v>
      </c>
      <c r="BO87" s="64" t="s">
        <v>259</v>
      </c>
      <c r="BP87" s="122"/>
      <c r="BQ87" s="71" t="s">
        <v>260</v>
      </c>
      <c r="BR87" s="73" t="e">
        <f xml:space="preserve"> _xlfn.TEXTJOIN(" ", FALSE,#REF!)</f>
        <v>#REF!</v>
      </c>
      <c r="BS87" s="122"/>
      <c r="BT87" s="71" t="s">
        <v>261</v>
      </c>
      <c r="BU87" s="73" t="e">
        <f xml:space="preserve"> _xlfn.TEXTJOIN(" ", FALSE,#REF!)</f>
        <v>#REF!</v>
      </c>
      <c r="BV87" s="122"/>
      <c r="BW87" s="71" t="s">
        <v>262</v>
      </c>
      <c r="BX87" s="73" t="e">
        <f xml:space="preserve"> _xlfn.TEXTJOIN(" ", FALSE,#REF!)</f>
        <v>#REF!</v>
      </c>
      <c r="BY87" s="122"/>
      <c r="BZ87" s="71" t="s">
        <v>263</v>
      </c>
      <c r="CA87" s="73" t="e">
        <f xml:space="preserve"> _xlfn.TEXTJOIN(" ", FALSE,#REF!)</f>
        <v>#REF!</v>
      </c>
      <c r="CB87" s="122"/>
      <c r="CC87" s="71" t="s">
        <v>264</v>
      </c>
      <c r="CD87" s="73" t="e">
        <f xml:space="preserve"> _xlfn.TEXTJOIN(" ", FALSE,#REF!)</f>
        <v>#REF!</v>
      </c>
      <c r="CE87" s="122"/>
      <c r="CF87" s="71" t="s">
        <v>265</v>
      </c>
      <c r="CG87" s="73" t="e">
        <f xml:space="preserve"> _xlfn.TEXTJOIN(" ", FALSE,#REF!)</f>
        <v>#REF!</v>
      </c>
      <c r="CH87" s="122"/>
      <c r="CI87" s="74" t="s">
        <v>278</v>
      </c>
      <c r="CJ87" s="73" t="e">
        <f xml:space="preserve"> _xlfn.TEXTJOIN(" ", FALSE,#REF!)</f>
        <v>#REF!</v>
      </c>
      <c r="CK87" s="65" t="s">
        <v>277</v>
      </c>
      <c r="CL87" s="70" t="e">
        <f t="shared" si="10"/>
        <v>#REF!</v>
      </c>
      <c r="CM87" s="64" t="s">
        <v>267</v>
      </c>
      <c r="CN87" s="122"/>
      <c r="CO87" s="71" t="s">
        <v>268</v>
      </c>
      <c r="CP87" s="73" t="e">
        <f xml:space="preserve"> _xlfn.TEXTJOIN(" ", FALSE,#REF!)</f>
        <v>#REF!</v>
      </c>
      <c r="CQ87" s="122"/>
      <c r="CR87" s="71" t="s">
        <v>269</v>
      </c>
      <c r="CS87" s="73" t="e">
        <f xml:space="preserve"> _xlfn.TEXTJOIN(" ", FALSE,#REF!)</f>
        <v>#REF!</v>
      </c>
      <c r="CT87" s="122"/>
      <c r="CU87" s="71" t="s">
        <v>270</v>
      </c>
      <c r="CV87" s="72" t="e">
        <f xml:space="preserve"> _xlfn.TEXTJOIN(" ", FALSE,#REF!)</f>
        <v>#REF!</v>
      </c>
      <c r="CW87" s="122"/>
      <c r="CX87" s="71" t="s">
        <v>271</v>
      </c>
      <c r="CY87" s="72" t="e">
        <f xml:space="preserve"> _xlfn.TEXTJOIN(" ", FALSE,#REF!)</f>
        <v>#REF!</v>
      </c>
      <c r="CZ87" s="122"/>
      <c r="DA87" s="71" t="s">
        <v>272</v>
      </c>
      <c r="DB87" s="73" t="e">
        <f xml:space="preserve"> _xlfn.TEXTJOIN(" ", FALSE,#REF!)</f>
        <v>#REF!</v>
      </c>
      <c r="DC87" s="65" t="s">
        <v>277</v>
      </c>
      <c r="DD87" s="70" t="e">
        <f t="shared" si="11"/>
        <v>#REF!</v>
      </c>
      <c r="DE87" s="64" t="s">
        <v>273</v>
      </c>
      <c r="DF87" s="122"/>
      <c r="DG87" s="71" t="s">
        <v>274</v>
      </c>
      <c r="DH87" s="72" t="e">
        <f xml:space="preserve"> _xlfn.TEXTJOIN(" ", FALSE,#REF!)</f>
        <v>#REF!</v>
      </c>
      <c r="DI87" s="122"/>
      <c r="DJ87" s="71" t="s">
        <v>275</v>
      </c>
      <c r="DK87" s="73" t="e">
        <f xml:space="preserve"> _xlfn.TEXTJOIN(" ", FALSE,#REF!)</f>
        <v>#REF!</v>
      </c>
      <c r="DL87" s="65" t="s">
        <v>277</v>
      </c>
      <c r="DM87" s="70" t="e">
        <f t="shared" si="12"/>
        <v>#REF!</v>
      </c>
      <c r="DN87" s="70" t="e">
        <f t="shared" si="13"/>
        <v>#REF!</v>
      </c>
    </row>
    <row r="88" spans="1:118" ht="108" customHeight="1">
      <c r="A88" s="122" t="e">
        <f>Summary!A88</f>
        <v>#REF!</v>
      </c>
      <c r="B88" s="64" t="s">
        <v>233</v>
      </c>
      <c r="C88" s="65" t="e">
        <f>Summary!B88</f>
        <v>#REF!</v>
      </c>
      <c r="D88" s="122"/>
      <c r="E88" s="64" t="s">
        <v>235</v>
      </c>
      <c r="F88" s="132" t="e">
        <f>Summary!C88</f>
        <v>#REF!</v>
      </c>
      <c r="G88" s="64" t="s">
        <v>236</v>
      </c>
      <c r="H88" s="132" t="e">
        <f>Summary!D88</f>
        <v>#REF!</v>
      </c>
      <c r="I88" s="64" t="s">
        <v>237</v>
      </c>
      <c r="J88" s="66">
        <f>Summary!E88</f>
        <v>6</v>
      </c>
      <c r="K88" s="64" t="s">
        <v>238</v>
      </c>
      <c r="L88" s="132" t="e">
        <f>Summary!F88</f>
        <v>#REF!</v>
      </c>
      <c r="M88" s="64" t="s">
        <v>239</v>
      </c>
      <c r="N88" s="132" t="e">
        <f>Summary!G88</f>
        <v>#REF!</v>
      </c>
      <c r="O88" s="64" t="s">
        <v>240</v>
      </c>
      <c r="P88" s="132" t="e">
        <f>Summary!H88</f>
        <v>#REF!</v>
      </c>
      <c r="Q88" s="65" t="s">
        <v>277</v>
      </c>
      <c r="R88" s="70" t="e">
        <f t="shared" si="7"/>
        <v>#REF!</v>
      </c>
      <c r="S88" s="64" t="s">
        <v>243</v>
      </c>
      <c r="T88" s="122"/>
      <c r="U88" s="71" t="s">
        <v>244</v>
      </c>
      <c r="V88" s="72" t="e">
        <f xml:space="preserve"> _xlfn.TEXTJOIN(" ", FALSE,#REF!)</f>
        <v>#REF!</v>
      </c>
      <c r="W88" s="122"/>
      <c r="X88" s="71" t="s">
        <v>245</v>
      </c>
      <c r="Y88" s="72" t="e">
        <f xml:space="preserve"> _xlfn.TEXTJOIN(" ", FALSE,#REF!)</f>
        <v>#REF!</v>
      </c>
      <c r="Z88" s="122"/>
      <c r="AA88" s="71" t="s">
        <v>246</v>
      </c>
      <c r="AB88" s="72" t="e">
        <f xml:space="preserve"> _xlfn.TEXTJOIN(" ", FALSE,#REF!)</f>
        <v>#REF!</v>
      </c>
      <c r="AC88" s="122"/>
      <c r="AD88" s="71" t="s">
        <v>247</v>
      </c>
      <c r="AE88" s="72" t="e">
        <f xml:space="preserve"> _xlfn.TEXTJOIN(" ", FALSE,#REF!)</f>
        <v>#REF!</v>
      </c>
      <c r="AF88" s="122"/>
      <c r="AG88" s="71" t="s">
        <v>248</v>
      </c>
      <c r="AH88" s="73" t="e">
        <f xml:space="preserve"> _xlfn.TEXTJOIN(" ", FALSE,#REF!)</f>
        <v>#REF!</v>
      </c>
      <c r="AI88" s="122"/>
      <c r="AJ88" s="71" t="s">
        <v>249</v>
      </c>
      <c r="AK88" s="73" t="e">
        <f xml:space="preserve"> _xlfn.TEXTJOIN(" ", FALSE,#REF!)</f>
        <v>#REF!</v>
      </c>
      <c r="AL88" s="122"/>
      <c r="AM88" s="71" t="s">
        <v>250</v>
      </c>
      <c r="AN88" s="73" t="e">
        <f xml:space="preserve"> _xlfn.TEXTJOIN(" ", FALSE,#REF!)</f>
        <v>#REF!</v>
      </c>
      <c r="AO88" s="122"/>
      <c r="AP88" s="71" t="s">
        <v>251</v>
      </c>
      <c r="AQ88" s="72" t="e">
        <f xml:space="preserve"> _xlfn.TEXTJOIN(" ", FALSE,#REF!)</f>
        <v>#REF!</v>
      </c>
      <c r="AR88" s="122"/>
      <c r="AS88" s="71" t="s">
        <v>252</v>
      </c>
      <c r="AT88" s="72" t="e">
        <f xml:space="preserve"> _xlfn.TEXTJOIN(" ", FALSE,#REF!)</f>
        <v>#REF!</v>
      </c>
      <c r="AU88" s="122"/>
      <c r="AV88" s="71" t="s">
        <v>253</v>
      </c>
      <c r="AW88" s="73" t="e">
        <f xml:space="preserve"> _xlfn.TEXTJOIN(" ", FALSE,#REF!)</f>
        <v>#REF!</v>
      </c>
      <c r="AX88" s="122"/>
      <c r="AY88" s="71" t="s">
        <v>254</v>
      </c>
      <c r="AZ88" s="72" t="e">
        <f xml:space="preserve"> _xlfn.TEXTJOIN(" ", FALSE,#REF!)</f>
        <v>#REF!</v>
      </c>
      <c r="BA88" s="122"/>
      <c r="BB88" s="71" t="s">
        <v>255</v>
      </c>
      <c r="BC88" s="72" t="e">
        <f xml:space="preserve"> _xlfn.TEXTJOIN(" ", FALSE,#REF!)</f>
        <v>#REF!</v>
      </c>
      <c r="BD88" s="122"/>
      <c r="BE88" s="71" t="s">
        <v>256</v>
      </c>
      <c r="BF88" s="72" t="e">
        <f xml:space="preserve"> _xlfn.TEXTJOIN(" ", FALSE,#REF!)</f>
        <v>#REF!</v>
      </c>
      <c r="BG88" s="65" t="s">
        <v>277</v>
      </c>
      <c r="BH88" s="70" t="e">
        <f t="shared" si="8"/>
        <v>#REF!</v>
      </c>
      <c r="BI88" s="64" t="s">
        <v>257</v>
      </c>
      <c r="BJ88" s="122"/>
      <c r="BK88" s="71" t="s">
        <v>258</v>
      </c>
      <c r="BL88" s="74" t="str">
        <f>_xlfn.TEXTJOIN(" ", FALSE, 'Task 2a - Mitigating the Proble'!U88:AC88)</f>
        <v xml:space="preserve">1 1 0 0 1 1 0 0 </v>
      </c>
      <c r="BM88" s="65" t="s">
        <v>277</v>
      </c>
      <c r="BN88" s="70" t="str">
        <f t="shared" si="9"/>
        <v>[Details for Task 2a:]  /Question 12: 1 1 0 0 1 1 0 0  .</v>
      </c>
      <c r="BO88" s="64" t="s">
        <v>259</v>
      </c>
      <c r="BP88" s="122"/>
      <c r="BQ88" s="71" t="s">
        <v>260</v>
      </c>
      <c r="BR88" s="73" t="e">
        <f xml:space="preserve"> _xlfn.TEXTJOIN(" ", FALSE,#REF!)</f>
        <v>#REF!</v>
      </c>
      <c r="BS88" s="122"/>
      <c r="BT88" s="71" t="s">
        <v>261</v>
      </c>
      <c r="BU88" s="73" t="e">
        <f xml:space="preserve"> _xlfn.TEXTJOIN(" ", FALSE,#REF!)</f>
        <v>#REF!</v>
      </c>
      <c r="BV88" s="122"/>
      <c r="BW88" s="71" t="s">
        <v>262</v>
      </c>
      <c r="BX88" s="73" t="e">
        <f xml:space="preserve"> _xlfn.TEXTJOIN(" ", FALSE,#REF!)</f>
        <v>#REF!</v>
      </c>
      <c r="BY88" s="122"/>
      <c r="BZ88" s="71" t="s">
        <v>263</v>
      </c>
      <c r="CA88" s="73" t="e">
        <f xml:space="preserve"> _xlfn.TEXTJOIN(" ", FALSE,#REF!)</f>
        <v>#REF!</v>
      </c>
      <c r="CB88" s="122"/>
      <c r="CC88" s="71" t="s">
        <v>264</v>
      </c>
      <c r="CD88" s="73" t="e">
        <f xml:space="preserve"> _xlfn.TEXTJOIN(" ", FALSE,#REF!)</f>
        <v>#REF!</v>
      </c>
      <c r="CE88" s="122"/>
      <c r="CF88" s="71" t="s">
        <v>265</v>
      </c>
      <c r="CG88" s="73" t="e">
        <f xml:space="preserve"> _xlfn.TEXTJOIN(" ", FALSE,#REF!)</f>
        <v>#REF!</v>
      </c>
      <c r="CH88" s="122"/>
      <c r="CI88" s="74" t="s">
        <v>278</v>
      </c>
      <c r="CJ88" s="73" t="e">
        <f xml:space="preserve"> _xlfn.TEXTJOIN(" ", FALSE,#REF!)</f>
        <v>#REF!</v>
      </c>
      <c r="CK88" s="65" t="s">
        <v>277</v>
      </c>
      <c r="CL88" s="70" t="e">
        <f t="shared" si="10"/>
        <v>#REF!</v>
      </c>
      <c r="CM88" s="64" t="s">
        <v>267</v>
      </c>
      <c r="CN88" s="122"/>
      <c r="CO88" s="71" t="s">
        <v>268</v>
      </c>
      <c r="CP88" s="73" t="e">
        <f xml:space="preserve"> _xlfn.TEXTJOIN(" ", FALSE,#REF!)</f>
        <v>#REF!</v>
      </c>
      <c r="CQ88" s="122"/>
      <c r="CR88" s="71" t="s">
        <v>269</v>
      </c>
      <c r="CS88" s="73" t="e">
        <f xml:space="preserve"> _xlfn.TEXTJOIN(" ", FALSE,#REF!)</f>
        <v>#REF!</v>
      </c>
      <c r="CT88" s="122"/>
      <c r="CU88" s="71" t="s">
        <v>270</v>
      </c>
      <c r="CV88" s="72" t="e">
        <f xml:space="preserve"> _xlfn.TEXTJOIN(" ", FALSE,#REF!)</f>
        <v>#REF!</v>
      </c>
      <c r="CW88" s="122"/>
      <c r="CX88" s="71" t="s">
        <v>271</v>
      </c>
      <c r="CY88" s="72" t="e">
        <f xml:space="preserve"> _xlfn.TEXTJOIN(" ", FALSE,#REF!)</f>
        <v>#REF!</v>
      </c>
      <c r="CZ88" s="122"/>
      <c r="DA88" s="71" t="s">
        <v>272</v>
      </c>
      <c r="DB88" s="73" t="e">
        <f xml:space="preserve"> _xlfn.TEXTJOIN(" ", FALSE,#REF!)</f>
        <v>#REF!</v>
      </c>
      <c r="DC88" s="65" t="s">
        <v>277</v>
      </c>
      <c r="DD88" s="70" t="e">
        <f t="shared" si="11"/>
        <v>#REF!</v>
      </c>
      <c r="DE88" s="64" t="s">
        <v>273</v>
      </c>
      <c r="DF88" s="122"/>
      <c r="DG88" s="71" t="s">
        <v>274</v>
      </c>
      <c r="DH88" s="72" t="e">
        <f xml:space="preserve"> _xlfn.TEXTJOIN(" ", FALSE,#REF!)</f>
        <v>#REF!</v>
      </c>
      <c r="DI88" s="122"/>
      <c r="DJ88" s="71" t="s">
        <v>275</v>
      </c>
      <c r="DK88" s="73" t="e">
        <f xml:space="preserve"> _xlfn.TEXTJOIN(" ", FALSE,#REF!)</f>
        <v>#REF!</v>
      </c>
      <c r="DL88" s="65" t="s">
        <v>277</v>
      </c>
      <c r="DM88" s="70" t="e">
        <f t="shared" si="12"/>
        <v>#REF!</v>
      </c>
      <c r="DN88" s="70" t="e">
        <f t="shared" si="13"/>
        <v>#REF!</v>
      </c>
    </row>
    <row r="89" spans="1:118" ht="108" customHeight="1">
      <c r="A89" s="122" t="e">
        <f>Summary!A89</f>
        <v>#REF!</v>
      </c>
      <c r="B89" s="64" t="s">
        <v>233</v>
      </c>
      <c r="C89" s="65" t="e">
        <f>Summary!B89</f>
        <v>#REF!</v>
      </c>
      <c r="D89" s="122"/>
      <c r="E89" s="64" t="s">
        <v>235</v>
      </c>
      <c r="F89" s="132" t="e">
        <f>Summary!C89</f>
        <v>#REF!</v>
      </c>
      <c r="G89" s="64" t="s">
        <v>236</v>
      </c>
      <c r="H89" s="132" t="e">
        <f>Summary!D89</f>
        <v>#REF!</v>
      </c>
      <c r="I89" s="64" t="s">
        <v>237</v>
      </c>
      <c r="J89" s="66">
        <f>Summary!E89</f>
        <v>7</v>
      </c>
      <c r="K89" s="64" t="s">
        <v>238</v>
      </c>
      <c r="L89" s="132" t="e">
        <f>Summary!F89</f>
        <v>#REF!</v>
      </c>
      <c r="M89" s="64" t="s">
        <v>239</v>
      </c>
      <c r="N89" s="132" t="e">
        <f>Summary!G89</f>
        <v>#REF!</v>
      </c>
      <c r="O89" s="64" t="s">
        <v>240</v>
      </c>
      <c r="P89" s="132" t="e">
        <f>Summary!H89</f>
        <v>#REF!</v>
      </c>
      <c r="Q89" s="65" t="s">
        <v>277</v>
      </c>
      <c r="R89" s="70" t="e">
        <f t="shared" si="7"/>
        <v>#REF!</v>
      </c>
      <c r="S89" s="64" t="s">
        <v>243</v>
      </c>
      <c r="T89" s="122"/>
      <c r="U89" s="71" t="s">
        <v>244</v>
      </c>
      <c r="V89" s="72" t="e">
        <f xml:space="preserve"> _xlfn.TEXTJOIN(" ", FALSE,#REF!)</f>
        <v>#REF!</v>
      </c>
      <c r="W89" s="122"/>
      <c r="X89" s="71" t="s">
        <v>245</v>
      </c>
      <c r="Y89" s="72" t="e">
        <f xml:space="preserve"> _xlfn.TEXTJOIN(" ", FALSE,#REF!)</f>
        <v>#REF!</v>
      </c>
      <c r="Z89" s="122"/>
      <c r="AA89" s="71" t="s">
        <v>246</v>
      </c>
      <c r="AB89" s="72" t="e">
        <f xml:space="preserve"> _xlfn.TEXTJOIN(" ", FALSE,#REF!)</f>
        <v>#REF!</v>
      </c>
      <c r="AC89" s="122"/>
      <c r="AD89" s="71" t="s">
        <v>247</v>
      </c>
      <c r="AE89" s="72" t="e">
        <f xml:space="preserve"> _xlfn.TEXTJOIN(" ", FALSE,#REF!)</f>
        <v>#REF!</v>
      </c>
      <c r="AF89" s="122"/>
      <c r="AG89" s="71" t="s">
        <v>248</v>
      </c>
      <c r="AH89" s="73" t="e">
        <f xml:space="preserve"> _xlfn.TEXTJOIN(" ", FALSE,#REF!)</f>
        <v>#REF!</v>
      </c>
      <c r="AI89" s="122"/>
      <c r="AJ89" s="71" t="s">
        <v>249</v>
      </c>
      <c r="AK89" s="73" t="e">
        <f xml:space="preserve"> _xlfn.TEXTJOIN(" ", FALSE,#REF!)</f>
        <v>#REF!</v>
      </c>
      <c r="AL89" s="122"/>
      <c r="AM89" s="71" t="s">
        <v>250</v>
      </c>
      <c r="AN89" s="73" t="e">
        <f xml:space="preserve"> _xlfn.TEXTJOIN(" ", FALSE,#REF!)</f>
        <v>#REF!</v>
      </c>
      <c r="AO89" s="122"/>
      <c r="AP89" s="71" t="s">
        <v>251</v>
      </c>
      <c r="AQ89" s="72" t="e">
        <f xml:space="preserve"> _xlfn.TEXTJOIN(" ", FALSE,#REF!)</f>
        <v>#REF!</v>
      </c>
      <c r="AR89" s="122"/>
      <c r="AS89" s="71" t="s">
        <v>252</v>
      </c>
      <c r="AT89" s="72" t="e">
        <f xml:space="preserve"> _xlfn.TEXTJOIN(" ", FALSE,#REF!)</f>
        <v>#REF!</v>
      </c>
      <c r="AU89" s="122"/>
      <c r="AV89" s="71" t="s">
        <v>253</v>
      </c>
      <c r="AW89" s="73" t="e">
        <f xml:space="preserve"> _xlfn.TEXTJOIN(" ", FALSE,#REF!)</f>
        <v>#REF!</v>
      </c>
      <c r="AX89" s="122"/>
      <c r="AY89" s="71" t="s">
        <v>254</v>
      </c>
      <c r="AZ89" s="72" t="e">
        <f xml:space="preserve"> _xlfn.TEXTJOIN(" ", FALSE,#REF!)</f>
        <v>#REF!</v>
      </c>
      <c r="BA89" s="122"/>
      <c r="BB89" s="71" t="s">
        <v>255</v>
      </c>
      <c r="BC89" s="72" t="e">
        <f xml:space="preserve"> _xlfn.TEXTJOIN(" ", FALSE,#REF!)</f>
        <v>#REF!</v>
      </c>
      <c r="BD89" s="122"/>
      <c r="BE89" s="71" t="s">
        <v>256</v>
      </c>
      <c r="BF89" s="72" t="e">
        <f xml:space="preserve"> _xlfn.TEXTJOIN(" ", FALSE,#REF!)</f>
        <v>#REF!</v>
      </c>
      <c r="BG89" s="65" t="s">
        <v>277</v>
      </c>
      <c r="BH89" s="70" t="e">
        <f t="shared" si="8"/>
        <v>#REF!</v>
      </c>
      <c r="BI89" s="64" t="s">
        <v>257</v>
      </c>
      <c r="BJ89" s="122"/>
      <c r="BK89" s="71" t="s">
        <v>258</v>
      </c>
      <c r="BL89" s="74" t="str">
        <f>_xlfn.TEXTJOIN(" ", FALSE, 'Task 2a - Mitigating the Proble'!U89:AC89)</f>
        <v xml:space="preserve">1 1 1 0 1 1 0 0 </v>
      </c>
      <c r="BM89" s="65" t="s">
        <v>277</v>
      </c>
      <c r="BN89" s="70" t="str">
        <f t="shared" si="9"/>
        <v>[Details for Task 2a:]  /Question 12: 1 1 1 0 1 1 0 0  .</v>
      </c>
      <c r="BO89" s="64" t="s">
        <v>259</v>
      </c>
      <c r="BP89" s="122"/>
      <c r="BQ89" s="71" t="s">
        <v>260</v>
      </c>
      <c r="BR89" s="73" t="e">
        <f xml:space="preserve"> _xlfn.TEXTJOIN(" ", FALSE,#REF!)</f>
        <v>#REF!</v>
      </c>
      <c r="BS89" s="122"/>
      <c r="BT89" s="71" t="s">
        <v>261</v>
      </c>
      <c r="BU89" s="73" t="e">
        <f xml:space="preserve"> _xlfn.TEXTJOIN(" ", FALSE,#REF!)</f>
        <v>#REF!</v>
      </c>
      <c r="BV89" s="122"/>
      <c r="BW89" s="71" t="s">
        <v>262</v>
      </c>
      <c r="BX89" s="73" t="e">
        <f xml:space="preserve"> _xlfn.TEXTJOIN(" ", FALSE,#REF!)</f>
        <v>#REF!</v>
      </c>
      <c r="BY89" s="122"/>
      <c r="BZ89" s="71" t="s">
        <v>263</v>
      </c>
      <c r="CA89" s="73" t="e">
        <f xml:space="preserve"> _xlfn.TEXTJOIN(" ", FALSE,#REF!)</f>
        <v>#REF!</v>
      </c>
      <c r="CB89" s="122"/>
      <c r="CC89" s="71" t="s">
        <v>264</v>
      </c>
      <c r="CD89" s="73" t="e">
        <f xml:space="preserve"> _xlfn.TEXTJOIN(" ", FALSE,#REF!)</f>
        <v>#REF!</v>
      </c>
      <c r="CE89" s="122"/>
      <c r="CF89" s="71" t="s">
        <v>265</v>
      </c>
      <c r="CG89" s="73" t="e">
        <f xml:space="preserve"> _xlfn.TEXTJOIN(" ", FALSE,#REF!)</f>
        <v>#REF!</v>
      </c>
      <c r="CH89" s="122"/>
      <c r="CI89" s="74" t="s">
        <v>278</v>
      </c>
      <c r="CJ89" s="73" t="e">
        <f xml:space="preserve"> _xlfn.TEXTJOIN(" ", FALSE,#REF!)</f>
        <v>#REF!</v>
      </c>
      <c r="CK89" s="65" t="s">
        <v>277</v>
      </c>
      <c r="CL89" s="70" t="e">
        <f t="shared" si="10"/>
        <v>#REF!</v>
      </c>
      <c r="CM89" s="64" t="s">
        <v>267</v>
      </c>
      <c r="CN89" s="122"/>
      <c r="CO89" s="71" t="s">
        <v>268</v>
      </c>
      <c r="CP89" s="73" t="e">
        <f xml:space="preserve"> _xlfn.TEXTJOIN(" ", FALSE,#REF!)</f>
        <v>#REF!</v>
      </c>
      <c r="CQ89" s="122"/>
      <c r="CR89" s="71" t="s">
        <v>269</v>
      </c>
      <c r="CS89" s="73" t="e">
        <f xml:space="preserve"> _xlfn.TEXTJOIN(" ", FALSE,#REF!)</f>
        <v>#REF!</v>
      </c>
      <c r="CT89" s="122"/>
      <c r="CU89" s="71" t="s">
        <v>270</v>
      </c>
      <c r="CV89" s="72" t="e">
        <f xml:space="preserve"> _xlfn.TEXTJOIN(" ", FALSE,#REF!)</f>
        <v>#REF!</v>
      </c>
      <c r="CW89" s="122"/>
      <c r="CX89" s="71" t="s">
        <v>271</v>
      </c>
      <c r="CY89" s="72" t="e">
        <f xml:space="preserve"> _xlfn.TEXTJOIN(" ", FALSE,#REF!)</f>
        <v>#REF!</v>
      </c>
      <c r="CZ89" s="122"/>
      <c r="DA89" s="71" t="s">
        <v>272</v>
      </c>
      <c r="DB89" s="73" t="e">
        <f xml:space="preserve"> _xlfn.TEXTJOIN(" ", FALSE,#REF!)</f>
        <v>#REF!</v>
      </c>
      <c r="DC89" s="65" t="s">
        <v>277</v>
      </c>
      <c r="DD89" s="70" t="e">
        <f t="shared" si="11"/>
        <v>#REF!</v>
      </c>
      <c r="DE89" s="64" t="s">
        <v>273</v>
      </c>
      <c r="DF89" s="122"/>
      <c r="DG89" s="71" t="s">
        <v>274</v>
      </c>
      <c r="DH89" s="72" t="e">
        <f xml:space="preserve"> _xlfn.TEXTJOIN(" ", FALSE,#REF!)</f>
        <v>#REF!</v>
      </c>
      <c r="DI89" s="122"/>
      <c r="DJ89" s="71" t="s">
        <v>275</v>
      </c>
      <c r="DK89" s="73" t="e">
        <f xml:space="preserve"> _xlfn.TEXTJOIN(" ", FALSE,#REF!)</f>
        <v>#REF!</v>
      </c>
      <c r="DL89" s="65" t="s">
        <v>277</v>
      </c>
      <c r="DM89" s="70" t="e">
        <f t="shared" si="12"/>
        <v>#REF!</v>
      </c>
      <c r="DN89" s="70" t="e">
        <f t="shared" si="13"/>
        <v>#REF!</v>
      </c>
    </row>
    <row r="90" spans="1:118" ht="108" customHeight="1">
      <c r="A90" s="122" t="e">
        <f>Summary!A90</f>
        <v>#REF!</v>
      </c>
      <c r="B90" s="64" t="s">
        <v>233</v>
      </c>
      <c r="C90" s="65" t="e">
        <f>Summary!B90</f>
        <v>#REF!</v>
      </c>
      <c r="D90" s="122"/>
      <c r="E90" s="64" t="s">
        <v>235</v>
      </c>
      <c r="F90" s="132" t="e">
        <f>Summary!C90</f>
        <v>#REF!</v>
      </c>
      <c r="G90" s="64" t="s">
        <v>236</v>
      </c>
      <c r="H90" s="132" t="e">
        <f>Summary!D90</f>
        <v>#REF!</v>
      </c>
      <c r="I90" s="64" t="s">
        <v>237</v>
      </c>
      <c r="J90" s="66">
        <f>Summary!E90</f>
        <v>7</v>
      </c>
      <c r="K90" s="64" t="s">
        <v>238</v>
      </c>
      <c r="L90" s="132" t="e">
        <f>Summary!F90</f>
        <v>#REF!</v>
      </c>
      <c r="M90" s="64" t="s">
        <v>239</v>
      </c>
      <c r="N90" s="132" t="e">
        <f>Summary!G90</f>
        <v>#REF!</v>
      </c>
      <c r="O90" s="64" t="s">
        <v>240</v>
      </c>
      <c r="P90" s="132" t="e">
        <f>Summary!H90</f>
        <v>#REF!</v>
      </c>
      <c r="Q90" s="65" t="s">
        <v>277</v>
      </c>
      <c r="R90" s="70" t="e">
        <f t="shared" si="7"/>
        <v>#REF!</v>
      </c>
      <c r="S90" s="64" t="s">
        <v>243</v>
      </c>
      <c r="T90" s="122"/>
      <c r="U90" s="71" t="s">
        <v>244</v>
      </c>
      <c r="V90" s="72" t="e">
        <f xml:space="preserve"> _xlfn.TEXTJOIN(" ", FALSE,#REF!)</f>
        <v>#REF!</v>
      </c>
      <c r="W90" s="122"/>
      <c r="X90" s="71" t="s">
        <v>245</v>
      </c>
      <c r="Y90" s="72" t="e">
        <f xml:space="preserve"> _xlfn.TEXTJOIN(" ", FALSE,#REF!)</f>
        <v>#REF!</v>
      </c>
      <c r="Z90" s="122"/>
      <c r="AA90" s="71" t="s">
        <v>246</v>
      </c>
      <c r="AB90" s="72" t="e">
        <f xml:space="preserve"> _xlfn.TEXTJOIN(" ", FALSE,#REF!)</f>
        <v>#REF!</v>
      </c>
      <c r="AC90" s="122"/>
      <c r="AD90" s="71" t="s">
        <v>247</v>
      </c>
      <c r="AE90" s="72" t="e">
        <f xml:space="preserve"> _xlfn.TEXTJOIN(" ", FALSE,#REF!)</f>
        <v>#REF!</v>
      </c>
      <c r="AF90" s="122"/>
      <c r="AG90" s="71" t="s">
        <v>248</v>
      </c>
      <c r="AH90" s="73" t="e">
        <f xml:space="preserve"> _xlfn.TEXTJOIN(" ", FALSE,#REF!)</f>
        <v>#REF!</v>
      </c>
      <c r="AI90" s="122"/>
      <c r="AJ90" s="71" t="s">
        <v>249</v>
      </c>
      <c r="AK90" s="73" t="e">
        <f xml:space="preserve"> _xlfn.TEXTJOIN(" ", FALSE,#REF!)</f>
        <v>#REF!</v>
      </c>
      <c r="AL90" s="122"/>
      <c r="AM90" s="71" t="s">
        <v>250</v>
      </c>
      <c r="AN90" s="73" t="e">
        <f xml:space="preserve"> _xlfn.TEXTJOIN(" ", FALSE,#REF!)</f>
        <v>#REF!</v>
      </c>
      <c r="AO90" s="122"/>
      <c r="AP90" s="71" t="s">
        <v>251</v>
      </c>
      <c r="AQ90" s="72" t="e">
        <f xml:space="preserve"> _xlfn.TEXTJOIN(" ", FALSE,#REF!)</f>
        <v>#REF!</v>
      </c>
      <c r="AR90" s="122"/>
      <c r="AS90" s="71" t="s">
        <v>252</v>
      </c>
      <c r="AT90" s="72" t="e">
        <f xml:space="preserve"> _xlfn.TEXTJOIN(" ", FALSE,#REF!)</f>
        <v>#REF!</v>
      </c>
      <c r="AU90" s="122"/>
      <c r="AV90" s="71" t="s">
        <v>253</v>
      </c>
      <c r="AW90" s="73" t="e">
        <f xml:space="preserve"> _xlfn.TEXTJOIN(" ", FALSE,#REF!)</f>
        <v>#REF!</v>
      </c>
      <c r="AX90" s="122"/>
      <c r="AY90" s="71" t="s">
        <v>254</v>
      </c>
      <c r="AZ90" s="72" t="e">
        <f xml:space="preserve"> _xlfn.TEXTJOIN(" ", FALSE,#REF!)</f>
        <v>#REF!</v>
      </c>
      <c r="BA90" s="122"/>
      <c r="BB90" s="71" t="s">
        <v>255</v>
      </c>
      <c r="BC90" s="72" t="e">
        <f xml:space="preserve"> _xlfn.TEXTJOIN(" ", FALSE,#REF!)</f>
        <v>#REF!</v>
      </c>
      <c r="BD90" s="122"/>
      <c r="BE90" s="71" t="s">
        <v>256</v>
      </c>
      <c r="BF90" s="72" t="e">
        <f xml:space="preserve"> _xlfn.TEXTJOIN(" ", FALSE,#REF!)</f>
        <v>#REF!</v>
      </c>
      <c r="BG90" s="65" t="s">
        <v>277</v>
      </c>
      <c r="BH90" s="70" t="e">
        <f t="shared" si="8"/>
        <v>#REF!</v>
      </c>
      <c r="BI90" s="64" t="s">
        <v>257</v>
      </c>
      <c r="BJ90" s="122"/>
      <c r="BK90" s="71" t="s">
        <v>258</v>
      </c>
      <c r="BL90" s="74" t="str">
        <f>_xlfn.TEXTJOIN(" ", FALSE, 'Task 2a - Mitigating the Proble'!U90:AC90)</f>
        <v xml:space="preserve">1 1 1 0 1 1 0 0 </v>
      </c>
      <c r="BM90" s="65" t="s">
        <v>277</v>
      </c>
      <c r="BN90" s="70" t="str">
        <f t="shared" si="9"/>
        <v>[Details for Task 2a:]  /Question 12: 1 1 1 0 1 1 0 0  .</v>
      </c>
      <c r="BO90" s="64" t="s">
        <v>259</v>
      </c>
      <c r="BP90" s="122"/>
      <c r="BQ90" s="71" t="s">
        <v>260</v>
      </c>
      <c r="BR90" s="73" t="e">
        <f xml:space="preserve"> _xlfn.TEXTJOIN(" ", FALSE,#REF!)</f>
        <v>#REF!</v>
      </c>
      <c r="BS90" s="122"/>
      <c r="BT90" s="71" t="s">
        <v>261</v>
      </c>
      <c r="BU90" s="73" t="e">
        <f xml:space="preserve"> _xlfn.TEXTJOIN(" ", FALSE,#REF!)</f>
        <v>#REF!</v>
      </c>
      <c r="BV90" s="122"/>
      <c r="BW90" s="71" t="s">
        <v>262</v>
      </c>
      <c r="BX90" s="73" t="e">
        <f xml:space="preserve"> _xlfn.TEXTJOIN(" ", FALSE,#REF!)</f>
        <v>#REF!</v>
      </c>
      <c r="BY90" s="122"/>
      <c r="BZ90" s="71" t="s">
        <v>263</v>
      </c>
      <c r="CA90" s="73" t="e">
        <f xml:space="preserve"> _xlfn.TEXTJOIN(" ", FALSE,#REF!)</f>
        <v>#REF!</v>
      </c>
      <c r="CB90" s="122"/>
      <c r="CC90" s="71" t="s">
        <v>264</v>
      </c>
      <c r="CD90" s="73" t="e">
        <f xml:space="preserve"> _xlfn.TEXTJOIN(" ", FALSE,#REF!)</f>
        <v>#REF!</v>
      </c>
      <c r="CE90" s="122"/>
      <c r="CF90" s="71" t="s">
        <v>265</v>
      </c>
      <c r="CG90" s="73" t="e">
        <f xml:space="preserve"> _xlfn.TEXTJOIN(" ", FALSE,#REF!)</f>
        <v>#REF!</v>
      </c>
      <c r="CH90" s="122"/>
      <c r="CI90" s="74" t="s">
        <v>278</v>
      </c>
      <c r="CJ90" s="73" t="e">
        <f xml:space="preserve"> _xlfn.TEXTJOIN(" ", FALSE,#REF!)</f>
        <v>#REF!</v>
      </c>
      <c r="CK90" s="65" t="s">
        <v>277</v>
      </c>
      <c r="CL90" s="70" t="e">
        <f t="shared" si="10"/>
        <v>#REF!</v>
      </c>
      <c r="CM90" s="64" t="s">
        <v>267</v>
      </c>
      <c r="CN90" s="122"/>
      <c r="CO90" s="71" t="s">
        <v>268</v>
      </c>
      <c r="CP90" s="73" t="e">
        <f xml:space="preserve"> _xlfn.TEXTJOIN(" ", FALSE,#REF!)</f>
        <v>#REF!</v>
      </c>
      <c r="CQ90" s="122"/>
      <c r="CR90" s="71" t="s">
        <v>269</v>
      </c>
      <c r="CS90" s="73" t="e">
        <f xml:space="preserve"> _xlfn.TEXTJOIN(" ", FALSE,#REF!)</f>
        <v>#REF!</v>
      </c>
      <c r="CT90" s="122"/>
      <c r="CU90" s="71" t="s">
        <v>270</v>
      </c>
      <c r="CV90" s="72" t="e">
        <f xml:space="preserve"> _xlfn.TEXTJOIN(" ", FALSE,#REF!)</f>
        <v>#REF!</v>
      </c>
      <c r="CW90" s="122"/>
      <c r="CX90" s="71" t="s">
        <v>271</v>
      </c>
      <c r="CY90" s="72" t="e">
        <f xml:space="preserve"> _xlfn.TEXTJOIN(" ", FALSE,#REF!)</f>
        <v>#REF!</v>
      </c>
      <c r="CZ90" s="122"/>
      <c r="DA90" s="71" t="s">
        <v>272</v>
      </c>
      <c r="DB90" s="73" t="e">
        <f xml:space="preserve"> _xlfn.TEXTJOIN(" ", FALSE,#REF!)</f>
        <v>#REF!</v>
      </c>
      <c r="DC90" s="65" t="s">
        <v>277</v>
      </c>
      <c r="DD90" s="70" t="e">
        <f t="shared" si="11"/>
        <v>#REF!</v>
      </c>
      <c r="DE90" s="64" t="s">
        <v>273</v>
      </c>
      <c r="DF90" s="122"/>
      <c r="DG90" s="71" t="s">
        <v>274</v>
      </c>
      <c r="DH90" s="72" t="e">
        <f xml:space="preserve"> _xlfn.TEXTJOIN(" ", FALSE,#REF!)</f>
        <v>#REF!</v>
      </c>
      <c r="DI90" s="122"/>
      <c r="DJ90" s="71" t="s">
        <v>275</v>
      </c>
      <c r="DK90" s="73" t="e">
        <f xml:space="preserve"> _xlfn.TEXTJOIN(" ", FALSE,#REF!)</f>
        <v>#REF!</v>
      </c>
      <c r="DL90" s="65" t="s">
        <v>277</v>
      </c>
      <c r="DM90" s="70" t="e">
        <f t="shared" si="12"/>
        <v>#REF!</v>
      </c>
      <c r="DN90" s="70" t="e">
        <f t="shared" si="13"/>
        <v>#REF!</v>
      </c>
    </row>
    <row r="91" spans="1:118" ht="108" customHeight="1">
      <c r="A91" s="122" t="e">
        <f>Summary!A91</f>
        <v>#REF!</v>
      </c>
      <c r="B91" s="64" t="s">
        <v>233</v>
      </c>
      <c r="C91" s="65" t="e">
        <f>Summary!B91</f>
        <v>#REF!</v>
      </c>
      <c r="D91" s="122"/>
      <c r="E91" s="64" t="s">
        <v>235</v>
      </c>
      <c r="F91" s="132" t="e">
        <f>Summary!C91</f>
        <v>#REF!</v>
      </c>
      <c r="G91" s="64" t="s">
        <v>236</v>
      </c>
      <c r="H91" s="132" t="e">
        <f>Summary!D91</f>
        <v>#REF!</v>
      </c>
      <c r="I91" s="64" t="s">
        <v>237</v>
      </c>
      <c r="J91" s="66">
        <f>Summary!E91</f>
        <v>6</v>
      </c>
      <c r="K91" s="64" t="s">
        <v>238</v>
      </c>
      <c r="L91" s="132" t="e">
        <f>Summary!F91</f>
        <v>#REF!</v>
      </c>
      <c r="M91" s="64" t="s">
        <v>239</v>
      </c>
      <c r="N91" s="132" t="e">
        <f>Summary!G91</f>
        <v>#REF!</v>
      </c>
      <c r="O91" s="64" t="s">
        <v>240</v>
      </c>
      <c r="P91" s="132" t="e">
        <f>Summary!H91</f>
        <v>#REF!</v>
      </c>
      <c r="Q91" s="65" t="s">
        <v>277</v>
      </c>
      <c r="R91" s="70" t="e">
        <f t="shared" si="7"/>
        <v>#REF!</v>
      </c>
      <c r="S91" s="64" t="s">
        <v>243</v>
      </c>
      <c r="T91" s="122"/>
      <c r="U91" s="71" t="s">
        <v>244</v>
      </c>
      <c r="V91" s="72" t="e">
        <f xml:space="preserve"> _xlfn.TEXTJOIN(" ", FALSE,#REF!)</f>
        <v>#REF!</v>
      </c>
      <c r="W91" s="122"/>
      <c r="X91" s="71" t="s">
        <v>245</v>
      </c>
      <c r="Y91" s="72" t="e">
        <f xml:space="preserve"> _xlfn.TEXTJOIN(" ", FALSE,#REF!)</f>
        <v>#REF!</v>
      </c>
      <c r="Z91" s="122"/>
      <c r="AA91" s="71" t="s">
        <v>246</v>
      </c>
      <c r="AB91" s="72" t="e">
        <f xml:space="preserve"> _xlfn.TEXTJOIN(" ", FALSE,#REF!)</f>
        <v>#REF!</v>
      </c>
      <c r="AC91" s="122"/>
      <c r="AD91" s="71" t="s">
        <v>247</v>
      </c>
      <c r="AE91" s="72" t="e">
        <f xml:space="preserve"> _xlfn.TEXTJOIN(" ", FALSE,#REF!)</f>
        <v>#REF!</v>
      </c>
      <c r="AF91" s="122"/>
      <c r="AG91" s="71" t="s">
        <v>248</v>
      </c>
      <c r="AH91" s="73" t="e">
        <f xml:space="preserve"> _xlfn.TEXTJOIN(" ", FALSE,#REF!)</f>
        <v>#REF!</v>
      </c>
      <c r="AI91" s="122"/>
      <c r="AJ91" s="71" t="s">
        <v>249</v>
      </c>
      <c r="AK91" s="73" t="e">
        <f xml:space="preserve"> _xlfn.TEXTJOIN(" ", FALSE,#REF!)</f>
        <v>#REF!</v>
      </c>
      <c r="AL91" s="122"/>
      <c r="AM91" s="71" t="s">
        <v>250</v>
      </c>
      <c r="AN91" s="73" t="e">
        <f xml:space="preserve"> _xlfn.TEXTJOIN(" ", FALSE,#REF!)</f>
        <v>#REF!</v>
      </c>
      <c r="AO91" s="122"/>
      <c r="AP91" s="71" t="s">
        <v>251</v>
      </c>
      <c r="AQ91" s="72" t="e">
        <f xml:space="preserve"> _xlfn.TEXTJOIN(" ", FALSE,#REF!)</f>
        <v>#REF!</v>
      </c>
      <c r="AR91" s="122"/>
      <c r="AS91" s="71" t="s">
        <v>252</v>
      </c>
      <c r="AT91" s="72" t="e">
        <f xml:space="preserve"> _xlfn.TEXTJOIN(" ", FALSE,#REF!)</f>
        <v>#REF!</v>
      </c>
      <c r="AU91" s="122"/>
      <c r="AV91" s="71" t="s">
        <v>253</v>
      </c>
      <c r="AW91" s="73" t="e">
        <f xml:space="preserve"> _xlfn.TEXTJOIN(" ", FALSE,#REF!)</f>
        <v>#REF!</v>
      </c>
      <c r="AX91" s="122"/>
      <c r="AY91" s="71" t="s">
        <v>254</v>
      </c>
      <c r="AZ91" s="72" t="e">
        <f xml:space="preserve"> _xlfn.TEXTJOIN(" ", FALSE,#REF!)</f>
        <v>#REF!</v>
      </c>
      <c r="BA91" s="122"/>
      <c r="BB91" s="71" t="s">
        <v>255</v>
      </c>
      <c r="BC91" s="72" t="e">
        <f xml:space="preserve"> _xlfn.TEXTJOIN(" ", FALSE,#REF!)</f>
        <v>#REF!</v>
      </c>
      <c r="BD91" s="122"/>
      <c r="BE91" s="71" t="s">
        <v>256</v>
      </c>
      <c r="BF91" s="72" t="e">
        <f xml:space="preserve"> _xlfn.TEXTJOIN(" ", FALSE,#REF!)</f>
        <v>#REF!</v>
      </c>
      <c r="BG91" s="65" t="s">
        <v>277</v>
      </c>
      <c r="BH91" s="70" t="e">
        <f t="shared" si="8"/>
        <v>#REF!</v>
      </c>
      <c r="BI91" s="64" t="s">
        <v>257</v>
      </c>
      <c r="BJ91" s="122"/>
      <c r="BK91" s="71" t="s">
        <v>258</v>
      </c>
      <c r="BL91" s="74" t="str">
        <f>_xlfn.TEXTJOIN(" ", FALSE, 'Task 2a - Mitigating the Proble'!U91:AC91)</f>
        <v>1 0 0 0 0 1 0 1 Some good discussion on the complementarity of the approaches.</v>
      </c>
      <c r="BM91" s="65" t="s">
        <v>277</v>
      </c>
      <c r="BN91" s="70" t="str">
        <f t="shared" si="9"/>
        <v>[Details for Task 2a:]  /Question 12: 1 0 0 0 0 1 0 1 Some good discussion on the complementarity of the approaches. .</v>
      </c>
      <c r="BO91" s="64" t="s">
        <v>259</v>
      </c>
      <c r="BP91" s="122"/>
      <c r="BQ91" s="71" t="s">
        <v>260</v>
      </c>
      <c r="BR91" s="73" t="e">
        <f xml:space="preserve"> _xlfn.TEXTJOIN(" ", FALSE,#REF!)</f>
        <v>#REF!</v>
      </c>
      <c r="BS91" s="122"/>
      <c r="BT91" s="71" t="s">
        <v>261</v>
      </c>
      <c r="BU91" s="73" t="e">
        <f xml:space="preserve"> _xlfn.TEXTJOIN(" ", FALSE,#REF!)</f>
        <v>#REF!</v>
      </c>
      <c r="BV91" s="122"/>
      <c r="BW91" s="71" t="s">
        <v>262</v>
      </c>
      <c r="BX91" s="73" t="e">
        <f xml:space="preserve"> _xlfn.TEXTJOIN(" ", FALSE,#REF!)</f>
        <v>#REF!</v>
      </c>
      <c r="BY91" s="122"/>
      <c r="BZ91" s="71" t="s">
        <v>263</v>
      </c>
      <c r="CA91" s="73" t="e">
        <f xml:space="preserve"> _xlfn.TEXTJOIN(" ", FALSE,#REF!)</f>
        <v>#REF!</v>
      </c>
      <c r="CB91" s="122"/>
      <c r="CC91" s="71" t="s">
        <v>264</v>
      </c>
      <c r="CD91" s="73" t="e">
        <f xml:space="preserve"> _xlfn.TEXTJOIN(" ", FALSE,#REF!)</f>
        <v>#REF!</v>
      </c>
      <c r="CE91" s="122"/>
      <c r="CF91" s="71" t="s">
        <v>265</v>
      </c>
      <c r="CG91" s="73" t="e">
        <f xml:space="preserve"> _xlfn.TEXTJOIN(" ", FALSE,#REF!)</f>
        <v>#REF!</v>
      </c>
      <c r="CH91" s="122"/>
      <c r="CI91" s="74" t="s">
        <v>278</v>
      </c>
      <c r="CJ91" s="73" t="e">
        <f xml:space="preserve"> _xlfn.TEXTJOIN(" ", FALSE,#REF!)</f>
        <v>#REF!</v>
      </c>
      <c r="CK91" s="65" t="s">
        <v>277</v>
      </c>
      <c r="CL91" s="70" t="e">
        <f t="shared" si="10"/>
        <v>#REF!</v>
      </c>
      <c r="CM91" s="64" t="s">
        <v>267</v>
      </c>
      <c r="CN91" s="122"/>
      <c r="CO91" s="71" t="s">
        <v>268</v>
      </c>
      <c r="CP91" s="73" t="e">
        <f xml:space="preserve"> _xlfn.TEXTJOIN(" ", FALSE,#REF!)</f>
        <v>#REF!</v>
      </c>
      <c r="CQ91" s="122"/>
      <c r="CR91" s="71" t="s">
        <v>269</v>
      </c>
      <c r="CS91" s="73" t="e">
        <f xml:space="preserve"> _xlfn.TEXTJOIN(" ", FALSE,#REF!)</f>
        <v>#REF!</v>
      </c>
      <c r="CT91" s="122"/>
      <c r="CU91" s="71" t="s">
        <v>270</v>
      </c>
      <c r="CV91" s="72" t="e">
        <f xml:space="preserve"> _xlfn.TEXTJOIN(" ", FALSE,#REF!)</f>
        <v>#REF!</v>
      </c>
      <c r="CW91" s="122"/>
      <c r="CX91" s="71" t="s">
        <v>271</v>
      </c>
      <c r="CY91" s="72" t="e">
        <f xml:space="preserve"> _xlfn.TEXTJOIN(" ", FALSE,#REF!)</f>
        <v>#REF!</v>
      </c>
      <c r="CZ91" s="122"/>
      <c r="DA91" s="71" t="s">
        <v>272</v>
      </c>
      <c r="DB91" s="73" t="e">
        <f xml:space="preserve"> _xlfn.TEXTJOIN(" ", FALSE,#REF!)</f>
        <v>#REF!</v>
      </c>
      <c r="DC91" s="65" t="s">
        <v>277</v>
      </c>
      <c r="DD91" s="70" t="e">
        <f t="shared" si="11"/>
        <v>#REF!</v>
      </c>
      <c r="DE91" s="64" t="s">
        <v>273</v>
      </c>
      <c r="DF91" s="122"/>
      <c r="DG91" s="71" t="s">
        <v>274</v>
      </c>
      <c r="DH91" s="72" t="e">
        <f xml:space="preserve"> _xlfn.TEXTJOIN(" ", FALSE,#REF!)</f>
        <v>#REF!</v>
      </c>
      <c r="DI91" s="122"/>
      <c r="DJ91" s="71" t="s">
        <v>275</v>
      </c>
      <c r="DK91" s="73" t="e">
        <f xml:space="preserve"> _xlfn.TEXTJOIN(" ", FALSE,#REF!)</f>
        <v>#REF!</v>
      </c>
      <c r="DL91" s="65" t="s">
        <v>277</v>
      </c>
      <c r="DM91" s="70" t="e">
        <f t="shared" si="12"/>
        <v>#REF!</v>
      </c>
      <c r="DN91" s="70" t="e">
        <f t="shared" si="13"/>
        <v>#REF!</v>
      </c>
    </row>
    <row r="92" spans="1:118" ht="108" customHeight="1">
      <c r="A92" s="122" t="e">
        <f>Summary!A92</f>
        <v>#REF!</v>
      </c>
      <c r="B92" s="64" t="s">
        <v>233</v>
      </c>
      <c r="C92" s="65" t="e">
        <f>Summary!B92</f>
        <v>#REF!</v>
      </c>
      <c r="D92" s="122"/>
      <c r="E92" s="64" t="s">
        <v>235</v>
      </c>
      <c r="F92" s="132" t="e">
        <f>Summary!C92</f>
        <v>#REF!</v>
      </c>
      <c r="G92" s="64" t="s">
        <v>236</v>
      </c>
      <c r="H92" s="132" t="e">
        <f>Summary!D92</f>
        <v>#REF!</v>
      </c>
      <c r="I92" s="64" t="s">
        <v>237</v>
      </c>
      <c r="J92" s="66">
        <f>Summary!E92</f>
        <v>6</v>
      </c>
      <c r="K92" s="64" t="s">
        <v>238</v>
      </c>
      <c r="L92" s="132" t="e">
        <f>Summary!F92</f>
        <v>#REF!</v>
      </c>
      <c r="M92" s="64" t="s">
        <v>239</v>
      </c>
      <c r="N92" s="132" t="e">
        <f>Summary!G92</f>
        <v>#REF!</v>
      </c>
      <c r="O92" s="64" t="s">
        <v>240</v>
      </c>
      <c r="P92" s="132" t="e">
        <f>Summary!H92</f>
        <v>#REF!</v>
      </c>
      <c r="Q92" s="65" t="s">
        <v>277</v>
      </c>
      <c r="R92" s="70" t="e">
        <f t="shared" si="7"/>
        <v>#REF!</v>
      </c>
      <c r="S92" s="64" t="s">
        <v>243</v>
      </c>
      <c r="T92" s="122"/>
      <c r="U92" s="71" t="s">
        <v>244</v>
      </c>
      <c r="V92" s="72" t="e">
        <f xml:space="preserve"> _xlfn.TEXTJOIN(" ", FALSE,#REF!)</f>
        <v>#REF!</v>
      </c>
      <c r="W92" s="122"/>
      <c r="X92" s="71" t="s">
        <v>245</v>
      </c>
      <c r="Y92" s="72" t="e">
        <f xml:space="preserve"> _xlfn.TEXTJOIN(" ", FALSE,#REF!)</f>
        <v>#REF!</v>
      </c>
      <c r="Z92" s="122"/>
      <c r="AA92" s="71" t="s">
        <v>246</v>
      </c>
      <c r="AB92" s="72" t="e">
        <f xml:space="preserve"> _xlfn.TEXTJOIN(" ", FALSE,#REF!)</f>
        <v>#REF!</v>
      </c>
      <c r="AC92" s="122"/>
      <c r="AD92" s="71" t="s">
        <v>247</v>
      </c>
      <c r="AE92" s="72" t="e">
        <f xml:space="preserve"> _xlfn.TEXTJOIN(" ", FALSE,#REF!)</f>
        <v>#REF!</v>
      </c>
      <c r="AF92" s="122"/>
      <c r="AG92" s="71" t="s">
        <v>248</v>
      </c>
      <c r="AH92" s="73" t="e">
        <f xml:space="preserve"> _xlfn.TEXTJOIN(" ", FALSE,#REF!)</f>
        <v>#REF!</v>
      </c>
      <c r="AI92" s="122"/>
      <c r="AJ92" s="71" t="s">
        <v>249</v>
      </c>
      <c r="AK92" s="73" t="e">
        <f xml:space="preserve"> _xlfn.TEXTJOIN(" ", FALSE,#REF!)</f>
        <v>#REF!</v>
      </c>
      <c r="AL92" s="122"/>
      <c r="AM92" s="71" t="s">
        <v>250</v>
      </c>
      <c r="AN92" s="73" t="e">
        <f xml:space="preserve"> _xlfn.TEXTJOIN(" ", FALSE,#REF!)</f>
        <v>#REF!</v>
      </c>
      <c r="AO92" s="122"/>
      <c r="AP92" s="71" t="s">
        <v>251</v>
      </c>
      <c r="AQ92" s="72" t="e">
        <f xml:space="preserve"> _xlfn.TEXTJOIN(" ", FALSE,#REF!)</f>
        <v>#REF!</v>
      </c>
      <c r="AR92" s="122"/>
      <c r="AS92" s="71" t="s">
        <v>252</v>
      </c>
      <c r="AT92" s="72" t="e">
        <f xml:space="preserve"> _xlfn.TEXTJOIN(" ", FALSE,#REF!)</f>
        <v>#REF!</v>
      </c>
      <c r="AU92" s="122"/>
      <c r="AV92" s="71" t="s">
        <v>253</v>
      </c>
      <c r="AW92" s="73" t="e">
        <f xml:space="preserve"> _xlfn.TEXTJOIN(" ", FALSE,#REF!)</f>
        <v>#REF!</v>
      </c>
      <c r="AX92" s="122"/>
      <c r="AY92" s="71" t="s">
        <v>254</v>
      </c>
      <c r="AZ92" s="72" t="e">
        <f xml:space="preserve"> _xlfn.TEXTJOIN(" ", FALSE,#REF!)</f>
        <v>#REF!</v>
      </c>
      <c r="BA92" s="122"/>
      <c r="BB92" s="71" t="s">
        <v>255</v>
      </c>
      <c r="BC92" s="72" t="e">
        <f xml:space="preserve"> _xlfn.TEXTJOIN(" ", FALSE,#REF!)</f>
        <v>#REF!</v>
      </c>
      <c r="BD92" s="122"/>
      <c r="BE92" s="71" t="s">
        <v>256</v>
      </c>
      <c r="BF92" s="72" t="e">
        <f xml:space="preserve"> _xlfn.TEXTJOIN(" ", FALSE,#REF!)</f>
        <v>#REF!</v>
      </c>
      <c r="BG92" s="65" t="s">
        <v>277</v>
      </c>
      <c r="BH92" s="70" t="e">
        <f t="shared" si="8"/>
        <v>#REF!</v>
      </c>
      <c r="BI92" s="64" t="s">
        <v>257</v>
      </c>
      <c r="BJ92" s="122"/>
      <c r="BK92" s="71" t="s">
        <v>258</v>
      </c>
      <c r="BL92" s="74" t="str">
        <f>_xlfn.TEXTJOIN(" ", FALSE, 'Task 2a - Mitigating the Proble'!U92:AC92)</f>
        <v xml:space="preserve">1 0 1 1 0 1 0 0 </v>
      </c>
      <c r="BM92" s="65" t="s">
        <v>277</v>
      </c>
      <c r="BN92" s="70" t="str">
        <f t="shared" si="9"/>
        <v>[Details for Task 2a:]  /Question 12: 1 0 1 1 0 1 0 0  .</v>
      </c>
      <c r="BO92" s="64" t="s">
        <v>259</v>
      </c>
      <c r="BP92" s="122"/>
      <c r="BQ92" s="71" t="s">
        <v>260</v>
      </c>
      <c r="BR92" s="73" t="e">
        <f xml:space="preserve"> _xlfn.TEXTJOIN(" ", FALSE,#REF!)</f>
        <v>#REF!</v>
      </c>
      <c r="BS92" s="122"/>
      <c r="BT92" s="71" t="s">
        <v>261</v>
      </c>
      <c r="BU92" s="73" t="e">
        <f xml:space="preserve"> _xlfn.TEXTJOIN(" ", FALSE,#REF!)</f>
        <v>#REF!</v>
      </c>
      <c r="BV92" s="122"/>
      <c r="BW92" s="71" t="s">
        <v>262</v>
      </c>
      <c r="BX92" s="73" t="e">
        <f xml:space="preserve"> _xlfn.TEXTJOIN(" ", FALSE,#REF!)</f>
        <v>#REF!</v>
      </c>
      <c r="BY92" s="122"/>
      <c r="BZ92" s="71" t="s">
        <v>263</v>
      </c>
      <c r="CA92" s="73" t="e">
        <f xml:space="preserve"> _xlfn.TEXTJOIN(" ", FALSE,#REF!)</f>
        <v>#REF!</v>
      </c>
      <c r="CB92" s="122"/>
      <c r="CC92" s="71" t="s">
        <v>264</v>
      </c>
      <c r="CD92" s="73" t="e">
        <f xml:space="preserve"> _xlfn.TEXTJOIN(" ", FALSE,#REF!)</f>
        <v>#REF!</v>
      </c>
      <c r="CE92" s="122"/>
      <c r="CF92" s="71" t="s">
        <v>265</v>
      </c>
      <c r="CG92" s="73" t="e">
        <f xml:space="preserve"> _xlfn.TEXTJOIN(" ", FALSE,#REF!)</f>
        <v>#REF!</v>
      </c>
      <c r="CH92" s="122"/>
      <c r="CI92" s="74" t="s">
        <v>278</v>
      </c>
      <c r="CJ92" s="73" t="e">
        <f xml:space="preserve"> _xlfn.TEXTJOIN(" ", FALSE,#REF!)</f>
        <v>#REF!</v>
      </c>
      <c r="CK92" s="65" t="s">
        <v>277</v>
      </c>
      <c r="CL92" s="70" t="e">
        <f t="shared" si="10"/>
        <v>#REF!</v>
      </c>
      <c r="CM92" s="64" t="s">
        <v>267</v>
      </c>
      <c r="CN92" s="122"/>
      <c r="CO92" s="71" t="s">
        <v>268</v>
      </c>
      <c r="CP92" s="73" t="e">
        <f xml:space="preserve"> _xlfn.TEXTJOIN(" ", FALSE,#REF!)</f>
        <v>#REF!</v>
      </c>
      <c r="CQ92" s="122"/>
      <c r="CR92" s="71" t="s">
        <v>269</v>
      </c>
      <c r="CS92" s="73" t="e">
        <f xml:space="preserve"> _xlfn.TEXTJOIN(" ", FALSE,#REF!)</f>
        <v>#REF!</v>
      </c>
      <c r="CT92" s="122"/>
      <c r="CU92" s="71" t="s">
        <v>270</v>
      </c>
      <c r="CV92" s="72" t="e">
        <f xml:space="preserve"> _xlfn.TEXTJOIN(" ", FALSE,#REF!)</f>
        <v>#REF!</v>
      </c>
      <c r="CW92" s="122"/>
      <c r="CX92" s="71" t="s">
        <v>271</v>
      </c>
      <c r="CY92" s="72" t="e">
        <f xml:space="preserve"> _xlfn.TEXTJOIN(" ", FALSE,#REF!)</f>
        <v>#REF!</v>
      </c>
      <c r="CZ92" s="122"/>
      <c r="DA92" s="71" t="s">
        <v>272</v>
      </c>
      <c r="DB92" s="73" t="e">
        <f xml:space="preserve"> _xlfn.TEXTJOIN(" ", FALSE,#REF!)</f>
        <v>#REF!</v>
      </c>
      <c r="DC92" s="65" t="s">
        <v>277</v>
      </c>
      <c r="DD92" s="70" t="e">
        <f t="shared" si="11"/>
        <v>#REF!</v>
      </c>
      <c r="DE92" s="64" t="s">
        <v>273</v>
      </c>
      <c r="DF92" s="122"/>
      <c r="DG92" s="71" t="s">
        <v>274</v>
      </c>
      <c r="DH92" s="72" t="e">
        <f xml:space="preserve"> _xlfn.TEXTJOIN(" ", FALSE,#REF!)</f>
        <v>#REF!</v>
      </c>
      <c r="DI92" s="122"/>
      <c r="DJ92" s="71" t="s">
        <v>275</v>
      </c>
      <c r="DK92" s="73" t="e">
        <f xml:space="preserve"> _xlfn.TEXTJOIN(" ", FALSE,#REF!)</f>
        <v>#REF!</v>
      </c>
      <c r="DL92" s="65" t="s">
        <v>277</v>
      </c>
      <c r="DM92" s="70" t="e">
        <f t="shared" si="12"/>
        <v>#REF!</v>
      </c>
      <c r="DN92" s="70" t="e">
        <f t="shared" si="13"/>
        <v>#REF!</v>
      </c>
    </row>
    <row r="93" spans="1:118" ht="108" customHeight="1">
      <c r="A93" s="122" t="e">
        <f>Summary!A93</f>
        <v>#REF!</v>
      </c>
      <c r="B93" s="64" t="s">
        <v>233</v>
      </c>
      <c r="C93" s="65" t="e">
        <f>Summary!B93</f>
        <v>#REF!</v>
      </c>
      <c r="D93" s="122"/>
      <c r="E93" s="64" t="s">
        <v>235</v>
      </c>
      <c r="F93" s="132" t="e">
        <f>Summary!C93</f>
        <v>#REF!</v>
      </c>
      <c r="G93" s="64" t="s">
        <v>236</v>
      </c>
      <c r="H93" s="132" t="e">
        <f>Summary!D93</f>
        <v>#REF!</v>
      </c>
      <c r="I93" s="64" t="s">
        <v>237</v>
      </c>
      <c r="J93" s="66">
        <f>Summary!E93</f>
        <v>8</v>
      </c>
      <c r="K93" s="64" t="s">
        <v>238</v>
      </c>
      <c r="L93" s="132" t="e">
        <f>Summary!F93</f>
        <v>#REF!</v>
      </c>
      <c r="M93" s="64" t="s">
        <v>239</v>
      </c>
      <c r="N93" s="132" t="e">
        <f>Summary!G93</f>
        <v>#REF!</v>
      </c>
      <c r="O93" s="64" t="s">
        <v>240</v>
      </c>
      <c r="P93" s="132" t="e">
        <f>Summary!H93</f>
        <v>#REF!</v>
      </c>
      <c r="Q93" s="65" t="s">
        <v>277</v>
      </c>
      <c r="R93" s="70" t="e">
        <f t="shared" si="7"/>
        <v>#REF!</v>
      </c>
      <c r="S93" s="64" t="s">
        <v>243</v>
      </c>
      <c r="T93" s="122"/>
      <c r="U93" s="71" t="s">
        <v>244</v>
      </c>
      <c r="V93" s="72" t="e">
        <f xml:space="preserve"> _xlfn.TEXTJOIN(" ", FALSE,#REF!)</f>
        <v>#REF!</v>
      </c>
      <c r="W93" s="122"/>
      <c r="X93" s="71" t="s">
        <v>245</v>
      </c>
      <c r="Y93" s="72" t="e">
        <f xml:space="preserve"> _xlfn.TEXTJOIN(" ", FALSE,#REF!)</f>
        <v>#REF!</v>
      </c>
      <c r="Z93" s="122"/>
      <c r="AA93" s="71" t="s">
        <v>246</v>
      </c>
      <c r="AB93" s="72" t="e">
        <f xml:space="preserve"> _xlfn.TEXTJOIN(" ", FALSE,#REF!)</f>
        <v>#REF!</v>
      </c>
      <c r="AC93" s="122"/>
      <c r="AD93" s="71" t="s">
        <v>247</v>
      </c>
      <c r="AE93" s="72" t="e">
        <f xml:space="preserve"> _xlfn.TEXTJOIN(" ", FALSE,#REF!)</f>
        <v>#REF!</v>
      </c>
      <c r="AF93" s="122"/>
      <c r="AG93" s="71" t="s">
        <v>248</v>
      </c>
      <c r="AH93" s="73" t="e">
        <f xml:space="preserve"> _xlfn.TEXTJOIN(" ", FALSE,#REF!)</f>
        <v>#REF!</v>
      </c>
      <c r="AI93" s="122"/>
      <c r="AJ93" s="71" t="s">
        <v>249</v>
      </c>
      <c r="AK93" s="73" t="e">
        <f xml:space="preserve"> _xlfn.TEXTJOIN(" ", FALSE,#REF!)</f>
        <v>#REF!</v>
      </c>
      <c r="AL93" s="122"/>
      <c r="AM93" s="71" t="s">
        <v>250</v>
      </c>
      <c r="AN93" s="73" t="e">
        <f xml:space="preserve"> _xlfn.TEXTJOIN(" ", FALSE,#REF!)</f>
        <v>#REF!</v>
      </c>
      <c r="AO93" s="122"/>
      <c r="AP93" s="71" t="s">
        <v>251</v>
      </c>
      <c r="AQ93" s="72" t="e">
        <f xml:space="preserve"> _xlfn.TEXTJOIN(" ", FALSE,#REF!)</f>
        <v>#REF!</v>
      </c>
      <c r="AR93" s="122"/>
      <c r="AS93" s="71" t="s">
        <v>252</v>
      </c>
      <c r="AT93" s="72" t="e">
        <f xml:space="preserve"> _xlfn.TEXTJOIN(" ", FALSE,#REF!)</f>
        <v>#REF!</v>
      </c>
      <c r="AU93" s="122"/>
      <c r="AV93" s="71" t="s">
        <v>253</v>
      </c>
      <c r="AW93" s="73" t="e">
        <f xml:space="preserve"> _xlfn.TEXTJOIN(" ", FALSE,#REF!)</f>
        <v>#REF!</v>
      </c>
      <c r="AX93" s="122"/>
      <c r="AY93" s="71" t="s">
        <v>254</v>
      </c>
      <c r="AZ93" s="72" t="e">
        <f xml:space="preserve"> _xlfn.TEXTJOIN(" ", FALSE,#REF!)</f>
        <v>#REF!</v>
      </c>
      <c r="BA93" s="122"/>
      <c r="BB93" s="71" t="s">
        <v>255</v>
      </c>
      <c r="BC93" s="72" t="e">
        <f xml:space="preserve"> _xlfn.TEXTJOIN(" ", FALSE,#REF!)</f>
        <v>#REF!</v>
      </c>
      <c r="BD93" s="122"/>
      <c r="BE93" s="71" t="s">
        <v>256</v>
      </c>
      <c r="BF93" s="72" t="e">
        <f xml:space="preserve"> _xlfn.TEXTJOIN(" ", FALSE,#REF!)</f>
        <v>#REF!</v>
      </c>
      <c r="BG93" s="65" t="s">
        <v>277</v>
      </c>
      <c r="BH93" s="70" t="e">
        <f t="shared" si="8"/>
        <v>#REF!</v>
      </c>
      <c r="BI93" s="64" t="s">
        <v>257</v>
      </c>
      <c r="BJ93" s="122"/>
      <c r="BK93" s="71" t="s">
        <v>258</v>
      </c>
      <c r="BL93" s="74" t="str">
        <f>_xlfn.TEXTJOIN(" ", FALSE, 'Task 2a - Mitigating the Proble'!U93:AC93)</f>
        <v xml:space="preserve">1 1 1 1 1 1 0 0 </v>
      </c>
      <c r="BM93" s="65" t="s">
        <v>277</v>
      </c>
      <c r="BN93" s="70" t="str">
        <f t="shared" si="9"/>
        <v>[Details for Task 2a:]  /Question 12: 1 1 1 1 1 1 0 0  .</v>
      </c>
      <c r="BO93" s="64" t="s">
        <v>259</v>
      </c>
      <c r="BP93" s="122"/>
      <c r="BQ93" s="71" t="s">
        <v>260</v>
      </c>
      <c r="BR93" s="73" t="e">
        <f xml:space="preserve"> _xlfn.TEXTJOIN(" ", FALSE,#REF!)</f>
        <v>#REF!</v>
      </c>
      <c r="BS93" s="122"/>
      <c r="BT93" s="71" t="s">
        <v>261</v>
      </c>
      <c r="BU93" s="73" t="e">
        <f xml:space="preserve"> _xlfn.TEXTJOIN(" ", FALSE,#REF!)</f>
        <v>#REF!</v>
      </c>
      <c r="BV93" s="122"/>
      <c r="BW93" s="71" t="s">
        <v>262</v>
      </c>
      <c r="BX93" s="73" t="e">
        <f xml:space="preserve"> _xlfn.TEXTJOIN(" ", FALSE,#REF!)</f>
        <v>#REF!</v>
      </c>
      <c r="BY93" s="122"/>
      <c r="BZ93" s="71" t="s">
        <v>263</v>
      </c>
      <c r="CA93" s="73" t="e">
        <f xml:space="preserve"> _xlfn.TEXTJOIN(" ", FALSE,#REF!)</f>
        <v>#REF!</v>
      </c>
      <c r="CB93" s="122"/>
      <c r="CC93" s="71" t="s">
        <v>264</v>
      </c>
      <c r="CD93" s="73" t="e">
        <f xml:space="preserve"> _xlfn.TEXTJOIN(" ", FALSE,#REF!)</f>
        <v>#REF!</v>
      </c>
      <c r="CE93" s="122"/>
      <c r="CF93" s="71" t="s">
        <v>265</v>
      </c>
      <c r="CG93" s="73" t="e">
        <f xml:space="preserve"> _xlfn.TEXTJOIN(" ", FALSE,#REF!)</f>
        <v>#REF!</v>
      </c>
      <c r="CH93" s="122"/>
      <c r="CI93" s="74" t="s">
        <v>278</v>
      </c>
      <c r="CJ93" s="73" t="e">
        <f xml:space="preserve"> _xlfn.TEXTJOIN(" ", FALSE,#REF!)</f>
        <v>#REF!</v>
      </c>
      <c r="CK93" s="65" t="s">
        <v>277</v>
      </c>
      <c r="CL93" s="70" t="e">
        <f t="shared" si="10"/>
        <v>#REF!</v>
      </c>
      <c r="CM93" s="64" t="s">
        <v>267</v>
      </c>
      <c r="CN93" s="122"/>
      <c r="CO93" s="71" t="s">
        <v>268</v>
      </c>
      <c r="CP93" s="73" t="e">
        <f xml:space="preserve"> _xlfn.TEXTJOIN(" ", FALSE,#REF!)</f>
        <v>#REF!</v>
      </c>
      <c r="CQ93" s="122"/>
      <c r="CR93" s="71" t="s">
        <v>269</v>
      </c>
      <c r="CS93" s="73" t="e">
        <f xml:space="preserve"> _xlfn.TEXTJOIN(" ", FALSE,#REF!)</f>
        <v>#REF!</v>
      </c>
      <c r="CT93" s="122"/>
      <c r="CU93" s="71" t="s">
        <v>270</v>
      </c>
      <c r="CV93" s="72" t="e">
        <f xml:space="preserve"> _xlfn.TEXTJOIN(" ", FALSE,#REF!)</f>
        <v>#REF!</v>
      </c>
      <c r="CW93" s="122"/>
      <c r="CX93" s="71" t="s">
        <v>271</v>
      </c>
      <c r="CY93" s="72" t="e">
        <f xml:space="preserve"> _xlfn.TEXTJOIN(" ", FALSE,#REF!)</f>
        <v>#REF!</v>
      </c>
      <c r="CZ93" s="122"/>
      <c r="DA93" s="71" t="s">
        <v>272</v>
      </c>
      <c r="DB93" s="73" t="e">
        <f xml:space="preserve"> _xlfn.TEXTJOIN(" ", FALSE,#REF!)</f>
        <v>#REF!</v>
      </c>
      <c r="DC93" s="65" t="s">
        <v>277</v>
      </c>
      <c r="DD93" s="70" t="e">
        <f t="shared" si="11"/>
        <v>#REF!</v>
      </c>
      <c r="DE93" s="64" t="s">
        <v>273</v>
      </c>
      <c r="DF93" s="122"/>
      <c r="DG93" s="71" t="s">
        <v>274</v>
      </c>
      <c r="DH93" s="72" t="e">
        <f xml:space="preserve"> _xlfn.TEXTJOIN(" ", FALSE,#REF!)</f>
        <v>#REF!</v>
      </c>
      <c r="DI93" s="122"/>
      <c r="DJ93" s="71" t="s">
        <v>275</v>
      </c>
      <c r="DK93" s="73" t="e">
        <f xml:space="preserve"> _xlfn.TEXTJOIN(" ", FALSE,#REF!)</f>
        <v>#REF!</v>
      </c>
      <c r="DL93" s="65" t="s">
        <v>277</v>
      </c>
      <c r="DM93" s="70" t="e">
        <f t="shared" si="12"/>
        <v>#REF!</v>
      </c>
      <c r="DN93" s="70" t="e">
        <f t="shared" si="13"/>
        <v>#REF!</v>
      </c>
    </row>
    <row r="94" spans="1:118" ht="108" customHeight="1">
      <c r="A94" s="122" t="e">
        <f>Summary!A94</f>
        <v>#REF!</v>
      </c>
      <c r="B94" s="64" t="s">
        <v>233</v>
      </c>
      <c r="C94" s="65" t="e">
        <f>Summary!B94</f>
        <v>#REF!</v>
      </c>
      <c r="D94" s="122"/>
      <c r="E94" s="64" t="s">
        <v>235</v>
      </c>
      <c r="F94" s="132" t="e">
        <f>Summary!C94</f>
        <v>#REF!</v>
      </c>
      <c r="G94" s="64" t="s">
        <v>236</v>
      </c>
      <c r="H94" s="132" t="e">
        <f>Summary!D94</f>
        <v>#REF!</v>
      </c>
      <c r="I94" s="64" t="s">
        <v>237</v>
      </c>
      <c r="J94" s="66">
        <f>Summary!E94</f>
        <v>8</v>
      </c>
      <c r="K94" s="64" t="s">
        <v>238</v>
      </c>
      <c r="L94" s="132" t="e">
        <f>Summary!F94</f>
        <v>#REF!</v>
      </c>
      <c r="M94" s="64" t="s">
        <v>239</v>
      </c>
      <c r="N94" s="132" t="e">
        <f>Summary!G94</f>
        <v>#REF!</v>
      </c>
      <c r="O94" s="64" t="s">
        <v>240</v>
      </c>
      <c r="P94" s="132" t="e">
        <f>Summary!H94</f>
        <v>#REF!</v>
      </c>
      <c r="Q94" s="65" t="s">
        <v>277</v>
      </c>
      <c r="R94" s="70" t="e">
        <f t="shared" si="7"/>
        <v>#REF!</v>
      </c>
      <c r="S94" s="64" t="s">
        <v>243</v>
      </c>
      <c r="T94" s="122"/>
      <c r="U94" s="71" t="s">
        <v>244</v>
      </c>
      <c r="V94" s="72" t="e">
        <f xml:space="preserve"> _xlfn.TEXTJOIN(" ", FALSE,#REF!)</f>
        <v>#REF!</v>
      </c>
      <c r="W94" s="122"/>
      <c r="X94" s="71" t="s">
        <v>245</v>
      </c>
      <c r="Y94" s="72" t="e">
        <f xml:space="preserve"> _xlfn.TEXTJOIN(" ", FALSE,#REF!)</f>
        <v>#REF!</v>
      </c>
      <c r="Z94" s="122"/>
      <c r="AA94" s="71" t="s">
        <v>246</v>
      </c>
      <c r="AB94" s="72" t="e">
        <f xml:space="preserve"> _xlfn.TEXTJOIN(" ", FALSE,#REF!)</f>
        <v>#REF!</v>
      </c>
      <c r="AC94" s="122"/>
      <c r="AD94" s="71" t="s">
        <v>247</v>
      </c>
      <c r="AE94" s="72" t="e">
        <f xml:space="preserve"> _xlfn.TEXTJOIN(" ", FALSE,#REF!)</f>
        <v>#REF!</v>
      </c>
      <c r="AF94" s="122"/>
      <c r="AG94" s="71" t="s">
        <v>248</v>
      </c>
      <c r="AH94" s="73" t="e">
        <f xml:space="preserve"> _xlfn.TEXTJOIN(" ", FALSE,#REF!)</f>
        <v>#REF!</v>
      </c>
      <c r="AI94" s="122"/>
      <c r="AJ94" s="71" t="s">
        <v>249</v>
      </c>
      <c r="AK94" s="73" t="e">
        <f xml:space="preserve"> _xlfn.TEXTJOIN(" ", FALSE,#REF!)</f>
        <v>#REF!</v>
      </c>
      <c r="AL94" s="122"/>
      <c r="AM94" s="71" t="s">
        <v>250</v>
      </c>
      <c r="AN94" s="73" t="e">
        <f xml:space="preserve"> _xlfn.TEXTJOIN(" ", FALSE,#REF!)</f>
        <v>#REF!</v>
      </c>
      <c r="AO94" s="122"/>
      <c r="AP94" s="71" t="s">
        <v>251</v>
      </c>
      <c r="AQ94" s="72" t="e">
        <f xml:space="preserve"> _xlfn.TEXTJOIN(" ", FALSE,#REF!)</f>
        <v>#REF!</v>
      </c>
      <c r="AR94" s="122"/>
      <c r="AS94" s="71" t="s">
        <v>252</v>
      </c>
      <c r="AT94" s="72" t="e">
        <f xml:space="preserve"> _xlfn.TEXTJOIN(" ", FALSE,#REF!)</f>
        <v>#REF!</v>
      </c>
      <c r="AU94" s="122"/>
      <c r="AV94" s="71" t="s">
        <v>253</v>
      </c>
      <c r="AW94" s="73" t="e">
        <f xml:space="preserve"> _xlfn.TEXTJOIN(" ", FALSE,#REF!)</f>
        <v>#REF!</v>
      </c>
      <c r="AX94" s="122"/>
      <c r="AY94" s="71" t="s">
        <v>254</v>
      </c>
      <c r="AZ94" s="72" t="e">
        <f xml:space="preserve"> _xlfn.TEXTJOIN(" ", FALSE,#REF!)</f>
        <v>#REF!</v>
      </c>
      <c r="BA94" s="122"/>
      <c r="BB94" s="71" t="s">
        <v>255</v>
      </c>
      <c r="BC94" s="72" t="e">
        <f xml:space="preserve"> _xlfn.TEXTJOIN(" ", FALSE,#REF!)</f>
        <v>#REF!</v>
      </c>
      <c r="BD94" s="122"/>
      <c r="BE94" s="71" t="s">
        <v>256</v>
      </c>
      <c r="BF94" s="72" t="e">
        <f xml:space="preserve"> _xlfn.TEXTJOIN(" ", FALSE,#REF!)</f>
        <v>#REF!</v>
      </c>
      <c r="BG94" s="65" t="s">
        <v>277</v>
      </c>
      <c r="BH94" s="70" t="e">
        <f t="shared" si="8"/>
        <v>#REF!</v>
      </c>
      <c r="BI94" s="64" t="s">
        <v>257</v>
      </c>
      <c r="BJ94" s="122"/>
      <c r="BK94" s="71" t="s">
        <v>258</v>
      </c>
      <c r="BL94" s="74" t="str">
        <f>_xlfn.TEXTJOIN(" ", FALSE, 'Task 2a - Mitigating the Proble'!U94:AC94)</f>
        <v xml:space="preserve">1 1 1 1 1 1 0 0 </v>
      </c>
      <c r="BM94" s="65" t="s">
        <v>277</v>
      </c>
      <c r="BN94" s="70" t="str">
        <f t="shared" si="9"/>
        <v>[Details for Task 2a:]  /Question 12: 1 1 1 1 1 1 0 0  .</v>
      </c>
      <c r="BO94" s="64" t="s">
        <v>259</v>
      </c>
      <c r="BP94" s="122"/>
      <c r="BQ94" s="71" t="s">
        <v>260</v>
      </c>
      <c r="BR94" s="73" t="e">
        <f xml:space="preserve"> _xlfn.TEXTJOIN(" ", FALSE,#REF!)</f>
        <v>#REF!</v>
      </c>
      <c r="BS94" s="122"/>
      <c r="BT94" s="71" t="s">
        <v>261</v>
      </c>
      <c r="BU94" s="73" t="e">
        <f xml:space="preserve"> _xlfn.TEXTJOIN(" ", FALSE,#REF!)</f>
        <v>#REF!</v>
      </c>
      <c r="BV94" s="122"/>
      <c r="BW94" s="71" t="s">
        <v>262</v>
      </c>
      <c r="BX94" s="73" t="e">
        <f xml:space="preserve"> _xlfn.TEXTJOIN(" ", FALSE,#REF!)</f>
        <v>#REF!</v>
      </c>
      <c r="BY94" s="122"/>
      <c r="BZ94" s="71" t="s">
        <v>263</v>
      </c>
      <c r="CA94" s="73" t="e">
        <f xml:space="preserve"> _xlfn.TEXTJOIN(" ", FALSE,#REF!)</f>
        <v>#REF!</v>
      </c>
      <c r="CB94" s="122"/>
      <c r="CC94" s="71" t="s">
        <v>264</v>
      </c>
      <c r="CD94" s="73" t="e">
        <f xml:space="preserve"> _xlfn.TEXTJOIN(" ", FALSE,#REF!)</f>
        <v>#REF!</v>
      </c>
      <c r="CE94" s="122"/>
      <c r="CF94" s="71" t="s">
        <v>265</v>
      </c>
      <c r="CG94" s="73" t="e">
        <f xml:space="preserve"> _xlfn.TEXTJOIN(" ", FALSE,#REF!)</f>
        <v>#REF!</v>
      </c>
      <c r="CH94" s="122"/>
      <c r="CI94" s="74" t="s">
        <v>278</v>
      </c>
      <c r="CJ94" s="73" t="e">
        <f xml:space="preserve"> _xlfn.TEXTJOIN(" ", FALSE,#REF!)</f>
        <v>#REF!</v>
      </c>
      <c r="CK94" s="65" t="s">
        <v>277</v>
      </c>
      <c r="CL94" s="70" t="e">
        <f t="shared" si="10"/>
        <v>#REF!</v>
      </c>
      <c r="CM94" s="64" t="s">
        <v>267</v>
      </c>
      <c r="CN94" s="122"/>
      <c r="CO94" s="71" t="s">
        <v>268</v>
      </c>
      <c r="CP94" s="73" t="e">
        <f xml:space="preserve"> _xlfn.TEXTJOIN(" ", FALSE,#REF!)</f>
        <v>#REF!</v>
      </c>
      <c r="CQ94" s="122"/>
      <c r="CR94" s="71" t="s">
        <v>269</v>
      </c>
      <c r="CS94" s="73" t="e">
        <f xml:space="preserve"> _xlfn.TEXTJOIN(" ", FALSE,#REF!)</f>
        <v>#REF!</v>
      </c>
      <c r="CT94" s="122"/>
      <c r="CU94" s="71" t="s">
        <v>270</v>
      </c>
      <c r="CV94" s="72" t="e">
        <f xml:space="preserve"> _xlfn.TEXTJOIN(" ", FALSE,#REF!)</f>
        <v>#REF!</v>
      </c>
      <c r="CW94" s="122"/>
      <c r="CX94" s="71" t="s">
        <v>271</v>
      </c>
      <c r="CY94" s="72" t="e">
        <f xml:space="preserve"> _xlfn.TEXTJOIN(" ", FALSE,#REF!)</f>
        <v>#REF!</v>
      </c>
      <c r="CZ94" s="122"/>
      <c r="DA94" s="71" t="s">
        <v>272</v>
      </c>
      <c r="DB94" s="73" t="e">
        <f xml:space="preserve"> _xlfn.TEXTJOIN(" ", FALSE,#REF!)</f>
        <v>#REF!</v>
      </c>
      <c r="DC94" s="65" t="s">
        <v>277</v>
      </c>
      <c r="DD94" s="70" t="e">
        <f t="shared" si="11"/>
        <v>#REF!</v>
      </c>
      <c r="DE94" s="64" t="s">
        <v>273</v>
      </c>
      <c r="DF94" s="122"/>
      <c r="DG94" s="71" t="s">
        <v>274</v>
      </c>
      <c r="DH94" s="72" t="e">
        <f xml:space="preserve"> _xlfn.TEXTJOIN(" ", FALSE,#REF!)</f>
        <v>#REF!</v>
      </c>
      <c r="DI94" s="122"/>
      <c r="DJ94" s="71" t="s">
        <v>275</v>
      </c>
      <c r="DK94" s="73" t="e">
        <f xml:space="preserve"> _xlfn.TEXTJOIN(" ", FALSE,#REF!)</f>
        <v>#REF!</v>
      </c>
      <c r="DL94" s="65" t="s">
        <v>277</v>
      </c>
      <c r="DM94" s="70" t="e">
        <f t="shared" si="12"/>
        <v>#REF!</v>
      </c>
      <c r="DN94" s="70" t="e">
        <f t="shared" si="13"/>
        <v>#REF!</v>
      </c>
    </row>
    <row r="95" spans="1:118" ht="108" customHeight="1">
      <c r="A95" s="122" t="e">
        <f>Summary!A95</f>
        <v>#REF!</v>
      </c>
      <c r="B95" s="64" t="s">
        <v>233</v>
      </c>
      <c r="C95" s="65" t="e">
        <f>Summary!B95</f>
        <v>#REF!</v>
      </c>
      <c r="D95" s="122"/>
      <c r="E95" s="64" t="s">
        <v>235</v>
      </c>
      <c r="F95" s="132" t="e">
        <f>Summary!C95</f>
        <v>#REF!</v>
      </c>
      <c r="G95" s="64" t="s">
        <v>236</v>
      </c>
      <c r="H95" s="132" t="e">
        <f>Summary!D95</f>
        <v>#REF!</v>
      </c>
      <c r="I95" s="64" t="s">
        <v>237</v>
      </c>
      <c r="J95" s="66">
        <f>Summary!E95</f>
        <v>7</v>
      </c>
      <c r="K95" s="64" t="s">
        <v>238</v>
      </c>
      <c r="L95" s="132" t="e">
        <f>Summary!F95</f>
        <v>#REF!</v>
      </c>
      <c r="M95" s="64" t="s">
        <v>239</v>
      </c>
      <c r="N95" s="132" t="e">
        <f>Summary!G95</f>
        <v>#REF!</v>
      </c>
      <c r="O95" s="64" t="s">
        <v>240</v>
      </c>
      <c r="P95" s="132" t="e">
        <f>Summary!H95</f>
        <v>#REF!</v>
      </c>
      <c r="Q95" s="65" t="s">
        <v>277</v>
      </c>
      <c r="R95" s="70" t="e">
        <f t="shared" si="7"/>
        <v>#REF!</v>
      </c>
      <c r="S95" s="64" t="s">
        <v>243</v>
      </c>
      <c r="T95" s="122"/>
      <c r="U95" s="71" t="s">
        <v>244</v>
      </c>
      <c r="V95" s="72" t="e">
        <f xml:space="preserve"> _xlfn.TEXTJOIN(" ", FALSE,#REF!)</f>
        <v>#REF!</v>
      </c>
      <c r="W95" s="122"/>
      <c r="X95" s="71" t="s">
        <v>245</v>
      </c>
      <c r="Y95" s="72" t="e">
        <f xml:space="preserve"> _xlfn.TEXTJOIN(" ", FALSE,#REF!)</f>
        <v>#REF!</v>
      </c>
      <c r="Z95" s="122"/>
      <c r="AA95" s="71" t="s">
        <v>246</v>
      </c>
      <c r="AB95" s="72" t="e">
        <f xml:space="preserve"> _xlfn.TEXTJOIN(" ", FALSE,#REF!)</f>
        <v>#REF!</v>
      </c>
      <c r="AC95" s="122"/>
      <c r="AD95" s="71" t="s">
        <v>247</v>
      </c>
      <c r="AE95" s="72" t="e">
        <f xml:space="preserve"> _xlfn.TEXTJOIN(" ", FALSE,#REF!)</f>
        <v>#REF!</v>
      </c>
      <c r="AF95" s="122"/>
      <c r="AG95" s="71" t="s">
        <v>248</v>
      </c>
      <c r="AH95" s="73" t="e">
        <f xml:space="preserve"> _xlfn.TEXTJOIN(" ", FALSE,#REF!)</f>
        <v>#REF!</v>
      </c>
      <c r="AI95" s="122"/>
      <c r="AJ95" s="71" t="s">
        <v>249</v>
      </c>
      <c r="AK95" s="73" t="e">
        <f xml:space="preserve"> _xlfn.TEXTJOIN(" ", FALSE,#REF!)</f>
        <v>#REF!</v>
      </c>
      <c r="AL95" s="122"/>
      <c r="AM95" s="71" t="s">
        <v>250</v>
      </c>
      <c r="AN95" s="73" t="e">
        <f xml:space="preserve"> _xlfn.TEXTJOIN(" ", FALSE,#REF!)</f>
        <v>#REF!</v>
      </c>
      <c r="AO95" s="122"/>
      <c r="AP95" s="71" t="s">
        <v>251</v>
      </c>
      <c r="AQ95" s="72" t="e">
        <f xml:space="preserve"> _xlfn.TEXTJOIN(" ", FALSE,#REF!)</f>
        <v>#REF!</v>
      </c>
      <c r="AR95" s="122"/>
      <c r="AS95" s="71" t="s">
        <v>252</v>
      </c>
      <c r="AT95" s="72" t="e">
        <f xml:space="preserve"> _xlfn.TEXTJOIN(" ", FALSE,#REF!)</f>
        <v>#REF!</v>
      </c>
      <c r="AU95" s="122"/>
      <c r="AV95" s="71" t="s">
        <v>253</v>
      </c>
      <c r="AW95" s="73" t="e">
        <f xml:space="preserve"> _xlfn.TEXTJOIN(" ", FALSE,#REF!)</f>
        <v>#REF!</v>
      </c>
      <c r="AX95" s="122"/>
      <c r="AY95" s="71" t="s">
        <v>254</v>
      </c>
      <c r="AZ95" s="72" t="e">
        <f xml:space="preserve"> _xlfn.TEXTJOIN(" ", FALSE,#REF!)</f>
        <v>#REF!</v>
      </c>
      <c r="BA95" s="122"/>
      <c r="BB95" s="71" t="s">
        <v>255</v>
      </c>
      <c r="BC95" s="72" t="e">
        <f xml:space="preserve"> _xlfn.TEXTJOIN(" ", FALSE,#REF!)</f>
        <v>#REF!</v>
      </c>
      <c r="BD95" s="122"/>
      <c r="BE95" s="71" t="s">
        <v>256</v>
      </c>
      <c r="BF95" s="72" t="e">
        <f xml:space="preserve"> _xlfn.TEXTJOIN(" ", FALSE,#REF!)</f>
        <v>#REF!</v>
      </c>
      <c r="BG95" s="65" t="s">
        <v>277</v>
      </c>
      <c r="BH95" s="70" t="e">
        <f t="shared" si="8"/>
        <v>#REF!</v>
      </c>
      <c r="BI95" s="64" t="s">
        <v>257</v>
      </c>
      <c r="BJ95" s="122"/>
      <c r="BK95" s="71" t="s">
        <v>258</v>
      </c>
      <c r="BL95" s="74" t="str">
        <f>_xlfn.TEXTJOIN(" ", FALSE, 'Task 2a - Mitigating the Proble'!U95:AC95)</f>
        <v>1 0 1 1 0 1 0 1 Good use of reference to adress the complementarity of the two approaches.</v>
      </c>
      <c r="BM95" s="65" t="s">
        <v>277</v>
      </c>
      <c r="BN95" s="70" t="str">
        <f t="shared" si="9"/>
        <v>[Details for Task 2a:]  /Question 12: 1 0 1 1 0 1 0 1 Good use of reference to adress the complementarity of the two approaches. .</v>
      </c>
      <c r="BO95" s="64" t="s">
        <v>259</v>
      </c>
      <c r="BP95" s="122"/>
      <c r="BQ95" s="71" t="s">
        <v>260</v>
      </c>
      <c r="BR95" s="73" t="e">
        <f xml:space="preserve"> _xlfn.TEXTJOIN(" ", FALSE,#REF!)</f>
        <v>#REF!</v>
      </c>
      <c r="BS95" s="122"/>
      <c r="BT95" s="71" t="s">
        <v>261</v>
      </c>
      <c r="BU95" s="73" t="e">
        <f xml:space="preserve"> _xlfn.TEXTJOIN(" ", FALSE,#REF!)</f>
        <v>#REF!</v>
      </c>
      <c r="BV95" s="122"/>
      <c r="BW95" s="71" t="s">
        <v>262</v>
      </c>
      <c r="BX95" s="73" t="e">
        <f xml:space="preserve"> _xlfn.TEXTJOIN(" ", FALSE,#REF!)</f>
        <v>#REF!</v>
      </c>
      <c r="BY95" s="122"/>
      <c r="BZ95" s="71" t="s">
        <v>263</v>
      </c>
      <c r="CA95" s="73" t="e">
        <f xml:space="preserve"> _xlfn.TEXTJOIN(" ", FALSE,#REF!)</f>
        <v>#REF!</v>
      </c>
      <c r="CB95" s="122"/>
      <c r="CC95" s="71" t="s">
        <v>264</v>
      </c>
      <c r="CD95" s="73" t="e">
        <f xml:space="preserve"> _xlfn.TEXTJOIN(" ", FALSE,#REF!)</f>
        <v>#REF!</v>
      </c>
      <c r="CE95" s="122"/>
      <c r="CF95" s="71" t="s">
        <v>265</v>
      </c>
      <c r="CG95" s="73" t="e">
        <f xml:space="preserve"> _xlfn.TEXTJOIN(" ", FALSE,#REF!)</f>
        <v>#REF!</v>
      </c>
      <c r="CH95" s="122"/>
      <c r="CI95" s="74" t="s">
        <v>278</v>
      </c>
      <c r="CJ95" s="73" t="e">
        <f xml:space="preserve"> _xlfn.TEXTJOIN(" ", FALSE,#REF!)</f>
        <v>#REF!</v>
      </c>
      <c r="CK95" s="65" t="s">
        <v>277</v>
      </c>
      <c r="CL95" s="70" t="e">
        <f t="shared" si="10"/>
        <v>#REF!</v>
      </c>
      <c r="CM95" s="64" t="s">
        <v>267</v>
      </c>
      <c r="CN95" s="122"/>
      <c r="CO95" s="71" t="s">
        <v>268</v>
      </c>
      <c r="CP95" s="73" t="e">
        <f xml:space="preserve"> _xlfn.TEXTJOIN(" ", FALSE,#REF!)</f>
        <v>#REF!</v>
      </c>
      <c r="CQ95" s="122"/>
      <c r="CR95" s="71" t="s">
        <v>269</v>
      </c>
      <c r="CS95" s="73" t="e">
        <f xml:space="preserve"> _xlfn.TEXTJOIN(" ", FALSE,#REF!)</f>
        <v>#REF!</v>
      </c>
      <c r="CT95" s="122"/>
      <c r="CU95" s="71" t="s">
        <v>270</v>
      </c>
      <c r="CV95" s="72" t="e">
        <f xml:space="preserve"> _xlfn.TEXTJOIN(" ", FALSE,#REF!)</f>
        <v>#REF!</v>
      </c>
      <c r="CW95" s="122"/>
      <c r="CX95" s="71" t="s">
        <v>271</v>
      </c>
      <c r="CY95" s="72" t="e">
        <f xml:space="preserve"> _xlfn.TEXTJOIN(" ", FALSE,#REF!)</f>
        <v>#REF!</v>
      </c>
      <c r="CZ95" s="122"/>
      <c r="DA95" s="71" t="s">
        <v>272</v>
      </c>
      <c r="DB95" s="73" t="e">
        <f xml:space="preserve"> _xlfn.TEXTJOIN(" ", FALSE,#REF!)</f>
        <v>#REF!</v>
      </c>
      <c r="DC95" s="65" t="s">
        <v>277</v>
      </c>
      <c r="DD95" s="70" t="e">
        <f t="shared" si="11"/>
        <v>#REF!</v>
      </c>
      <c r="DE95" s="64" t="s">
        <v>273</v>
      </c>
      <c r="DF95" s="122"/>
      <c r="DG95" s="71" t="s">
        <v>274</v>
      </c>
      <c r="DH95" s="72" t="e">
        <f xml:space="preserve"> _xlfn.TEXTJOIN(" ", FALSE,#REF!)</f>
        <v>#REF!</v>
      </c>
      <c r="DI95" s="122"/>
      <c r="DJ95" s="71" t="s">
        <v>275</v>
      </c>
      <c r="DK95" s="73" t="e">
        <f xml:space="preserve"> _xlfn.TEXTJOIN(" ", FALSE,#REF!)</f>
        <v>#REF!</v>
      </c>
      <c r="DL95" s="65" t="s">
        <v>277</v>
      </c>
      <c r="DM95" s="70" t="e">
        <f t="shared" si="12"/>
        <v>#REF!</v>
      </c>
      <c r="DN95" s="70" t="e">
        <f t="shared" si="13"/>
        <v>#REF!</v>
      </c>
    </row>
    <row r="96" spans="1:118" ht="108" customHeight="1">
      <c r="A96" s="122" t="e">
        <f>Summary!A96</f>
        <v>#REF!</v>
      </c>
      <c r="B96" s="64" t="s">
        <v>233</v>
      </c>
      <c r="C96" s="65" t="e">
        <f>Summary!B96</f>
        <v>#REF!</v>
      </c>
      <c r="D96" s="122"/>
      <c r="E96" s="64" t="s">
        <v>235</v>
      </c>
      <c r="F96" s="132" t="e">
        <f>Summary!C96</f>
        <v>#REF!</v>
      </c>
      <c r="G96" s="64" t="s">
        <v>236</v>
      </c>
      <c r="H96" s="132" t="e">
        <f>Summary!D96</f>
        <v>#REF!</v>
      </c>
      <c r="I96" s="64" t="s">
        <v>237</v>
      </c>
      <c r="J96" s="66">
        <f>Summary!E96</f>
        <v>8</v>
      </c>
      <c r="K96" s="64" t="s">
        <v>238</v>
      </c>
      <c r="L96" s="132" t="e">
        <f>Summary!F96</f>
        <v>#REF!</v>
      </c>
      <c r="M96" s="64" t="s">
        <v>239</v>
      </c>
      <c r="N96" s="132" t="e">
        <f>Summary!G96</f>
        <v>#REF!</v>
      </c>
      <c r="O96" s="64" t="s">
        <v>240</v>
      </c>
      <c r="P96" s="132" t="e">
        <f>Summary!H96</f>
        <v>#REF!</v>
      </c>
      <c r="Q96" s="65" t="s">
        <v>277</v>
      </c>
      <c r="R96" s="70" t="e">
        <f t="shared" si="7"/>
        <v>#REF!</v>
      </c>
      <c r="S96" s="64" t="s">
        <v>243</v>
      </c>
      <c r="T96" s="122"/>
      <c r="U96" s="71" t="s">
        <v>244</v>
      </c>
      <c r="V96" s="72" t="e">
        <f xml:space="preserve"> _xlfn.TEXTJOIN(" ", FALSE,#REF!)</f>
        <v>#REF!</v>
      </c>
      <c r="W96" s="122"/>
      <c r="X96" s="71" t="s">
        <v>245</v>
      </c>
      <c r="Y96" s="72" t="e">
        <f xml:space="preserve"> _xlfn.TEXTJOIN(" ", FALSE,#REF!)</f>
        <v>#REF!</v>
      </c>
      <c r="Z96" s="122"/>
      <c r="AA96" s="71" t="s">
        <v>246</v>
      </c>
      <c r="AB96" s="72" t="e">
        <f xml:space="preserve"> _xlfn.TEXTJOIN(" ", FALSE,#REF!)</f>
        <v>#REF!</v>
      </c>
      <c r="AC96" s="122"/>
      <c r="AD96" s="71" t="s">
        <v>247</v>
      </c>
      <c r="AE96" s="72" t="e">
        <f xml:space="preserve"> _xlfn.TEXTJOIN(" ", FALSE,#REF!)</f>
        <v>#REF!</v>
      </c>
      <c r="AF96" s="122"/>
      <c r="AG96" s="71" t="s">
        <v>248</v>
      </c>
      <c r="AH96" s="73" t="e">
        <f xml:space="preserve"> _xlfn.TEXTJOIN(" ", FALSE,#REF!)</f>
        <v>#REF!</v>
      </c>
      <c r="AI96" s="122"/>
      <c r="AJ96" s="71" t="s">
        <v>249</v>
      </c>
      <c r="AK96" s="73" t="e">
        <f xml:space="preserve"> _xlfn.TEXTJOIN(" ", FALSE,#REF!)</f>
        <v>#REF!</v>
      </c>
      <c r="AL96" s="122"/>
      <c r="AM96" s="71" t="s">
        <v>250</v>
      </c>
      <c r="AN96" s="73" t="e">
        <f xml:space="preserve"> _xlfn.TEXTJOIN(" ", FALSE,#REF!)</f>
        <v>#REF!</v>
      </c>
      <c r="AO96" s="122"/>
      <c r="AP96" s="71" t="s">
        <v>251</v>
      </c>
      <c r="AQ96" s="72" t="e">
        <f xml:space="preserve"> _xlfn.TEXTJOIN(" ", FALSE,#REF!)</f>
        <v>#REF!</v>
      </c>
      <c r="AR96" s="122"/>
      <c r="AS96" s="71" t="s">
        <v>252</v>
      </c>
      <c r="AT96" s="72" t="e">
        <f xml:space="preserve"> _xlfn.TEXTJOIN(" ", FALSE,#REF!)</f>
        <v>#REF!</v>
      </c>
      <c r="AU96" s="122"/>
      <c r="AV96" s="71" t="s">
        <v>253</v>
      </c>
      <c r="AW96" s="73" t="e">
        <f xml:space="preserve"> _xlfn.TEXTJOIN(" ", FALSE,#REF!)</f>
        <v>#REF!</v>
      </c>
      <c r="AX96" s="122"/>
      <c r="AY96" s="71" t="s">
        <v>254</v>
      </c>
      <c r="AZ96" s="72" t="e">
        <f xml:space="preserve"> _xlfn.TEXTJOIN(" ", FALSE,#REF!)</f>
        <v>#REF!</v>
      </c>
      <c r="BA96" s="122"/>
      <c r="BB96" s="71" t="s">
        <v>255</v>
      </c>
      <c r="BC96" s="72" t="e">
        <f xml:space="preserve"> _xlfn.TEXTJOIN(" ", FALSE,#REF!)</f>
        <v>#REF!</v>
      </c>
      <c r="BD96" s="122"/>
      <c r="BE96" s="71" t="s">
        <v>256</v>
      </c>
      <c r="BF96" s="72" t="e">
        <f xml:space="preserve"> _xlfn.TEXTJOIN(" ", FALSE,#REF!)</f>
        <v>#REF!</v>
      </c>
      <c r="BG96" s="65" t="s">
        <v>277</v>
      </c>
      <c r="BH96" s="70" t="e">
        <f t="shared" si="8"/>
        <v>#REF!</v>
      </c>
      <c r="BI96" s="64" t="s">
        <v>257</v>
      </c>
      <c r="BJ96" s="122"/>
      <c r="BK96" s="71" t="s">
        <v>258</v>
      </c>
      <c r="BL96" s="74" t="str">
        <f>_xlfn.TEXTJOIN(" ", FALSE, 'Task 2a - Mitigating the Proble'!U96:AC96)</f>
        <v xml:space="preserve">1 1 1 1 1 1 0 0 </v>
      </c>
      <c r="BM96" s="65" t="s">
        <v>277</v>
      </c>
      <c r="BN96" s="70" t="str">
        <f t="shared" si="9"/>
        <v>[Details for Task 2a:]  /Question 12: 1 1 1 1 1 1 0 0  .</v>
      </c>
      <c r="BO96" s="64" t="s">
        <v>259</v>
      </c>
      <c r="BP96" s="122"/>
      <c r="BQ96" s="71" t="s">
        <v>260</v>
      </c>
      <c r="BR96" s="73" t="e">
        <f xml:space="preserve"> _xlfn.TEXTJOIN(" ", FALSE,#REF!)</f>
        <v>#REF!</v>
      </c>
      <c r="BS96" s="122"/>
      <c r="BT96" s="71" t="s">
        <v>261</v>
      </c>
      <c r="BU96" s="73" t="e">
        <f xml:space="preserve"> _xlfn.TEXTJOIN(" ", FALSE,#REF!)</f>
        <v>#REF!</v>
      </c>
      <c r="BV96" s="122"/>
      <c r="BW96" s="71" t="s">
        <v>262</v>
      </c>
      <c r="BX96" s="73" t="e">
        <f xml:space="preserve"> _xlfn.TEXTJOIN(" ", FALSE,#REF!)</f>
        <v>#REF!</v>
      </c>
      <c r="BY96" s="122"/>
      <c r="BZ96" s="71" t="s">
        <v>263</v>
      </c>
      <c r="CA96" s="73" t="e">
        <f xml:space="preserve"> _xlfn.TEXTJOIN(" ", FALSE,#REF!)</f>
        <v>#REF!</v>
      </c>
      <c r="CB96" s="122"/>
      <c r="CC96" s="71" t="s">
        <v>264</v>
      </c>
      <c r="CD96" s="73" t="e">
        <f xml:space="preserve"> _xlfn.TEXTJOIN(" ", FALSE,#REF!)</f>
        <v>#REF!</v>
      </c>
      <c r="CE96" s="122"/>
      <c r="CF96" s="71" t="s">
        <v>265</v>
      </c>
      <c r="CG96" s="73" t="e">
        <f xml:space="preserve"> _xlfn.TEXTJOIN(" ", FALSE,#REF!)</f>
        <v>#REF!</v>
      </c>
      <c r="CH96" s="122"/>
      <c r="CI96" s="74" t="s">
        <v>278</v>
      </c>
      <c r="CJ96" s="73" t="e">
        <f xml:space="preserve"> _xlfn.TEXTJOIN(" ", FALSE,#REF!)</f>
        <v>#REF!</v>
      </c>
      <c r="CK96" s="65" t="s">
        <v>277</v>
      </c>
      <c r="CL96" s="70" t="e">
        <f t="shared" si="10"/>
        <v>#REF!</v>
      </c>
      <c r="CM96" s="64" t="s">
        <v>267</v>
      </c>
      <c r="CN96" s="122"/>
      <c r="CO96" s="71" t="s">
        <v>268</v>
      </c>
      <c r="CP96" s="73" t="e">
        <f xml:space="preserve"> _xlfn.TEXTJOIN(" ", FALSE,#REF!)</f>
        <v>#REF!</v>
      </c>
      <c r="CQ96" s="122"/>
      <c r="CR96" s="71" t="s">
        <v>269</v>
      </c>
      <c r="CS96" s="73" t="e">
        <f xml:space="preserve"> _xlfn.TEXTJOIN(" ", FALSE,#REF!)</f>
        <v>#REF!</v>
      </c>
      <c r="CT96" s="122"/>
      <c r="CU96" s="71" t="s">
        <v>270</v>
      </c>
      <c r="CV96" s="72" t="e">
        <f xml:space="preserve"> _xlfn.TEXTJOIN(" ", FALSE,#REF!)</f>
        <v>#REF!</v>
      </c>
      <c r="CW96" s="122"/>
      <c r="CX96" s="71" t="s">
        <v>271</v>
      </c>
      <c r="CY96" s="72" t="e">
        <f xml:space="preserve"> _xlfn.TEXTJOIN(" ", FALSE,#REF!)</f>
        <v>#REF!</v>
      </c>
      <c r="CZ96" s="122"/>
      <c r="DA96" s="71" t="s">
        <v>272</v>
      </c>
      <c r="DB96" s="73" t="e">
        <f xml:space="preserve"> _xlfn.TEXTJOIN(" ", FALSE,#REF!)</f>
        <v>#REF!</v>
      </c>
      <c r="DC96" s="65" t="s">
        <v>277</v>
      </c>
      <c r="DD96" s="70" t="e">
        <f t="shared" si="11"/>
        <v>#REF!</v>
      </c>
      <c r="DE96" s="64" t="s">
        <v>273</v>
      </c>
      <c r="DF96" s="122"/>
      <c r="DG96" s="71" t="s">
        <v>274</v>
      </c>
      <c r="DH96" s="72" t="e">
        <f xml:space="preserve"> _xlfn.TEXTJOIN(" ", FALSE,#REF!)</f>
        <v>#REF!</v>
      </c>
      <c r="DI96" s="122"/>
      <c r="DJ96" s="71" t="s">
        <v>275</v>
      </c>
      <c r="DK96" s="73" t="e">
        <f xml:space="preserve"> _xlfn.TEXTJOIN(" ", FALSE,#REF!)</f>
        <v>#REF!</v>
      </c>
      <c r="DL96" s="65" t="s">
        <v>277</v>
      </c>
      <c r="DM96" s="70" t="e">
        <f t="shared" si="12"/>
        <v>#REF!</v>
      </c>
      <c r="DN96" s="70" t="e">
        <f t="shared" si="13"/>
        <v>#REF!</v>
      </c>
    </row>
    <row r="97" spans="1:118" ht="108" customHeight="1">
      <c r="A97" s="122" t="e">
        <f>Summary!A97</f>
        <v>#REF!</v>
      </c>
      <c r="B97" s="64" t="s">
        <v>233</v>
      </c>
      <c r="C97" s="65" t="e">
        <f>Summary!B97</f>
        <v>#REF!</v>
      </c>
      <c r="D97" s="122"/>
      <c r="E97" s="64" t="s">
        <v>235</v>
      </c>
      <c r="F97" s="132" t="e">
        <f>Summary!C97</f>
        <v>#REF!</v>
      </c>
      <c r="G97" s="64" t="s">
        <v>236</v>
      </c>
      <c r="H97" s="132" t="e">
        <f>Summary!D97</f>
        <v>#REF!</v>
      </c>
      <c r="I97" s="64" t="s">
        <v>237</v>
      </c>
      <c r="J97" s="66">
        <f>Summary!E97</f>
        <v>5</v>
      </c>
      <c r="K97" s="64" t="s">
        <v>238</v>
      </c>
      <c r="L97" s="132" t="e">
        <f>Summary!F97</f>
        <v>#REF!</v>
      </c>
      <c r="M97" s="64" t="s">
        <v>239</v>
      </c>
      <c r="N97" s="132" t="e">
        <f>Summary!G97</f>
        <v>#REF!</v>
      </c>
      <c r="O97" s="64" t="s">
        <v>240</v>
      </c>
      <c r="P97" s="132" t="e">
        <f>Summary!H97</f>
        <v>#REF!</v>
      </c>
      <c r="Q97" s="65" t="s">
        <v>277</v>
      </c>
      <c r="R97" s="70" t="e">
        <f t="shared" si="7"/>
        <v>#REF!</v>
      </c>
      <c r="S97" s="64" t="s">
        <v>243</v>
      </c>
      <c r="T97" s="122"/>
      <c r="U97" s="71" t="s">
        <v>244</v>
      </c>
      <c r="V97" s="72" t="e">
        <f xml:space="preserve"> _xlfn.TEXTJOIN(" ", FALSE,#REF!)</f>
        <v>#REF!</v>
      </c>
      <c r="W97" s="122"/>
      <c r="X97" s="71" t="s">
        <v>245</v>
      </c>
      <c r="Y97" s="72" t="e">
        <f xml:space="preserve"> _xlfn.TEXTJOIN(" ", FALSE,#REF!)</f>
        <v>#REF!</v>
      </c>
      <c r="Z97" s="122"/>
      <c r="AA97" s="71" t="s">
        <v>246</v>
      </c>
      <c r="AB97" s="72" t="e">
        <f xml:space="preserve"> _xlfn.TEXTJOIN(" ", FALSE,#REF!)</f>
        <v>#REF!</v>
      </c>
      <c r="AC97" s="122"/>
      <c r="AD97" s="71" t="s">
        <v>247</v>
      </c>
      <c r="AE97" s="72" t="e">
        <f xml:space="preserve"> _xlfn.TEXTJOIN(" ", FALSE,#REF!)</f>
        <v>#REF!</v>
      </c>
      <c r="AF97" s="122"/>
      <c r="AG97" s="71" t="s">
        <v>248</v>
      </c>
      <c r="AH97" s="73" t="e">
        <f xml:space="preserve"> _xlfn.TEXTJOIN(" ", FALSE,#REF!)</f>
        <v>#REF!</v>
      </c>
      <c r="AI97" s="122"/>
      <c r="AJ97" s="71" t="s">
        <v>249</v>
      </c>
      <c r="AK97" s="73" t="e">
        <f xml:space="preserve"> _xlfn.TEXTJOIN(" ", FALSE,#REF!)</f>
        <v>#REF!</v>
      </c>
      <c r="AL97" s="122"/>
      <c r="AM97" s="71" t="s">
        <v>250</v>
      </c>
      <c r="AN97" s="73" t="e">
        <f xml:space="preserve"> _xlfn.TEXTJOIN(" ", FALSE,#REF!)</f>
        <v>#REF!</v>
      </c>
      <c r="AO97" s="122"/>
      <c r="AP97" s="71" t="s">
        <v>251</v>
      </c>
      <c r="AQ97" s="72" t="e">
        <f xml:space="preserve"> _xlfn.TEXTJOIN(" ", FALSE,#REF!)</f>
        <v>#REF!</v>
      </c>
      <c r="AR97" s="122"/>
      <c r="AS97" s="71" t="s">
        <v>252</v>
      </c>
      <c r="AT97" s="72" t="e">
        <f xml:space="preserve"> _xlfn.TEXTJOIN(" ", FALSE,#REF!)</f>
        <v>#REF!</v>
      </c>
      <c r="AU97" s="122"/>
      <c r="AV97" s="71" t="s">
        <v>253</v>
      </c>
      <c r="AW97" s="73" t="e">
        <f xml:space="preserve"> _xlfn.TEXTJOIN(" ", FALSE,#REF!)</f>
        <v>#REF!</v>
      </c>
      <c r="AX97" s="122"/>
      <c r="AY97" s="71" t="s">
        <v>254</v>
      </c>
      <c r="AZ97" s="72" t="e">
        <f xml:space="preserve"> _xlfn.TEXTJOIN(" ", FALSE,#REF!)</f>
        <v>#REF!</v>
      </c>
      <c r="BA97" s="122"/>
      <c r="BB97" s="71" t="s">
        <v>255</v>
      </c>
      <c r="BC97" s="72" t="e">
        <f xml:space="preserve"> _xlfn.TEXTJOIN(" ", FALSE,#REF!)</f>
        <v>#REF!</v>
      </c>
      <c r="BD97" s="122"/>
      <c r="BE97" s="71" t="s">
        <v>256</v>
      </c>
      <c r="BF97" s="72" t="e">
        <f xml:space="preserve"> _xlfn.TEXTJOIN(" ", FALSE,#REF!)</f>
        <v>#REF!</v>
      </c>
      <c r="BG97" s="65" t="s">
        <v>277</v>
      </c>
      <c r="BH97" s="70" t="e">
        <f t="shared" si="8"/>
        <v>#REF!</v>
      </c>
      <c r="BI97" s="64" t="s">
        <v>257</v>
      </c>
      <c r="BJ97" s="122"/>
      <c r="BK97" s="71" t="s">
        <v>258</v>
      </c>
      <c r="BL97" s="74" t="str">
        <f>_xlfn.TEXTJOIN(" ", FALSE, 'Task 2a - Mitigating the Proble'!U97:AC97)</f>
        <v xml:space="preserve">1 0 0 0 0 1 0 0 </v>
      </c>
      <c r="BM97" s="65" t="s">
        <v>277</v>
      </c>
      <c r="BN97" s="70" t="str">
        <f t="shared" si="9"/>
        <v>[Details for Task 2a:]  /Question 12: 1 0 0 0 0 1 0 0  .</v>
      </c>
      <c r="BO97" s="64" t="s">
        <v>259</v>
      </c>
      <c r="BP97" s="122"/>
      <c r="BQ97" s="71" t="s">
        <v>260</v>
      </c>
      <c r="BR97" s="73" t="e">
        <f xml:space="preserve"> _xlfn.TEXTJOIN(" ", FALSE,#REF!)</f>
        <v>#REF!</v>
      </c>
      <c r="BS97" s="122"/>
      <c r="BT97" s="71" t="s">
        <v>261</v>
      </c>
      <c r="BU97" s="73" t="e">
        <f xml:space="preserve"> _xlfn.TEXTJOIN(" ", FALSE,#REF!)</f>
        <v>#REF!</v>
      </c>
      <c r="BV97" s="122"/>
      <c r="BW97" s="71" t="s">
        <v>262</v>
      </c>
      <c r="BX97" s="73" t="e">
        <f xml:space="preserve"> _xlfn.TEXTJOIN(" ", FALSE,#REF!)</f>
        <v>#REF!</v>
      </c>
      <c r="BY97" s="122"/>
      <c r="BZ97" s="71" t="s">
        <v>263</v>
      </c>
      <c r="CA97" s="73" t="e">
        <f xml:space="preserve"> _xlfn.TEXTJOIN(" ", FALSE,#REF!)</f>
        <v>#REF!</v>
      </c>
      <c r="CB97" s="122"/>
      <c r="CC97" s="71" t="s">
        <v>264</v>
      </c>
      <c r="CD97" s="73" t="e">
        <f xml:space="preserve"> _xlfn.TEXTJOIN(" ", FALSE,#REF!)</f>
        <v>#REF!</v>
      </c>
      <c r="CE97" s="122"/>
      <c r="CF97" s="71" t="s">
        <v>265</v>
      </c>
      <c r="CG97" s="73" t="e">
        <f xml:space="preserve"> _xlfn.TEXTJOIN(" ", FALSE,#REF!)</f>
        <v>#REF!</v>
      </c>
      <c r="CH97" s="122"/>
      <c r="CI97" s="74" t="s">
        <v>278</v>
      </c>
      <c r="CJ97" s="73" t="e">
        <f xml:space="preserve"> _xlfn.TEXTJOIN(" ", FALSE,#REF!)</f>
        <v>#REF!</v>
      </c>
      <c r="CK97" s="65" t="s">
        <v>277</v>
      </c>
      <c r="CL97" s="70" t="e">
        <f t="shared" si="10"/>
        <v>#REF!</v>
      </c>
      <c r="CM97" s="64" t="s">
        <v>267</v>
      </c>
      <c r="CN97" s="122"/>
      <c r="CO97" s="71" t="s">
        <v>268</v>
      </c>
      <c r="CP97" s="73" t="e">
        <f xml:space="preserve"> _xlfn.TEXTJOIN(" ", FALSE,#REF!)</f>
        <v>#REF!</v>
      </c>
      <c r="CQ97" s="122"/>
      <c r="CR97" s="71" t="s">
        <v>269</v>
      </c>
      <c r="CS97" s="73" t="e">
        <f xml:space="preserve"> _xlfn.TEXTJOIN(" ", FALSE,#REF!)</f>
        <v>#REF!</v>
      </c>
      <c r="CT97" s="122"/>
      <c r="CU97" s="71" t="s">
        <v>270</v>
      </c>
      <c r="CV97" s="72" t="e">
        <f xml:space="preserve"> _xlfn.TEXTJOIN(" ", FALSE,#REF!)</f>
        <v>#REF!</v>
      </c>
      <c r="CW97" s="122"/>
      <c r="CX97" s="71" t="s">
        <v>271</v>
      </c>
      <c r="CY97" s="72" t="e">
        <f xml:space="preserve"> _xlfn.TEXTJOIN(" ", FALSE,#REF!)</f>
        <v>#REF!</v>
      </c>
      <c r="CZ97" s="122"/>
      <c r="DA97" s="71" t="s">
        <v>272</v>
      </c>
      <c r="DB97" s="73" t="e">
        <f xml:space="preserve"> _xlfn.TEXTJOIN(" ", FALSE,#REF!)</f>
        <v>#REF!</v>
      </c>
      <c r="DC97" s="65" t="s">
        <v>277</v>
      </c>
      <c r="DD97" s="70" t="e">
        <f t="shared" si="11"/>
        <v>#REF!</v>
      </c>
      <c r="DE97" s="64" t="s">
        <v>273</v>
      </c>
      <c r="DF97" s="122"/>
      <c r="DG97" s="71" t="s">
        <v>274</v>
      </c>
      <c r="DH97" s="72" t="e">
        <f xml:space="preserve"> _xlfn.TEXTJOIN(" ", FALSE,#REF!)</f>
        <v>#REF!</v>
      </c>
      <c r="DI97" s="122"/>
      <c r="DJ97" s="71" t="s">
        <v>275</v>
      </c>
      <c r="DK97" s="73" t="e">
        <f xml:space="preserve"> _xlfn.TEXTJOIN(" ", FALSE,#REF!)</f>
        <v>#REF!</v>
      </c>
      <c r="DL97" s="65" t="s">
        <v>277</v>
      </c>
      <c r="DM97" s="70" t="e">
        <f t="shared" si="12"/>
        <v>#REF!</v>
      </c>
      <c r="DN97" s="70" t="e">
        <f t="shared" si="13"/>
        <v>#REF!</v>
      </c>
    </row>
    <row r="98" spans="1:118" ht="108" customHeight="1">
      <c r="A98" s="122" t="e">
        <f>Summary!A98</f>
        <v>#REF!</v>
      </c>
      <c r="B98" s="64" t="s">
        <v>233</v>
      </c>
      <c r="C98" s="65" t="e">
        <f>Summary!B98</f>
        <v>#REF!</v>
      </c>
      <c r="D98" s="122"/>
      <c r="E98" s="64" t="s">
        <v>235</v>
      </c>
      <c r="F98" s="132" t="e">
        <f>Summary!C98</f>
        <v>#REF!</v>
      </c>
      <c r="G98" s="64" t="s">
        <v>236</v>
      </c>
      <c r="H98" s="132" t="e">
        <f>Summary!D98</f>
        <v>#REF!</v>
      </c>
      <c r="I98" s="64" t="s">
        <v>237</v>
      </c>
      <c r="J98" s="66">
        <f>Summary!E98</f>
        <v>7</v>
      </c>
      <c r="K98" s="64" t="s">
        <v>238</v>
      </c>
      <c r="L98" s="132" t="e">
        <f>Summary!F98</f>
        <v>#REF!</v>
      </c>
      <c r="M98" s="64" t="s">
        <v>239</v>
      </c>
      <c r="N98" s="132" t="e">
        <f>Summary!G98</f>
        <v>#REF!</v>
      </c>
      <c r="O98" s="64" t="s">
        <v>240</v>
      </c>
      <c r="P98" s="132" t="e">
        <f>Summary!H98</f>
        <v>#REF!</v>
      </c>
      <c r="Q98" s="65" t="s">
        <v>277</v>
      </c>
      <c r="R98" s="70" t="e">
        <f t="shared" si="7"/>
        <v>#REF!</v>
      </c>
      <c r="S98" s="64" t="s">
        <v>243</v>
      </c>
      <c r="T98" s="122"/>
      <c r="U98" s="71" t="s">
        <v>244</v>
      </c>
      <c r="V98" s="72" t="e">
        <f xml:space="preserve"> _xlfn.TEXTJOIN(" ", FALSE,#REF!)</f>
        <v>#REF!</v>
      </c>
      <c r="W98" s="122"/>
      <c r="X98" s="71" t="s">
        <v>245</v>
      </c>
      <c r="Y98" s="72" t="e">
        <f xml:space="preserve"> _xlfn.TEXTJOIN(" ", FALSE,#REF!)</f>
        <v>#REF!</v>
      </c>
      <c r="Z98" s="122"/>
      <c r="AA98" s="71" t="s">
        <v>246</v>
      </c>
      <c r="AB98" s="72" t="e">
        <f xml:space="preserve"> _xlfn.TEXTJOIN(" ", FALSE,#REF!)</f>
        <v>#REF!</v>
      </c>
      <c r="AC98" s="122"/>
      <c r="AD98" s="71" t="s">
        <v>247</v>
      </c>
      <c r="AE98" s="72" t="e">
        <f xml:space="preserve"> _xlfn.TEXTJOIN(" ", FALSE,#REF!)</f>
        <v>#REF!</v>
      </c>
      <c r="AF98" s="122"/>
      <c r="AG98" s="71" t="s">
        <v>248</v>
      </c>
      <c r="AH98" s="73" t="e">
        <f xml:space="preserve"> _xlfn.TEXTJOIN(" ", FALSE,#REF!)</f>
        <v>#REF!</v>
      </c>
      <c r="AI98" s="122"/>
      <c r="AJ98" s="71" t="s">
        <v>249</v>
      </c>
      <c r="AK98" s="73" t="e">
        <f xml:space="preserve"> _xlfn.TEXTJOIN(" ", FALSE,#REF!)</f>
        <v>#REF!</v>
      </c>
      <c r="AL98" s="122"/>
      <c r="AM98" s="71" t="s">
        <v>250</v>
      </c>
      <c r="AN98" s="73" t="e">
        <f xml:space="preserve"> _xlfn.TEXTJOIN(" ", FALSE,#REF!)</f>
        <v>#REF!</v>
      </c>
      <c r="AO98" s="122"/>
      <c r="AP98" s="71" t="s">
        <v>251</v>
      </c>
      <c r="AQ98" s="72" t="e">
        <f xml:space="preserve"> _xlfn.TEXTJOIN(" ", FALSE,#REF!)</f>
        <v>#REF!</v>
      </c>
      <c r="AR98" s="122"/>
      <c r="AS98" s="71" t="s">
        <v>252</v>
      </c>
      <c r="AT98" s="72" t="e">
        <f xml:space="preserve"> _xlfn.TEXTJOIN(" ", FALSE,#REF!)</f>
        <v>#REF!</v>
      </c>
      <c r="AU98" s="122"/>
      <c r="AV98" s="71" t="s">
        <v>253</v>
      </c>
      <c r="AW98" s="73" t="e">
        <f xml:space="preserve"> _xlfn.TEXTJOIN(" ", FALSE,#REF!)</f>
        <v>#REF!</v>
      </c>
      <c r="AX98" s="122"/>
      <c r="AY98" s="71" t="s">
        <v>254</v>
      </c>
      <c r="AZ98" s="72" t="e">
        <f xml:space="preserve"> _xlfn.TEXTJOIN(" ", FALSE,#REF!)</f>
        <v>#REF!</v>
      </c>
      <c r="BA98" s="122"/>
      <c r="BB98" s="71" t="s">
        <v>255</v>
      </c>
      <c r="BC98" s="72" t="e">
        <f xml:space="preserve"> _xlfn.TEXTJOIN(" ", FALSE,#REF!)</f>
        <v>#REF!</v>
      </c>
      <c r="BD98" s="122"/>
      <c r="BE98" s="71" t="s">
        <v>256</v>
      </c>
      <c r="BF98" s="72" t="e">
        <f xml:space="preserve"> _xlfn.TEXTJOIN(" ", FALSE,#REF!)</f>
        <v>#REF!</v>
      </c>
      <c r="BG98" s="65" t="s">
        <v>277</v>
      </c>
      <c r="BH98" s="70" t="e">
        <f t="shared" si="8"/>
        <v>#REF!</v>
      </c>
      <c r="BI98" s="64" t="s">
        <v>257</v>
      </c>
      <c r="BJ98" s="122"/>
      <c r="BK98" s="71" t="s">
        <v>258</v>
      </c>
      <c r="BL98" s="74" t="str">
        <f>_xlfn.TEXTJOIN(" ", FALSE, 'Task 2a - Mitigating the Proble'!U98:AC98)</f>
        <v xml:space="preserve">1 0 1 1 1 1 0 0 </v>
      </c>
      <c r="BM98" s="65" t="s">
        <v>277</v>
      </c>
      <c r="BN98" s="70" t="str">
        <f t="shared" si="9"/>
        <v>[Details for Task 2a:]  /Question 12: 1 0 1 1 1 1 0 0  .</v>
      </c>
      <c r="BO98" s="64" t="s">
        <v>259</v>
      </c>
      <c r="BP98" s="122"/>
      <c r="BQ98" s="71" t="s">
        <v>260</v>
      </c>
      <c r="BR98" s="73" t="e">
        <f xml:space="preserve"> _xlfn.TEXTJOIN(" ", FALSE,#REF!)</f>
        <v>#REF!</v>
      </c>
      <c r="BS98" s="122"/>
      <c r="BT98" s="71" t="s">
        <v>261</v>
      </c>
      <c r="BU98" s="73" t="e">
        <f xml:space="preserve"> _xlfn.TEXTJOIN(" ", FALSE,#REF!)</f>
        <v>#REF!</v>
      </c>
      <c r="BV98" s="122"/>
      <c r="BW98" s="71" t="s">
        <v>262</v>
      </c>
      <c r="BX98" s="73" t="e">
        <f xml:space="preserve"> _xlfn.TEXTJOIN(" ", FALSE,#REF!)</f>
        <v>#REF!</v>
      </c>
      <c r="BY98" s="122"/>
      <c r="BZ98" s="71" t="s">
        <v>263</v>
      </c>
      <c r="CA98" s="73" t="e">
        <f xml:space="preserve"> _xlfn.TEXTJOIN(" ", FALSE,#REF!)</f>
        <v>#REF!</v>
      </c>
      <c r="CB98" s="122"/>
      <c r="CC98" s="71" t="s">
        <v>264</v>
      </c>
      <c r="CD98" s="73" t="e">
        <f xml:space="preserve"> _xlfn.TEXTJOIN(" ", FALSE,#REF!)</f>
        <v>#REF!</v>
      </c>
      <c r="CE98" s="122"/>
      <c r="CF98" s="71" t="s">
        <v>265</v>
      </c>
      <c r="CG98" s="73" t="e">
        <f xml:space="preserve"> _xlfn.TEXTJOIN(" ", FALSE,#REF!)</f>
        <v>#REF!</v>
      </c>
      <c r="CH98" s="122"/>
      <c r="CI98" s="74" t="s">
        <v>278</v>
      </c>
      <c r="CJ98" s="73" t="e">
        <f xml:space="preserve"> _xlfn.TEXTJOIN(" ", FALSE,#REF!)</f>
        <v>#REF!</v>
      </c>
      <c r="CK98" s="65" t="s">
        <v>277</v>
      </c>
      <c r="CL98" s="70" t="e">
        <f t="shared" si="10"/>
        <v>#REF!</v>
      </c>
      <c r="CM98" s="64" t="s">
        <v>267</v>
      </c>
      <c r="CN98" s="122"/>
      <c r="CO98" s="71" t="s">
        <v>268</v>
      </c>
      <c r="CP98" s="73" t="e">
        <f xml:space="preserve"> _xlfn.TEXTJOIN(" ", FALSE,#REF!)</f>
        <v>#REF!</v>
      </c>
      <c r="CQ98" s="122"/>
      <c r="CR98" s="71" t="s">
        <v>269</v>
      </c>
      <c r="CS98" s="73" t="e">
        <f xml:space="preserve"> _xlfn.TEXTJOIN(" ", FALSE,#REF!)</f>
        <v>#REF!</v>
      </c>
      <c r="CT98" s="122"/>
      <c r="CU98" s="71" t="s">
        <v>270</v>
      </c>
      <c r="CV98" s="72" t="e">
        <f xml:space="preserve"> _xlfn.TEXTJOIN(" ", FALSE,#REF!)</f>
        <v>#REF!</v>
      </c>
      <c r="CW98" s="122"/>
      <c r="CX98" s="71" t="s">
        <v>271</v>
      </c>
      <c r="CY98" s="72" t="e">
        <f xml:space="preserve"> _xlfn.TEXTJOIN(" ", FALSE,#REF!)</f>
        <v>#REF!</v>
      </c>
      <c r="CZ98" s="122"/>
      <c r="DA98" s="71" t="s">
        <v>272</v>
      </c>
      <c r="DB98" s="73" t="e">
        <f xml:space="preserve"> _xlfn.TEXTJOIN(" ", FALSE,#REF!)</f>
        <v>#REF!</v>
      </c>
      <c r="DC98" s="65" t="s">
        <v>277</v>
      </c>
      <c r="DD98" s="70" t="e">
        <f t="shared" si="11"/>
        <v>#REF!</v>
      </c>
      <c r="DE98" s="64" t="s">
        <v>273</v>
      </c>
      <c r="DF98" s="122"/>
      <c r="DG98" s="71" t="s">
        <v>274</v>
      </c>
      <c r="DH98" s="72" t="e">
        <f xml:space="preserve"> _xlfn.TEXTJOIN(" ", FALSE,#REF!)</f>
        <v>#REF!</v>
      </c>
      <c r="DI98" s="122"/>
      <c r="DJ98" s="71" t="s">
        <v>275</v>
      </c>
      <c r="DK98" s="73" t="e">
        <f xml:space="preserve"> _xlfn.TEXTJOIN(" ", FALSE,#REF!)</f>
        <v>#REF!</v>
      </c>
      <c r="DL98" s="65" t="s">
        <v>277</v>
      </c>
      <c r="DM98" s="70" t="e">
        <f t="shared" si="12"/>
        <v>#REF!</v>
      </c>
      <c r="DN98" s="70" t="e">
        <f t="shared" si="13"/>
        <v>#REF!</v>
      </c>
    </row>
    <row r="99" spans="1:118" ht="108" customHeight="1">
      <c r="A99" s="122" t="e">
        <f>Summary!A99</f>
        <v>#REF!</v>
      </c>
      <c r="B99" s="64" t="s">
        <v>233</v>
      </c>
      <c r="C99" s="65" t="e">
        <f>Summary!B99</f>
        <v>#REF!</v>
      </c>
      <c r="D99" s="122"/>
      <c r="E99" s="64" t="s">
        <v>235</v>
      </c>
      <c r="F99" s="132" t="e">
        <f>Summary!C99</f>
        <v>#REF!</v>
      </c>
      <c r="G99" s="64" t="s">
        <v>236</v>
      </c>
      <c r="H99" s="132" t="e">
        <f>Summary!D99</f>
        <v>#REF!</v>
      </c>
      <c r="I99" s="64" t="s">
        <v>237</v>
      </c>
      <c r="J99" s="66">
        <f>Summary!E99</f>
        <v>6</v>
      </c>
      <c r="K99" s="64" t="s">
        <v>238</v>
      </c>
      <c r="L99" s="132" t="e">
        <f>Summary!F99</f>
        <v>#REF!</v>
      </c>
      <c r="M99" s="64" t="s">
        <v>239</v>
      </c>
      <c r="N99" s="132" t="e">
        <f>Summary!G99</f>
        <v>#REF!</v>
      </c>
      <c r="O99" s="64" t="s">
        <v>240</v>
      </c>
      <c r="P99" s="132" t="e">
        <f>Summary!H99</f>
        <v>#REF!</v>
      </c>
      <c r="Q99" s="65" t="s">
        <v>277</v>
      </c>
      <c r="R99" s="70" t="e">
        <f t="shared" si="7"/>
        <v>#REF!</v>
      </c>
      <c r="S99" s="64" t="s">
        <v>243</v>
      </c>
      <c r="T99" s="122"/>
      <c r="U99" s="71" t="s">
        <v>244</v>
      </c>
      <c r="V99" s="72" t="e">
        <f xml:space="preserve"> _xlfn.TEXTJOIN(" ", FALSE,#REF!)</f>
        <v>#REF!</v>
      </c>
      <c r="W99" s="122"/>
      <c r="X99" s="71" t="s">
        <v>245</v>
      </c>
      <c r="Y99" s="72" t="e">
        <f xml:space="preserve"> _xlfn.TEXTJOIN(" ", FALSE,#REF!)</f>
        <v>#REF!</v>
      </c>
      <c r="Z99" s="122"/>
      <c r="AA99" s="71" t="s">
        <v>246</v>
      </c>
      <c r="AB99" s="72" t="e">
        <f xml:space="preserve"> _xlfn.TEXTJOIN(" ", FALSE,#REF!)</f>
        <v>#REF!</v>
      </c>
      <c r="AC99" s="122"/>
      <c r="AD99" s="71" t="s">
        <v>247</v>
      </c>
      <c r="AE99" s="72" t="e">
        <f xml:space="preserve"> _xlfn.TEXTJOIN(" ", FALSE,#REF!)</f>
        <v>#REF!</v>
      </c>
      <c r="AF99" s="122"/>
      <c r="AG99" s="71" t="s">
        <v>248</v>
      </c>
      <c r="AH99" s="73" t="e">
        <f xml:space="preserve"> _xlfn.TEXTJOIN(" ", FALSE,#REF!)</f>
        <v>#REF!</v>
      </c>
      <c r="AI99" s="122"/>
      <c r="AJ99" s="71" t="s">
        <v>249</v>
      </c>
      <c r="AK99" s="73" t="e">
        <f xml:space="preserve"> _xlfn.TEXTJOIN(" ", FALSE,#REF!)</f>
        <v>#REF!</v>
      </c>
      <c r="AL99" s="122"/>
      <c r="AM99" s="71" t="s">
        <v>250</v>
      </c>
      <c r="AN99" s="73" t="e">
        <f xml:space="preserve"> _xlfn.TEXTJOIN(" ", FALSE,#REF!)</f>
        <v>#REF!</v>
      </c>
      <c r="AO99" s="122"/>
      <c r="AP99" s="71" t="s">
        <v>251</v>
      </c>
      <c r="AQ99" s="72" t="e">
        <f xml:space="preserve"> _xlfn.TEXTJOIN(" ", FALSE,#REF!)</f>
        <v>#REF!</v>
      </c>
      <c r="AR99" s="122"/>
      <c r="AS99" s="71" t="s">
        <v>252</v>
      </c>
      <c r="AT99" s="72" t="e">
        <f xml:space="preserve"> _xlfn.TEXTJOIN(" ", FALSE,#REF!)</f>
        <v>#REF!</v>
      </c>
      <c r="AU99" s="122"/>
      <c r="AV99" s="71" t="s">
        <v>253</v>
      </c>
      <c r="AW99" s="73" t="e">
        <f xml:space="preserve"> _xlfn.TEXTJOIN(" ", FALSE,#REF!)</f>
        <v>#REF!</v>
      </c>
      <c r="AX99" s="122"/>
      <c r="AY99" s="71" t="s">
        <v>254</v>
      </c>
      <c r="AZ99" s="72" t="e">
        <f xml:space="preserve"> _xlfn.TEXTJOIN(" ", FALSE,#REF!)</f>
        <v>#REF!</v>
      </c>
      <c r="BA99" s="122"/>
      <c r="BB99" s="71" t="s">
        <v>255</v>
      </c>
      <c r="BC99" s="72" t="e">
        <f xml:space="preserve"> _xlfn.TEXTJOIN(" ", FALSE,#REF!)</f>
        <v>#REF!</v>
      </c>
      <c r="BD99" s="122"/>
      <c r="BE99" s="71" t="s">
        <v>256</v>
      </c>
      <c r="BF99" s="72" t="e">
        <f xml:space="preserve"> _xlfn.TEXTJOIN(" ", FALSE,#REF!)</f>
        <v>#REF!</v>
      </c>
      <c r="BG99" s="65" t="s">
        <v>277</v>
      </c>
      <c r="BH99" s="70" t="e">
        <f t="shared" si="8"/>
        <v>#REF!</v>
      </c>
      <c r="BI99" s="64" t="s">
        <v>257</v>
      </c>
      <c r="BJ99" s="122"/>
      <c r="BK99" s="71" t="s">
        <v>258</v>
      </c>
      <c r="BL99" s="74" t="str">
        <f>_xlfn.TEXTJOIN(" ", FALSE, 'Task 2a - Mitigating the Proble'!U99:AC99)</f>
        <v xml:space="preserve">1 1 1 0 0 1 0 0 </v>
      </c>
      <c r="BM99" s="65" t="s">
        <v>277</v>
      </c>
      <c r="BN99" s="70" t="str">
        <f t="shared" si="9"/>
        <v>[Details for Task 2a:]  /Question 12: 1 1 1 0 0 1 0 0  .</v>
      </c>
      <c r="BO99" s="64" t="s">
        <v>259</v>
      </c>
      <c r="BP99" s="122"/>
      <c r="BQ99" s="71" t="s">
        <v>260</v>
      </c>
      <c r="BR99" s="73" t="e">
        <f xml:space="preserve"> _xlfn.TEXTJOIN(" ", FALSE,#REF!)</f>
        <v>#REF!</v>
      </c>
      <c r="BS99" s="122"/>
      <c r="BT99" s="71" t="s">
        <v>261</v>
      </c>
      <c r="BU99" s="73" t="e">
        <f xml:space="preserve"> _xlfn.TEXTJOIN(" ", FALSE,#REF!)</f>
        <v>#REF!</v>
      </c>
      <c r="BV99" s="122"/>
      <c r="BW99" s="71" t="s">
        <v>262</v>
      </c>
      <c r="BX99" s="73" t="e">
        <f xml:space="preserve"> _xlfn.TEXTJOIN(" ", FALSE,#REF!)</f>
        <v>#REF!</v>
      </c>
      <c r="BY99" s="122"/>
      <c r="BZ99" s="71" t="s">
        <v>263</v>
      </c>
      <c r="CA99" s="73" t="e">
        <f xml:space="preserve"> _xlfn.TEXTJOIN(" ", FALSE,#REF!)</f>
        <v>#REF!</v>
      </c>
      <c r="CB99" s="122"/>
      <c r="CC99" s="71" t="s">
        <v>264</v>
      </c>
      <c r="CD99" s="73" t="e">
        <f xml:space="preserve"> _xlfn.TEXTJOIN(" ", FALSE,#REF!)</f>
        <v>#REF!</v>
      </c>
      <c r="CE99" s="122"/>
      <c r="CF99" s="71" t="s">
        <v>265</v>
      </c>
      <c r="CG99" s="73" t="e">
        <f xml:space="preserve"> _xlfn.TEXTJOIN(" ", FALSE,#REF!)</f>
        <v>#REF!</v>
      </c>
      <c r="CH99" s="122"/>
      <c r="CI99" s="74" t="s">
        <v>278</v>
      </c>
      <c r="CJ99" s="73" t="e">
        <f xml:space="preserve"> _xlfn.TEXTJOIN(" ", FALSE,#REF!)</f>
        <v>#REF!</v>
      </c>
      <c r="CK99" s="65" t="s">
        <v>277</v>
      </c>
      <c r="CL99" s="70" t="e">
        <f t="shared" si="10"/>
        <v>#REF!</v>
      </c>
      <c r="CM99" s="64" t="s">
        <v>267</v>
      </c>
      <c r="CN99" s="122"/>
      <c r="CO99" s="71" t="s">
        <v>268</v>
      </c>
      <c r="CP99" s="73" t="e">
        <f xml:space="preserve"> _xlfn.TEXTJOIN(" ", FALSE,#REF!)</f>
        <v>#REF!</v>
      </c>
      <c r="CQ99" s="122"/>
      <c r="CR99" s="71" t="s">
        <v>269</v>
      </c>
      <c r="CS99" s="73" t="e">
        <f xml:space="preserve"> _xlfn.TEXTJOIN(" ", FALSE,#REF!)</f>
        <v>#REF!</v>
      </c>
      <c r="CT99" s="122"/>
      <c r="CU99" s="71" t="s">
        <v>270</v>
      </c>
      <c r="CV99" s="72" t="e">
        <f xml:space="preserve"> _xlfn.TEXTJOIN(" ", FALSE,#REF!)</f>
        <v>#REF!</v>
      </c>
      <c r="CW99" s="122"/>
      <c r="CX99" s="71" t="s">
        <v>271</v>
      </c>
      <c r="CY99" s="72" t="e">
        <f xml:space="preserve"> _xlfn.TEXTJOIN(" ", FALSE,#REF!)</f>
        <v>#REF!</v>
      </c>
      <c r="CZ99" s="122"/>
      <c r="DA99" s="71" t="s">
        <v>272</v>
      </c>
      <c r="DB99" s="73" t="e">
        <f xml:space="preserve"> _xlfn.TEXTJOIN(" ", FALSE,#REF!)</f>
        <v>#REF!</v>
      </c>
      <c r="DC99" s="65" t="s">
        <v>277</v>
      </c>
      <c r="DD99" s="70" t="e">
        <f t="shared" si="11"/>
        <v>#REF!</v>
      </c>
      <c r="DE99" s="64" t="s">
        <v>273</v>
      </c>
      <c r="DF99" s="122"/>
      <c r="DG99" s="71" t="s">
        <v>274</v>
      </c>
      <c r="DH99" s="72" t="e">
        <f xml:space="preserve"> _xlfn.TEXTJOIN(" ", FALSE,#REF!)</f>
        <v>#REF!</v>
      </c>
      <c r="DI99" s="122"/>
      <c r="DJ99" s="71" t="s">
        <v>275</v>
      </c>
      <c r="DK99" s="73" t="e">
        <f xml:space="preserve"> _xlfn.TEXTJOIN(" ", FALSE,#REF!)</f>
        <v>#REF!</v>
      </c>
      <c r="DL99" s="65" t="s">
        <v>277</v>
      </c>
      <c r="DM99" s="70" t="e">
        <f t="shared" si="12"/>
        <v>#REF!</v>
      </c>
      <c r="DN99" s="70" t="e">
        <f t="shared" si="13"/>
        <v>#REF!</v>
      </c>
    </row>
    <row r="100" spans="1:118" ht="108" customHeight="1">
      <c r="A100" s="122" t="e">
        <f>Summary!A100</f>
        <v>#REF!</v>
      </c>
      <c r="B100" s="64" t="s">
        <v>233</v>
      </c>
      <c r="C100" s="65" t="e">
        <f>Summary!B100</f>
        <v>#REF!</v>
      </c>
      <c r="D100" s="122"/>
      <c r="E100" s="64" t="s">
        <v>235</v>
      </c>
      <c r="F100" s="132" t="e">
        <f>Summary!C100</f>
        <v>#REF!</v>
      </c>
      <c r="G100" s="64" t="s">
        <v>236</v>
      </c>
      <c r="H100" s="132" t="e">
        <f>Summary!D100</f>
        <v>#REF!</v>
      </c>
      <c r="I100" s="64" t="s">
        <v>237</v>
      </c>
      <c r="J100" s="66">
        <f>Summary!E100</f>
        <v>6</v>
      </c>
      <c r="K100" s="64" t="s">
        <v>238</v>
      </c>
      <c r="L100" s="132" t="e">
        <f>Summary!F100</f>
        <v>#REF!</v>
      </c>
      <c r="M100" s="64" t="s">
        <v>239</v>
      </c>
      <c r="N100" s="132" t="e">
        <f>Summary!G100</f>
        <v>#REF!</v>
      </c>
      <c r="O100" s="64" t="s">
        <v>240</v>
      </c>
      <c r="P100" s="132" t="e">
        <f>Summary!H100</f>
        <v>#REF!</v>
      </c>
      <c r="Q100" s="65" t="s">
        <v>277</v>
      </c>
      <c r="R100" s="70" t="e">
        <f t="shared" si="7"/>
        <v>#REF!</v>
      </c>
      <c r="S100" s="64" t="s">
        <v>243</v>
      </c>
      <c r="T100" s="122"/>
      <c r="U100" s="71" t="s">
        <v>244</v>
      </c>
      <c r="V100" s="72" t="e">
        <f xml:space="preserve"> _xlfn.TEXTJOIN(" ", FALSE,#REF!)</f>
        <v>#REF!</v>
      </c>
      <c r="W100" s="122"/>
      <c r="X100" s="71" t="s">
        <v>245</v>
      </c>
      <c r="Y100" s="72" t="e">
        <f xml:space="preserve"> _xlfn.TEXTJOIN(" ", FALSE,#REF!)</f>
        <v>#REF!</v>
      </c>
      <c r="Z100" s="122"/>
      <c r="AA100" s="71" t="s">
        <v>246</v>
      </c>
      <c r="AB100" s="72" t="e">
        <f xml:space="preserve"> _xlfn.TEXTJOIN(" ", FALSE,#REF!)</f>
        <v>#REF!</v>
      </c>
      <c r="AC100" s="122"/>
      <c r="AD100" s="71" t="s">
        <v>247</v>
      </c>
      <c r="AE100" s="72" t="e">
        <f xml:space="preserve"> _xlfn.TEXTJOIN(" ", FALSE,#REF!)</f>
        <v>#REF!</v>
      </c>
      <c r="AF100" s="122"/>
      <c r="AG100" s="71" t="s">
        <v>248</v>
      </c>
      <c r="AH100" s="73" t="e">
        <f xml:space="preserve"> _xlfn.TEXTJOIN(" ", FALSE,#REF!)</f>
        <v>#REF!</v>
      </c>
      <c r="AI100" s="122"/>
      <c r="AJ100" s="71" t="s">
        <v>249</v>
      </c>
      <c r="AK100" s="73" t="e">
        <f xml:space="preserve"> _xlfn.TEXTJOIN(" ", FALSE,#REF!)</f>
        <v>#REF!</v>
      </c>
      <c r="AL100" s="122"/>
      <c r="AM100" s="71" t="s">
        <v>250</v>
      </c>
      <c r="AN100" s="73" t="e">
        <f xml:space="preserve"> _xlfn.TEXTJOIN(" ", FALSE,#REF!)</f>
        <v>#REF!</v>
      </c>
      <c r="AO100" s="122"/>
      <c r="AP100" s="71" t="s">
        <v>251</v>
      </c>
      <c r="AQ100" s="72" t="e">
        <f xml:space="preserve"> _xlfn.TEXTJOIN(" ", FALSE,#REF!)</f>
        <v>#REF!</v>
      </c>
      <c r="AR100" s="122"/>
      <c r="AS100" s="71" t="s">
        <v>252</v>
      </c>
      <c r="AT100" s="72" t="e">
        <f xml:space="preserve"> _xlfn.TEXTJOIN(" ", FALSE,#REF!)</f>
        <v>#REF!</v>
      </c>
      <c r="AU100" s="122"/>
      <c r="AV100" s="71" t="s">
        <v>253</v>
      </c>
      <c r="AW100" s="73" t="e">
        <f xml:space="preserve"> _xlfn.TEXTJOIN(" ", FALSE,#REF!)</f>
        <v>#REF!</v>
      </c>
      <c r="AX100" s="122"/>
      <c r="AY100" s="71" t="s">
        <v>254</v>
      </c>
      <c r="AZ100" s="72" t="e">
        <f xml:space="preserve"> _xlfn.TEXTJOIN(" ", FALSE,#REF!)</f>
        <v>#REF!</v>
      </c>
      <c r="BA100" s="122"/>
      <c r="BB100" s="71" t="s">
        <v>255</v>
      </c>
      <c r="BC100" s="72" t="e">
        <f xml:space="preserve"> _xlfn.TEXTJOIN(" ", FALSE,#REF!)</f>
        <v>#REF!</v>
      </c>
      <c r="BD100" s="122"/>
      <c r="BE100" s="71" t="s">
        <v>256</v>
      </c>
      <c r="BF100" s="72" t="e">
        <f xml:space="preserve"> _xlfn.TEXTJOIN(" ", FALSE,#REF!)</f>
        <v>#REF!</v>
      </c>
      <c r="BG100" s="65" t="s">
        <v>277</v>
      </c>
      <c r="BH100" s="70" t="e">
        <f t="shared" si="8"/>
        <v>#REF!</v>
      </c>
      <c r="BI100" s="64" t="s">
        <v>257</v>
      </c>
      <c r="BJ100" s="122"/>
      <c r="BK100" s="71" t="s">
        <v>258</v>
      </c>
      <c r="BL100" s="74" t="str">
        <f>_xlfn.TEXTJOIN(" ", FALSE, 'Task 2a - Mitigating the Proble'!U100:AC100)</f>
        <v xml:space="preserve">1 1 0 0 1 1 0 0 </v>
      </c>
      <c r="BM100" s="65" t="s">
        <v>277</v>
      </c>
      <c r="BN100" s="70" t="str">
        <f t="shared" si="9"/>
        <v>[Details for Task 2a:]  /Question 12: 1 1 0 0 1 1 0 0  .</v>
      </c>
      <c r="BO100" s="64" t="s">
        <v>259</v>
      </c>
      <c r="BP100" s="122"/>
      <c r="BQ100" s="71" t="s">
        <v>260</v>
      </c>
      <c r="BR100" s="73" t="e">
        <f xml:space="preserve"> _xlfn.TEXTJOIN(" ", FALSE,#REF!)</f>
        <v>#REF!</v>
      </c>
      <c r="BS100" s="122"/>
      <c r="BT100" s="71" t="s">
        <v>261</v>
      </c>
      <c r="BU100" s="73" t="e">
        <f xml:space="preserve"> _xlfn.TEXTJOIN(" ", FALSE,#REF!)</f>
        <v>#REF!</v>
      </c>
      <c r="BV100" s="122"/>
      <c r="BW100" s="71" t="s">
        <v>262</v>
      </c>
      <c r="BX100" s="73" t="e">
        <f xml:space="preserve"> _xlfn.TEXTJOIN(" ", FALSE,#REF!)</f>
        <v>#REF!</v>
      </c>
      <c r="BY100" s="122"/>
      <c r="BZ100" s="71" t="s">
        <v>263</v>
      </c>
      <c r="CA100" s="73" t="e">
        <f xml:space="preserve"> _xlfn.TEXTJOIN(" ", FALSE,#REF!)</f>
        <v>#REF!</v>
      </c>
      <c r="CB100" s="122"/>
      <c r="CC100" s="71" t="s">
        <v>264</v>
      </c>
      <c r="CD100" s="73" t="e">
        <f xml:space="preserve"> _xlfn.TEXTJOIN(" ", FALSE,#REF!)</f>
        <v>#REF!</v>
      </c>
      <c r="CE100" s="122"/>
      <c r="CF100" s="71" t="s">
        <v>265</v>
      </c>
      <c r="CG100" s="73" t="e">
        <f xml:space="preserve"> _xlfn.TEXTJOIN(" ", FALSE,#REF!)</f>
        <v>#REF!</v>
      </c>
      <c r="CH100" s="122"/>
      <c r="CI100" s="74" t="s">
        <v>278</v>
      </c>
      <c r="CJ100" s="73" t="e">
        <f xml:space="preserve"> _xlfn.TEXTJOIN(" ", FALSE,#REF!)</f>
        <v>#REF!</v>
      </c>
      <c r="CK100" s="65" t="s">
        <v>277</v>
      </c>
      <c r="CL100" s="70" t="e">
        <f t="shared" si="10"/>
        <v>#REF!</v>
      </c>
      <c r="CM100" s="64" t="s">
        <v>267</v>
      </c>
      <c r="CN100" s="122"/>
      <c r="CO100" s="71" t="s">
        <v>268</v>
      </c>
      <c r="CP100" s="73" t="e">
        <f xml:space="preserve"> _xlfn.TEXTJOIN(" ", FALSE,#REF!)</f>
        <v>#REF!</v>
      </c>
      <c r="CQ100" s="122"/>
      <c r="CR100" s="71" t="s">
        <v>269</v>
      </c>
      <c r="CS100" s="73" t="e">
        <f xml:space="preserve"> _xlfn.TEXTJOIN(" ", FALSE,#REF!)</f>
        <v>#REF!</v>
      </c>
      <c r="CT100" s="122"/>
      <c r="CU100" s="71" t="s">
        <v>270</v>
      </c>
      <c r="CV100" s="72" t="e">
        <f xml:space="preserve"> _xlfn.TEXTJOIN(" ", FALSE,#REF!)</f>
        <v>#REF!</v>
      </c>
      <c r="CW100" s="122"/>
      <c r="CX100" s="71" t="s">
        <v>271</v>
      </c>
      <c r="CY100" s="72" t="e">
        <f xml:space="preserve"> _xlfn.TEXTJOIN(" ", FALSE,#REF!)</f>
        <v>#REF!</v>
      </c>
      <c r="CZ100" s="122"/>
      <c r="DA100" s="71" t="s">
        <v>272</v>
      </c>
      <c r="DB100" s="73" t="e">
        <f xml:space="preserve"> _xlfn.TEXTJOIN(" ", FALSE,#REF!)</f>
        <v>#REF!</v>
      </c>
      <c r="DC100" s="65" t="s">
        <v>277</v>
      </c>
      <c r="DD100" s="70" t="e">
        <f t="shared" si="11"/>
        <v>#REF!</v>
      </c>
      <c r="DE100" s="64" t="s">
        <v>273</v>
      </c>
      <c r="DF100" s="122"/>
      <c r="DG100" s="71" t="s">
        <v>274</v>
      </c>
      <c r="DH100" s="72" t="e">
        <f xml:space="preserve"> _xlfn.TEXTJOIN(" ", FALSE,#REF!)</f>
        <v>#REF!</v>
      </c>
      <c r="DI100" s="122"/>
      <c r="DJ100" s="71" t="s">
        <v>275</v>
      </c>
      <c r="DK100" s="73" t="e">
        <f xml:space="preserve"> _xlfn.TEXTJOIN(" ", FALSE,#REF!)</f>
        <v>#REF!</v>
      </c>
      <c r="DL100" s="65" t="s">
        <v>277</v>
      </c>
      <c r="DM100" s="70" t="e">
        <f t="shared" si="12"/>
        <v>#REF!</v>
      </c>
      <c r="DN100" s="70" t="e">
        <f t="shared" si="13"/>
        <v>#REF!</v>
      </c>
    </row>
    <row r="101" spans="1:118" ht="108" customHeight="1">
      <c r="A101" s="122" t="e">
        <f>Summary!A101</f>
        <v>#REF!</v>
      </c>
      <c r="B101" s="64" t="s">
        <v>233</v>
      </c>
      <c r="C101" s="65" t="e">
        <f>Summary!B101</f>
        <v>#REF!</v>
      </c>
      <c r="D101" s="122"/>
      <c r="E101" s="64" t="s">
        <v>235</v>
      </c>
      <c r="F101" s="132" t="e">
        <f>Summary!C101</f>
        <v>#REF!</v>
      </c>
      <c r="G101" s="64" t="s">
        <v>236</v>
      </c>
      <c r="H101" s="132" t="e">
        <f>Summary!D101</f>
        <v>#REF!</v>
      </c>
      <c r="I101" s="64" t="s">
        <v>237</v>
      </c>
      <c r="J101" s="66">
        <f>Summary!E101</f>
        <v>8</v>
      </c>
      <c r="K101" s="64" t="s">
        <v>238</v>
      </c>
      <c r="L101" s="132" t="e">
        <f>Summary!F101</f>
        <v>#REF!</v>
      </c>
      <c r="M101" s="64" t="s">
        <v>239</v>
      </c>
      <c r="N101" s="132" t="e">
        <f>Summary!G101</f>
        <v>#REF!</v>
      </c>
      <c r="O101" s="64" t="s">
        <v>240</v>
      </c>
      <c r="P101" s="132" t="e">
        <f>Summary!H101</f>
        <v>#REF!</v>
      </c>
      <c r="Q101" s="65" t="s">
        <v>277</v>
      </c>
      <c r="R101" s="70" t="e">
        <f t="shared" si="7"/>
        <v>#REF!</v>
      </c>
      <c r="S101" s="64" t="s">
        <v>243</v>
      </c>
      <c r="T101" s="122"/>
      <c r="U101" s="71" t="s">
        <v>244</v>
      </c>
      <c r="V101" s="72" t="e">
        <f xml:space="preserve"> _xlfn.TEXTJOIN(" ", FALSE,#REF!)</f>
        <v>#REF!</v>
      </c>
      <c r="W101" s="122"/>
      <c r="X101" s="71" t="s">
        <v>245</v>
      </c>
      <c r="Y101" s="72" t="e">
        <f xml:space="preserve"> _xlfn.TEXTJOIN(" ", FALSE,#REF!)</f>
        <v>#REF!</v>
      </c>
      <c r="Z101" s="122"/>
      <c r="AA101" s="71" t="s">
        <v>246</v>
      </c>
      <c r="AB101" s="72" t="e">
        <f xml:space="preserve"> _xlfn.TEXTJOIN(" ", FALSE,#REF!)</f>
        <v>#REF!</v>
      </c>
      <c r="AC101" s="122"/>
      <c r="AD101" s="71" t="s">
        <v>247</v>
      </c>
      <c r="AE101" s="72" t="e">
        <f xml:space="preserve"> _xlfn.TEXTJOIN(" ", FALSE,#REF!)</f>
        <v>#REF!</v>
      </c>
      <c r="AF101" s="122"/>
      <c r="AG101" s="71" t="s">
        <v>248</v>
      </c>
      <c r="AH101" s="73" t="e">
        <f xml:space="preserve"> _xlfn.TEXTJOIN(" ", FALSE,#REF!)</f>
        <v>#REF!</v>
      </c>
      <c r="AI101" s="122"/>
      <c r="AJ101" s="71" t="s">
        <v>249</v>
      </c>
      <c r="AK101" s="73" t="e">
        <f xml:space="preserve"> _xlfn.TEXTJOIN(" ", FALSE,#REF!)</f>
        <v>#REF!</v>
      </c>
      <c r="AL101" s="122"/>
      <c r="AM101" s="71" t="s">
        <v>250</v>
      </c>
      <c r="AN101" s="73" t="e">
        <f xml:space="preserve"> _xlfn.TEXTJOIN(" ", FALSE,#REF!)</f>
        <v>#REF!</v>
      </c>
      <c r="AO101" s="122"/>
      <c r="AP101" s="71" t="s">
        <v>251</v>
      </c>
      <c r="AQ101" s="72" t="e">
        <f xml:space="preserve"> _xlfn.TEXTJOIN(" ", FALSE,#REF!)</f>
        <v>#REF!</v>
      </c>
      <c r="AR101" s="122"/>
      <c r="AS101" s="71" t="s">
        <v>252</v>
      </c>
      <c r="AT101" s="72" t="e">
        <f xml:space="preserve"> _xlfn.TEXTJOIN(" ", FALSE,#REF!)</f>
        <v>#REF!</v>
      </c>
      <c r="AU101" s="122"/>
      <c r="AV101" s="71" t="s">
        <v>253</v>
      </c>
      <c r="AW101" s="73" t="e">
        <f xml:space="preserve"> _xlfn.TEXTJOIN(" ", FALSE,#REF!)</f>
        <v>#REF!</v>
      </c>
      <c r="AX101" s="122"/>
      <c r="AY101" s="71" t="s">
        <v>254</v>
      </c>
      <c r="AZ101" s="72" t="e">
        <f xml:space="preserve"> _xlfn.TEXTJOIN(" ", FALSE,#REF!)</f>
        <v>#REF!</v>
      </c>
      <c r="BA101" s="122"/>
      <c r="BB101" s="71" t="s">
        <v>255</v>
      </c>
      <c r="BC101" s="72" t="e">
        <f xml:space="preserve"> _xlfn.TEXTJOIN(" ", FALSE,#REF!)</f>
        <v>#REF!</v>
      </c>
      <c r="BD101" s="122"/>
      <c r="BE101" s="71" t="s">
        <v>256</v>
      </c>
      <c r="BF101" s="72" t="e">
        <f xml:space="preserve"> _xlfn.TEXTJOIN(" ", FALSE,#REF!)</f>
        <v>#REF!</v>
      </c>
      <c r="BG101" s="65" t="s">
        <v>277</v>
      </c>
      <c r="BH101" s="70" t="e">
        <f t="shared" si="8"/>
        <v>#REF!</v>
      </c>
      <c r="BI101" s="64" t="s">
        <v>257</v>
      </c>
      <c r="BJ101" s="122"/>
      <c r="BK101" s="71" t="s">
        <v>258</v>
      </c>
      <c r="BL101" s="74" t="str">
        <f>_xlfn.TEXTJOIN(" ", FALSE, 'Task 2a - Mitigating the Proble'!U101:AC101)</f>
        <v xml:space="preserve">1 1 1 1 1 1 0 0 </v>
      </c>
      <c r="BM101" s="65" t="s">
        <v>277</v>
      </c>
      <c r="BN101" s="70" t="str">
        <f t="shared" si="9"/>
        <v>[Details for Task 2a:]  /Question 12: 1 1 1 1 1 1 0 0  .</v>
      </c>
      <c r="BO101" s="64" t="s">
        <v>259</v>
      </c>
      <c r="BP101" s="122"/>
      <c r="BQ101" s="71" t="s">
        <v>260</v>
      </c>
      <c r="BR101" s="73" t="e">
        <f xml:space="preserve"> _xlfn.TEXTJOIN(" ", FALSE,#REF!)</f>
        <v>#REF!</v>
      </c>
      <c r="BS101" s="122"/>
      <c r="BT101" s="71" t="s">
        <v>261</v>
      </c>
      <c r="BU101" s="73" t="e">
        <f xml:space="preserve"> _xlfn.TEXTJOIN(" ", FALSE,#REF!)</f>
        <v>#REF!</v>
      </c>
      <c r="BV101" s="122"/>
      <c r="BW101" s="71" t="s">
        <v>262</v>
      </c>
      <c r="BX101" s="73" t="e">
        <f xml:space="preserve"> _xlfn.TEXTJOIN(" ", FALSE,#REF!)</f>
        <v>#REF!</v>
      </c>
      <c r="BY101" s="122"/>
      <c r="BZ101" s="71" t="s">
        <v>263</v>
      </c>
      <c r="CA101" s="73" t="e">
        <f xml:space="preserve"> _xlfn.TEXTJOIN(" ", FALSE,#REF!)</f>
        <v>#REF!</v>
      </c>
      <c r="CB101" s="122"/>
      <c r="CC101" s="71" t="s">
        <v>264</v>
      </c>
      <c r="CD101" s="73" t="e">
        <f xml:space="preserve"> _xlfn.TEXTJOIN(" ", FALSE,#REF!)</f>
        <v>#REF!</v>
      </c>
      <c r="CE101" s="122"/>
      <c r="CF101" s="71" t="s">
        <v>265</v>
      </c>
      <c r="CG101" s="73" t="e">
        <f xml:space="preserve"> _xlfn.TEXTJOIN(" ", FALSE,#REF!)</f>
        <v>#REF!</v>
      </c>
      <c r="CH101" s="122"/>
      <c r="CI101" s="74" t="s">
        <v>278</v>
      </c>
      <c r="CJ101" s="73" t="e">
        <f xml:space="preserve"> _xlfn.TEXTJOIN(" ", FALSE,#REF!)</f>
        <v>#REF!</v>
      </c>
      <c r="CK101" s="65" t="s">
        <v>277</v>
      </c>
      <c r="CL101" s="70" t="e">
        <f t="shared" si="10"/>
        <v>#REF!</v>
      </c>
      <c r="CM101" s="64" t="s">
        <v>267</v>
      </c>
      <c r="CN101" s="122"/>
      <c r="CO101" s="71" t="s">
        <v>268</v>
      </c>
      <c r="CP101" s="73" t="e">
        <f xml:space="preserve"> _xlfn.TEXTJOIN(" ", FALSE,#REF!)</f>
        <v>#REF!</v>
      </c>
      <c r="CQ101" s="122"/>
      <c r="CR101" s="71" t="s">
        <v>269</v>
      </c>
      <c r="CS101" s="73" t="e">
        <f xml:space="preserve"> _xlfn.TEXTJOIN(" ", FALSE,#REF!)</f>
        <v>#REF!</v>
      </c>
      <c r="CT101" s="122"/>
      <c r="CU101" s="71" t="s">
        <v>270</v>
      </c>
      <c r="CV101" s="72" t="e">
        <f xml:space="preserve"> _xlfn.TEXTJOIN(" ", FALSE,#REF!)</f>
        <v>#REF!</v>
      </c>
      <c r="CW101" s="122"/>
      <c r="CX101" s="71" t="s">
        <v>271</v>
      </c>
      <c r="CY101" s="72" t="e">
        <f xml:space="preserve"> _xlfn.TEXTJOIN(" ", FALSE,#REF!)</f>
        <v>#REF!</v>
      </c>
      <c r="CZ101" s="122"/>
      <c r="DA101" s="71" t="s">
        <v>272</v>
      </c>
      <c r="DB101" s="73" t="e">
        <f xml:space="preserve"> _xlfn.TEXTJOIN(" ", FALSE,#REF!)</f>
        <v>#REF!</v>
      </c>
      <c r="DC101" s="65" t="s">
        <v>277</v>
      </c>
      <c r="DD101" s="70" t="e">
        <f t="shared" si="11"/>
        <v>#REF!</v>
      </c>
      <c r="DE101" s="64" t="s">
        <v>273</v>
      </c>
      <c r="DF101" s="122"/>
      <c r="DG101" s="71" t="s">
        <v>274</v>
      </c>
      <c r="DH101" s="72" t="e">
        <f xml:space="preserve"> _xlfn.TEXTJOIN(" ", FALSE,#REF!)</f>
        <v>#REF!</v>
      </c>
      <c r="DI101" s="122"/>
      <c r="DJ101" s="71" t="s">
        <v>275</v>
      </c>
      <c r="DK101" s="73" t="e">
        <f xml:space="preserve"> _xlfn.TEXTJOIN(" ", FALSE,#REF!)</f>
        <v>#REF!</v>
      </c>
      <c r="DL101" s="65" t="s">
        <v>277</v>
      </c>
      <c r="DM101" s="70" t="e">
        <f t="shared" si="12"/>
        <v>#REF!</v>
      </c>
      <c r="DN101" s="70" t="e">
        <f t="shared" si="13"/>
        <v>#REF!</v>
      </c>
    </row>
    <row r="102" spans="1:118" ht="108" customHeight="1">
      <c r="A102" s="122" t="e">
        <f>Summary!A102</f>
        <v>#REF!</v>
      </c>
      <c r="B102" s="64" t="s">
        <v>233</v>
      </c>
      <c r="C102" s="65" t="e">
        <f>Summary!B102</f>
        <v>#REF!</v>
      </c>
      <c r="D102" s="122"/>
      <c r="E102" s="64" t="s">
        <v>235</v>
      </c>
      <c r="F102" s="132" t="e">
        <f>Summary!C102</f>
        <v>#REF!</v>
      </c>
      <c r="G102" s="64" t="s">
        <v>236</v>
      </c>
      <c r="H102" s="132" t="e">
        <f>Summary!D102</f>
        <v>#REF!</v>
      </c>
      <c r="I102" s="64" t="s">
        <v>237</v>
      </c>
      <c r="J102" s="66">
        <f>Summary!E102</f>
        <v>7</v>
      </c>
      <c r="K102" s="64" t="s">
        <v>238</v>
      </c>
      <c r="L102" s="132" t="e">
        <f>Summary!F102</f>
        <v>#REF!</v>
      </c>
      <c r="M102" s="64" t="s">
        <v>239</v>
      </c>
      <c r="N102" s="132" t="e">
        <f>Summary!G102</f>
        <v>#REF!</v>
      </c>
      <c r="O102" s="64" t="s">
        <v>240</v>
      </c>
      <c r="P102" s="132" t="e">
        <f>Summary!H102</f>
        <v>#REF!</v>
      </c>
      <c r="Q102" s="65" t="s">
        <v>277</v>
      </c>
      <c r="R102" s="70" t="e">
        <f t="shared" si="7"/>
        <v>#REF!</v>
      </c>
      <c r="S102" s="64" t="s">
        <v>243</v>
      </c>
      <c r="T102" s="122"/>
      <c r="U102" s="71" t="s">
        <v>244</v>
      </c>
      <c r="V102" s="72" t="e">
        <f xml:space="preserve"> _xlfn.TEXTJOIN(" ", FALSE,#REF!)</f>
        <v>#REF!</v>
      </c>
      <c r="W102" s="122"/>
      <c r="X102" s="71" t="s">
        <v>245</v>
      </c>
      <c r="Y102" s="72" t="e">
        <f xml:space="preserve"> _xlfn.TEXTJOIN(" ", FALSE,#REF!)</f>
        <v>#REF!</v>
      </c>
      <c r="Z102" s="122"/>
      <c r="AA102" s="71" t="s">
        <v>246</v>
      </c>
      <c r="AB102" s="72" t="e">
        <f xml:space="preserve"> _xlfn.TEXTJOIN(" ", FALSE,#REF!)</f>
        <v>#REF!</v>
      </c>
      <c r="AC102" s="122"/>
      <c r="AD102" s="71" t="s">
        <v>247</v>
      </c>
      <c r="AE102" s="72" t="e">
        <f xml:space="preserve"> _xlfn.TEXTJOIN(" ", FALSE,#REF!)</f>
        <v>#REF!</v>
      </c>
      <c r="AF102" s="122"/>
      <c r="AG102" s="71" t="s">
        <v>248</v>
      </c>
      <c r="AH102" s="73" t="e">
        <f xml:space="preserve"> _xlfn.TEXTJOIN(" ", FALSE,#REF!)</f>
        <v>#REF!</v>
      </c>
      <c r="AI102" s="122"/>
      <c r="AJ102" s="71" t="s">
        <v>249</v>
      </c>
      <c r="AK102" s="73" t="e">
        <f xml:space="preserve"> _xlfn.TEXTJOIN(" ", FALSE,#REF!)</f>
        <v>#REF!</v>
      </c>
      <c r="AL102" s="122"/>
      <c r="AM102" s="71" t="s">
        <v>250</v>
      </c>
      <c r="AN102" s="73" t="e">
        <f xml:space="preserve"> _xlfn.TEXTJOIN(" ", FALSE,#REF!)</f>
        <v>#REF!</v>
      </c>
      <c r="AO102" s="122"/>
      <c r="AP102" s="71" t="s">
        <v>251</v>
      </c>
      <c r="AQ102" s="72" t="e">
        <f xml:space="preserve"> _xlfn.TEXTJOIN(" ", FALSE,#REF!)</f>
        <v>#REF!</v>
      </c>
      <c r="AR102" s="122"/>
      <c r="AS102" s="71" t="s">
        <v>252</v>
      </c>
      <c r="AT102" s="72" t="e">
        <f xml:space="preserve"> _xlfn.TEXTJOIN(" ", FALSE,#REF!)</f>
        <v>#REF!</v>
      </c>
      <c r="AU102" s="122"/>
      <c r="AV102" s="71" t="s">
        <v>253</v>
      </c>
      <c r="AW102" s="73" t="e">
        <f xml:space="preserve"> _xlfn.TEXTJOIN(" ", FALSE,#REF!)</f>
        <v>#REF!</v>
      </c>
      <c r="AX102" s="122"/>
      <c r="AY102" s="71" t="s">
        <v>254</v>
      </c>
      <c r="AZ102" s="72" t="e">
        <f xml:space="preserve"> _xlfn.TEXTJOIN(" ", FALSE,#REF!)</f>
        <v>#REF!</v>
      </c>
      <c r="BA102" s="122"/>
      <c r="BB102" s="71" t="s">
        <v>255</v>
      </c>
      <c r="BC102" s="72" t="e">
        <f xml:space="preserve"> _xlfn.TEXTJOIN(" ", FALSE,#REF!)</f>
        <v>#REF!</v>
      </c>
      <c r="BD102" s="122"/>
      <c r="BE102" s="71" t="s">
        <v>256</v>
      </c>
      <c r="BF102" s="72" t="e">
        <f xml:space="preserve"> _xlfn.TEXTJOIN(" ", FALSE,#REF!)</f>
        <v>#REF!</v>
      </c>
      <c r="BG102" s="65" t="s">
        <v>277</v>
      </c>
      <c r="BH102" s="70" t="e">
        <f t="shared" si="8"/>
        <v>#REF!</v>
      </c>
      <c r="BI102" s="64" t="s">
        <v>257</v>
      </c>
      <c r="BJ102" s="122"/>
      <c r="BK102" s="71" t="s">
        <v>258</v>
      </c>
      <c r="BL102" s="74" t="str">
        <f>_xlfn.TEXTJOIN(" ", FALSE, 'Task 2a - Mitigating the Proble'!U102:AC102)</f>
        <v xml:space="preserve">1 0 1 1 1 1 0 0 </v>
      </c>
      <c r="BM102" s="65" t="s">
        <v>277</v>
      </c>
      <c r="BN102" s="70" t="str">
        <f t="shared" si="9"/>
        <v>[Details for Task 2a:]  /Question 12: 1 0 1 1 1 1 0 0  .</v>
      </c>
      <c r="BO102" s="64" t="s">
        <v>259</v>
      </c>
      <c r="BP102" s="122"/>
      <c r="BQ102" s="71" t="s">
        <v>260</v>
      </c>
      <c r="BR102" s="73" t="e">
        <f xml:space="preserve"> _xlfn.TEXTJOIN(" ", FALSE,#REF!)</f>
        <v>#REF!</v>
      </c>
      <c r="BS102" s="122"/>
      <c r="BT102" s="71" t="s">
        <v>261</v>
      </c>
      <c r="BU102" s="73" t="e">
        <f xml:space="preserve"> _xlfn.TEXTJOIN(" ", FALSE,#REF!)</f>
        <v>#REF!</v>
      </c>
      <c r="BV102" s="122"/>
      <c r="BW102" s="71" t="s">
        <v>262</v>
      </c>
      <c r="BX102" s="73" t="e">
        <f xml:space="preserve"> _xlfn.TEXTJOIN(" ", FALSE,#REF!)</f>
        <v>#REF!</v>
      </c>
      <c r="BY102" s="122"/>
      <c r="BZ102" s="71" t="s">
        <v>263</v>
      </c>
      <c r="CA102" s="73" t="e">
        <f xml:space="preserve"> _xlfn.TEXTJOIN(" ", FALSE,#REF!)</f>
        <v>#REF!</v>
      </c>
      <c r="CB102" s="122"/>
      <c r="CC102" s="71" t="s">
        <v>264</v>
      </c>
      <c r="CD102" s="73" t="e">
        <f xml:space="preserve"> _xlfn.TEXTJOIN(" ", FALSE,#REF!)</f>
        <v>#REF!</v>
      </c>
      <c r="CE102" s="122"/>
      <c r="CF102" s="71" t="s">
        <v>265</v>
      </c>
      <c r="CG102" s="73" t="e">
        <f xml:space="preserve"> _xlfn.TEXTJOIN(" ", FALSE,#REF!)</f>
        <v>#REF!</v>
      </c>
      <c r="CH102" s="122"/>
      <c r="CI102" s="74" t="s">
        <v>278</v>
      </c>
      <c r="CJ102" s="73" t="e">
        <f xml:space="preserve"> _xlfn.TEXTJOIN(" ", FALSE,#REF!)</f>
        <v>#REF!</v>
      </c>
      <c r="CK102" s="65" t="s">
        <v>277</v>
      </c>
      <c r="CL102" s="70" t="e">
        <f t="shared" si="10"/>
        <v>#REF!</v>
      </c>
      <c r="CM102" s="64" t="s">
        <v>267</v>
      </c>
      <c r="CN102" s="122"/>
      <c r="CO102" s="71" t="s">
        <v>268</v>
      </c>
      <c r="CP102" s="73" t="e">
        <f xml:space="preserve"> _xlfn.TEXTJOIN(" ", FALSE,#REF!)</f>
        <v>#REF!</v>
      </c>
      <c r="CQ102" s="122"/>
      <c r="CR102" s="71" t="s">
        <v>269</v>
      </c>
      <c r="CS102" s="73" t="e">
        <f xml:space="preserve"> _xlfn.TEXTJOIN(" ", FALSE,#REF!)</f>
        <v>#REF!</v>
      </c>
      <c r="CT102" s="122"/>
      <c r="CU102" s="71" t="s">
        <v>270</v>
      </c>
      <c r="CV102" s="72" t="e">
        <f xml:space="preserve"> _xlfn.TEXTJOIN(" ", FALSE,#REF!)</f>
        <v>#REF!</v>
      </c>
      <c r="CW102" s="122"/>
      <c r="CX102" s="71" t="s">
        <v>271</v>
      </c>
      <c r="CY102" s="72" t="e">
        <f xml:space="preserve"> _xlfn.TEXTJOIN(" ", FALSE,#REF!)</f>
        <v>#REF!</v>
      </c>
      <c r="CZ102" s="122"/>
      <c r="DA102" s="71" t="s">
        <v>272</v>
      </c>
      <c r="DB102" s="73" t="e">
        <f xml:space="preserve"> _xlfn.TEXTJOIN(" ", FALSE,#REF!)</f>
        <v>#REF!</v>
      </c>
      <c r="DC102" s="65" t="s">
        <v>277</v>
      </c>
      <c r="DD102" s="70" t="e">
        <f t="shared" si="11"/>
        <v>#REF!</v>
      </c>
      <c r="DE102" s="64" t="s">
        <v>273</v>
      </c>
      <c r="DF102" s="122"/>
      <c r="DG102" s="71" t="s">
        <v>274</v>
      </c>
      <c r="DH102" s="72" t="e">
        <f xml:space="preserve"> _xlfn.TEXTJOIN(" ", FALSE,#REF!)</f>
        <v>#REF!</v>
      </c>
      <c r="DI102" s="122"/>
      <c r="DJ102" s="71" t="s">
        <v>275</v>
      </c>
      <c r="DK102" s="73" t="e">
        <f xml:space="preserve"> _xlfn.TEXTJOIN(" ", FALSE,#REF!)</f>
        <v>#REF!</v>
      </c>
      <c r="DL102" s="65" t="s">
        <v>277</v>
      </c>
      <c r="DM102" s="70" t="e">
        <f t="shared" si="12"/>
        <v>#REF!</v>
      </c>
      <c r="DN102" s="70" t="e">
        <f t="shared" si="13"/>
        <v>#REF!</v>
      </c>
    </row>
    <row r="103" spans="1:118" ht="108" customHeight="1">
      <c r="A103" s="122" t="e">
        <f>Summary!A103</f>
        <v>#REF!</v>
      </c>
      <c r="B103" s="64" t="s">
        <v>233</v>
      </c>
      <c r="C103" s="65" t="e">
        <f>Summary!B103</f>
        <v>#REF!</v>
      </c>
      <c r="D103" s="122"/>
      <c r="E103" s="64" t="s">
        <v>235</v>
      </c>
      <c r="F103" s="132" t="e">
        <f>Summary!C103</f>
        <v>#REF!</v>
      </c>
      <c r="G103" s="64" t="s">
        <v>236</v>
      </c>
      <c r="H103" s="132" t="e">
        <f>Summary!D103</f>
        <v>#REF!</v>
      </c>
      <c r="I103" s="64" t="s">
        <v>237</v>
      </c>
      <c r="J103" s="66">
        <f>Summary!E103</f>
        <v>6</v>
      </c>
      <c r="K103" s="64" t="s">
        <v>238</v>
      </c>
      <c r="L103" s="132" t="e">
        <f>Summary!F103</f>
        <v>#REF!</v>
      </c>
      <c r="M103" s="64" t="s">
        <v>239</v>
      </c>
      <c r="N103" s="132" t="e">
        <f>Summary!G103</f>
        <v>#REF!</v>
      </c>
      <c r="O103" s="64" t="s">
        <v>240</v>
      </c>
      <c r="P103" s="132" t="e">
        <f>Summary!H103</f>
        <v>#REF!</v>
      </c>
      <c r="Q103" s="65" t="s">
        <v>277</v>
      </c>
      <c r="R103" s="70" t="e">
        <f t="shared" si="7"/>
        <v>#REF!</v>
      </c>
      <c r="S103" s="64" t="s">
        <v>243</v>
      </c>
      <c r="T103" s="122"/>
      <c r="U103" s="71" t="s">
        <v>244</v>
      </c>
      <c r="V103" s="72" t="e">
        <f xml:space="preserve"> _xlfn.TEXTJOIN(" ", FALSE,#REF!)</f>
        <v>#REF!</v>
      </c>
      <c r="W103" s="122"/>
      <c r="X103" s="71" t="s">
        <v>245</v>
      </c>
      <c r="Y103" s="72" t="e">
        <f xml:space="preserve"> _xlfn.TEXTJOIN(" ", FALSE,#REF!)</f>
        <v>#REF!</v>
      </c>
      <c r="Z103" s="122"/>
      <c r="AA103" s="71" t="s">
        <v>246</v>
      </c>
      <c r="AB103" s="72" t="e">
        <f xml:space="preserve"> _xlfn.TEXTJOIN(" ", FALSE,#REF!)</f>
        <v>#REF!</v>
      </c>
      <c r="AC103" s="122"/>
      <c r="AD103" s="71" t="s">
        <v>247</v>
      </c>
      <c r="AE103" s="72" t="e">
        <f xml:space="preserve"> _xlfn.TEXTJOIN(" ", FALSE,#REF!)</f>
        <v>#REF!</v>
      </c>
      <c r="AF103" s="122"/>
      <c r="AG103" s="71" t="s">
        <v>248</v>
      </c>
      <c r="AH103" s="73" t="e">
        <f xml:space="preserve"> _xlfn.TEXTJOIN(" ", FALSE,#REF!)</f>
        <v>#REF!</v>
      </c>
      <c r="AI103" s="122"/>
      <c r="AJ103" s="71" t="s">
        <v>249</v>
      </c>
      <c r="AK103" s="73" t="e">
        <f xml:space="preserve"> _xlfn.TEXTJOIN(" ", FALSE,#REF!)</f>
        <v>#REF!</v>
      </c>
      <c r="AL103" s="122"/>
      <c r="AM103" s="71" t="s">
        <v>250</v>
      </c>
      <c r="AN103" s="73" t="e">
        <f xml:space="preserve"> _xlfn.TEXTJOIN(" ", FALSE,#REF!)</f>
        <v>#REF!</v>
      </c>
      <c r="AO103" s="122"/>
      <c r="AP103" s="71" t="s">
        <v>251</v>
      </c>
      <c r="AQ103" s="72" t="e">
        <f xml:space="preserve"> _xlfn.TEXTJOIN(" ", FALSE,#REF!)</f>
        <v>#REF!</v>
      </c>
      <c r="AR103" s="122"/>
      <c r="AS103" s="71" t="s">
        <v>252</v>
      </c>
      <c r="AT103" s="72" t="e">
        <f xml:space="preserve"> _xlfn.TEXTJOIN(" ", FALSE,#REF!)</f>
        <v>#REF!</v>
      </c>
      <c r="AU103" s="122"/>
      <c r="AV103" s="71" t="s">
        <v>253</v>
      </c>
      <c r="AW103" s="73" t="e">
        <f xml:space="preserve"> _xlfn.TEXTJOIN(" ", FALSE,#REF!)</f>
        <v>#REF!</v>
      </c>
      <c r="AX103" s="122"/>
      <c r="AY103" s="71" t="s">
        <v>254</v>
      </c>
      <c r="AZ103" s="72" t="e">
        <f xml:space="preserve"> _xlfn.TEXTJOIN(" ", FALSE,#REF!)</f>
        <v>#REF!</v>
      </c>
      <c r="BA103" s="122"/>
      <c r="BB103" s="71" t="s">
        <v>255</v>
      </c>
      <c r="BC103" s="72" t="e">
        <f xml:space="preserve"> _xlfn.TEXTJOIN(" ", FALSE,#REF!)</f>
        <v>#REF!</v>
      </c>
      <c r="BD103" s="122"/>
      <c r="BE103" s="71" t="s">
        <v>256</v>
      </c>
      <c r="BF103" s="72" t="e">
        <f xml:space="preserve"> _xlfn.TEXTJOIN(" ", FALSE,#REF!)</f>
        <v>#REF!</v>
      </c>
      <c r="BG103" s="65" t="s">
        <v>277</v>
      </c>
      <c r="BH103" s="70" t="e">
        <f t="shared" si="8"/>
        <v>#REF!</v>
      </c>
      <c r="BI103" s="64" t="s">
        <v>257</v>
      </c>
      <c r="BJ103" s="122"/>
      <c r="BK103" s="71" t="s">
        <v>258</v>
      </c>
      <c r="BL103" s="74" t="str">
        <f>_xlfn.TEXTJOIN(" ", FALSE, 'Task 2a - Mitigating the Proble'!U103:AC103)</f>
        <v xml:space="preserve">1 0 0 0 1 1 0 0 </v>
      </c>
      <c r="BM103" s="65" t="s">
        <v>277</v>
      </c>
      <c r="BN103" s="70" t="str">
        <f t="shared" si="9"/>
        <v>[Details for Task 2a:]  /Question 12: 1 0 0 0 1 1 0 0  .</v>
      </c>
      <c r="BO103" s="64" t="s">
        <v>259</v>
      </c>
      <c r="BP103" s="122"/>
      <c r="BQ103" s="71" t="s">
        <v>260</v>
      </c>
      <c r="BR103" s="73" t="e">
        <f xml:space="preserve"> _xlfn.TEXTJOIN(" ", FALSE,#REF!)</f>
        <v>#REF!</v>
      </c>
      <c r="BS103" s="122"/>
      <c r="BT103" s="71" t="s">
        <v>261</v>
      </c>
      <c r="BU103" s="73" t="e">
        <f xml:space="preserve"> _xlfn.TEXTJOIN(" ", FALSE,#REF!)</f>
        <v>#REF!</v>
      </c>
      <c r="BV103" s="122"/>
      <c r="BW103" s="71" t="s">
        <v>262</v>
      </c>
      <c r="BX103" s="73" t="e">
        <f xml:space="preserve"> _xlfn.TEXTJOIN(" ", FALSE,#REF!)</f>
        <v>#REF!</v>
      </c>
      <c r="BY103" s="122"/>
      <c r="BZ103" s="71" t="s">
        <v>263</v>
      </c>
      <c r="CA103" s="73" t="e">
        <f xml:space="preserve"> _xlfn.TEXTJOIN(" ", FALSE,#REF!)</f>
        <v>#REF!</v>
      </c>
      <c r="CB103" s="122"/>
      <c r="CC103" s="71" t="s">
        <v>264</v>
      </c>
      <c r="CD103" s="73" t="e">
        <f xml:space="preserve"> _xlfn.TEXTJOIN(" ", FALSE,#REF!)</f>
        <v>#REF!</v>
      </c>
      <c r="CE103" s="122"/>
      <c r="CF103" s="71" t="s">
        <v>265</v>
      </c>
      <c r="CG103" s="73" t="e">
        <f xml:space="preserve"> _xlfn.TEXTJOIN(" ", FALSE,#REF!)</f>
        <v>#REF!</v>
      </c>
      <c r="CH103" s="122"/>
      <c r="CI103" s="74" t="s">
        <v>278</v>
      </c>
      <c r="CJ103" s="73" t="e">
        <f xml:space="preserve"> _xlfn.TEXTJOIN(" ", FALSE,#REF!)</f>
        <v>#REF!</v>
      </c>
      <c r="CK103" s="65" t="s">
        <v>277</v>
      </c>
      <c r="CL103" s="70" t="e">
        <f t="shared" si="10"/>
        <v>#REF!</v>
      </c>
      <c r="CM103" s="64" t="s">
        <v>267</v>
      </c>
      <c r="CN103" s="122"/>
      <c r="CO103" s="71" t="s">
        <v>268</v>
      </c>
      <c r="CP103" s="73" t="e">
        <f xml:space="preserve"> _xlfn.TEXTJOIN(" ", FALSE,#REF!)</f>
        <v>#REF!</v>
      </c>
      <c r="CQ103" s="122"/>
      <c r="CR103" s="71" t="s">
        <v>269</v>
      </c>
      <c r="CS103" s="73" t="e">
        <f xml:space="preserve"> _xlfn.TEXTJOIN(" ", FALSE,#REF!)</f>
        <v>#REF!</v>
      </c>
      <c r="CT103" s="122"/>
      <c r="CU103" s="71" t="s">
        <v>270</v>
      </c>
      <c r="CV103" s="72" t="e">
        <f xml:space="preserve"> _xlfn.TEXTJOIN(" ", FALSE,#REF!)</f>
        <v>#REF!</v>
      </c>
      <c r="CW103" s="122"/>
      <c r="CX103" s="71" t="s">
        <v>271</v>
      </c>
      <c r="CY103" s="72" t="e">
        <f xml:space="preserve"> _xlfn.TEXTJOIN(" ", FALSE,#REF!)</f>
        <v>#REF!</v>
      </c>
      <c r="CZ103" s="122"/>
      <c r="DA103" s="71" t="s">
        <v>272</v>
      </c>
      <c r="DB103" s="73" t="e">
        <f xml:space="preserve"> _xlfn.TEXTJOIN(" ", FALSE,#REF!)</f>
        <v>#REF!</v>
      </c>
      <c r="DC103" s="65" t="s">
        <v>277</v>
      </c>
      <c r="DD103" s="70" t="e">
        <f t="shared" si="11"/>
        <v>#REF!</v>
      </c>
      <c r="DE103" s="64" t="s">
        <v>273</v>
      </c>
      <c r="DF103" s="122"/>
      <c r="DG103" s="71" t="s">
        <v>274</v>
      </c>
      <c r="DH103" s="72" t="e">
        <f xml:space="preserve"> _xlfn.TEXTJOIN(" ", FALSE,#REF!)</f>
        <v>#REF!</v>
      </c>
      <c r="DI103" s="122"/>
      <c r="DJ103" s="71" t="s">
        <v>275</v>
      </c>
      <c r="DK103" s="73" t="e">
        <f xml:space="preserve"> _xlfn.TEXTJOIN(" ", FALSE,#REF!)</f>
        <v>#REF!</v>
      </c>
      <c r="DL103" s="65" t="s">
        <v>277</v>
      </c>
      <c r="DM103" s="70" t="e">
        <f t="shared" si="12"/>
        <v>#REF!</v>
      </c>
      <c r="DN103" s="70" t="e">
        <f t="shared" si="13"/>
        <v>#REF!</v>
      </c>
    </row>
    <row r="104" spans="1:118" ht="108" customHeight="1">
      <c r="A104" s="122" t="e">
        <f>Summary!A104</f>
        <v>#REF!</v>
      </c>
      <c r="B104" s="64" t="s">
        <v>233</v>
      </c>
      <c r="C104" s="65" t="e">
        <f>Summary!B104</f>
        <v>#REF!</v>
      </c>
      <c r="D104" s="122"/>
      <c r="E104" s="64" t="s">
        <v>235</v>
      </c>
      <c r="F104" s="132" t="e">
        <f>Summary!C104</f>
        <v>#REF!</v>
      </c>
      <c r="G104" s="64" t="s">
        <v>236</v>
      </c>
      <c r="H104" s="132" t="e">
        <f>Summary!D104</f>
        <v>#REF!</v>
      </c>
      <c r="I104" s="64" t="s">
        <v>237</v>
      </c>
      <c r="J104" s="66">
        <f>Summary!E104</f>
        <v>6</v>
      </c>
      <c r="K104" s="64" t="s">
        <v>238</v>
      </c>
      <c r="L104" s="132" t="e">
        <f>Summary!F104</f>
        <v>#REF!</v>
      </c>
      <c r="M104" s="64" t="s">
        <v>239</v>
      </c>
      <c r="N104" s="132" t="e">
        <f>Summary!G104</f>
        <v>#REF!</v>
      </c>
      <c r="O104" s="64" t="s">
        <v>240</v>
      </c>
      <c r="P104" s="132" t="e">
        <f>Summary!H104</f>
        <v>#REF!</v>
      </c>
      <c r="Q104" s="65" t="s">
        <v>277</v>
      </c>
      <c r="R104" s="70" t="e">
        <f t="shared" si="7"/>
        <v>#REF!</v>
      </c>
      <c r="S104" s="64" t="s">
        <v>243</v>
      </c>
      <c r="T104" s="122"/>
      <c r="U104" s="71" t="s">
        <v>244</v>
      </c>
      <c r="V104" s="72" t="e">
        <f xml:space="preserve"> _xlfn.TEXTJOIN(" ", FALSE,#REF!)</f>
        <v>#REF!</v>
      </c>
      <c r="W104" s="122"/>
      <c r="X104" s="71" t="s">
        <v>245</v>
      </c>
      <c r="Y104" s="72" t="e">
        <f xml:space="preserve"> _xlfn.TEXTJOIN(" ", FALSE,#REF!)</f>
        <v>#REF!</v>
      </c>
      <c r="Z104" s="122"/>
      <c r="AA104" s="71" t="s">
        <v>246</v>
      </c>
      <c r="AB104" s="72" t="e">
        <f xml:space="preserve"> _xlfn.TEXTJOIN(" ", FALSE,#REF!)</f>
        <v>#REF!</v>
      </c>
      <c r="AC104" s="122"/>
      <c r="AD104" s="71" t="s">
        <v>247</v>
      </c>
      <c r="AE104" s="72" t="e">
        <f xml:space="preserve"> _xlfn.TEXTJOIN(" ", FALSE,#REF!)</f>
        <v>#REF!</v>
      </c>
      <c r="AF104" s="122"/>
      <c r="AG104" s="71" t="s">
        <v>248</v>
      </c>
      <c r="AH104" s="73" t="e">
        <f xml:space="preserve"> _xlfn.TEXTJOIN(" ", FALSE,#REF!)</f>
        <v>#REF!</v>
      </c>
      <c r="AI104" s="122"/>
      <c r="AJ104" s="71" t="s">
        <v>249</v>
      </c>
      <c r="AK104" s="73" t="e">
        <f xml:space="preserve"> _xlfn.TEXTJOIN(" ", FALSE,#REF!)</f>
        <v>#REF!</v>
      </c>
      <c r="AL104" s="122"/>
      <c r="AM104" s="71" t="s">
        <v>250</v>
      </c>
      <c r="AN104" s="73" t="e">
        <f xml:space="preserve"> _xlfn.TEXTJOIN(" ", FALSE,#REF!)</f>
        <v>#REF!</v>
      </c>
      <c r="AO104" s="122"/>
      <c r="AP104" s="71" t="s">
        <v>251</v>
      </c>
      <c r="AQ104" s="72" t="e">
        <f xml:space="preserve"> _xlfn.TEXTJOIN(" ", FALSE,#REF!)</f>
        <v>#REF!</v>
      </c>
      <c r="AR104" s="122"/>
      <c r="AS104" s="71" t="s">
        <v>252</v>
      </c>
      <c r="AT104" s="72" t="e">
        <f xml:space="preserve"> _xlfn.TEXTJOIN(" ", FALSE,#REF!)</f>
        <v>#REF!</v>
      </c>
      <c r="AU104" s="122"/>
      <c r="AV104" s="71" t="s">
        <v>253</v>
      </c>
      <c r="AW104" s="73" t="e">
        <f xml:space="preserve"> _xlfn.TEXTJOIN(" ", FALSE,#REF!)</f>
        <v>#REF!</v>
      </c>
      <c r="AX104" s="122"/>
      <c r="AY104" s="71" t="s">
        <v>254</v>
      </c>
      <c r="AZ104" s="72" t="e">
        <f xml:space="preserve"> _xlfn.TEXTJOIN(" ", FALSE,#REF!)</f>
        <v>#REF!</v>
      </c>
      <c r="BA104" s="122"/>
      <c r="BB104" s="71" t="s">
        <v>255</v>
      </c>
      <c r="BC104" s="72" t="e">
        <f xml:space="preserve"> _xlfn.TEXTJOIN(" ", FALSE,#REF!)</f>
        <v>#REF!</v>
      </c>
      <c r="BD104" s="122"/>
      <c r="BE104" s="71" t="s">
        <v>256</v>
      </c>
      <c r="BF104" s="72" t="e">
        <f xml:space="preserve"> _xlfn.TEXTJOIN(" ", FALSE,#REF!)</f>
        <v>#REF!</v>
      </c>
      <c r="BG104" s="65" t="s">
        <v>277</v>
      </c>
      <c r="BH104" s="70" t="e">
        <f t="shared" si="8"/>
        <v>#REF!</v>
      </c>
      <c r="BI104" s="64" t="s">
        <v>257</v>
      </c>
      <c r="BJ104" s="122"/>
      <c r="BK104" s="71" t="s">
        <v>258</v>
      </c>
      <c r="BL104" s="74" t="str">
        <f>_xlfn.TEXTJOIN(" ", FALSE, 'Task 2a - Mitigating the Proble'!U104:AC104)</f>
        <v xml:space="preserve">1 0 1 1 0 1 0 0 </v>
      </c>
      <c r="BM104" s="65" t="s">
        <v>277</v>
      </c>
      <c r="BN104" s="70" t="str">
        <f t="shared" si="9"/>
        <v>[Details for Task 2a:]  /Question 12: 1 0 1 1 0 1 0 0  .</v>
      </c>
      <c r="BO104" s="64" t="s">
        <v>259</v>
      </c>
      <c r="BP104" s="122"/>
      <c r="BQ104" s="71" t="s">
        <v>260</v>
      </c>
      <c r="BR104" s="73" t="e">
        <f xml:space="preserve"> _xlfn.TEXTJOIN(" ", FALSE,#REF!)</f>
        <v>#REF!</v>
      </c>
      <c r="BS104" s="122"/>
      <c r="BT104" s="71" t="s">
        <v>261</v>
      </c>
      <c r="BU104" s="73" t="e">
        <f xml:space="preserve"> _xlfn.TEXTJOIN(" ", FALSE,#REF!)</f>
        <v>#REF!</v>
      </c>
      <c r="BV104" s="122"/>
      <c r="BW104" s="71" t="s">
        <v>262</v>
      </c>
      <c r="BX104" s="73" t="e">
        <f xml:space="preserve"> _xlfn.TEXTJOIN(" ", FALSE,#REF!)</f>
        <v>#REF!</v>
      </c>
      <c r="BY104" s="122"/>
      <c r="BZ104" s="71" t="s">
        <v>263</v>
      </c>
      <c r="CA104" s="73" t="e">
        <f xml:space="preserve"> _xlfn.TEXTJOIN(" ", FALSE,#REF!)</f>
        <v>#REF!</v>
      </c>
      <c r="CB104" s="122"/>
      <c r="CC104" s="71" t="s">
        <v>264</v>
      </c>
      <c r="CD104" s="73" t="e">
        <f xml:space="preserve"> _xlfn.TEXTJOIN(" ", FALSE,#REF!)</f>
        <v>#REF!</v>
      </c>
      <c r="CE104" s="122"/>
      <c r="CF104" s="71" t="s">
        <v>265</v>
      </c>
      <c r="CG104" s="73" t="e">
        <f xml:space="preserve"> _xlfn.TEXTJOIN(" ", FALSE,#REF!)</f>
        <v>#REF!</v>
      </c>
      <c r="CH104" s="122"/>
      <c r="CI104" s="74" t="s">
        <v>278</v>
      </c>
      <c r="CJ104" s="73" t="e">
        <f xml:space="preserve"> _xlfn.TEXTJOIN(" ", FALSE,#REF!)</f>
        <v>#REF!</v>
      </c>
      <c r="CK104" s="65" t="s">
        <v>277</v>
      </c>
      <c r="CL104" s="70" t="e">
        <f t="shared" si="10"/>
        <v>#REF!</v>
      </c>
      <c r="CM104" s="64" t="s">
        <v>267</v>
      </c>
      <c r="CN104" s="122"/>
      <c r="CO104" s="71" t="s">
        <v>268</v>
      </c>
      <c r="CP104" s="73" t="e">
        <f xml:space="preserve"> _xlfn.TEXTJOIN(" ", FALSE,#REF!)</f>
        <v>#REF!</v>
      </c>
      <c r="CQ104" s="122"/>
      <c r="CR104" s="71" t="s">
        <v>269</v>
      </c>
      <c r="CS104" s="73" t="e">
        <f xml:space="preserve"> _xlfn.TEXTJOIN(" ", FALSE,#REF!)</f>
        <v>#REF!</v>
      </c>
      <c r="CT104" s="122"/>
      <c r="CU104" s="71" t="s">
        <v>270</v>
      </c>
      <c r="CV104" s="72" t="e">
        <f xml:space="preserve"> _xlfn.TEXTJOIN(" ", FALSE,#REF!)</f>
        <v>#REF!</v>
      </c>
      <c r="CW104" s="122"/>
      <c r="CX104" s="71" t="s">
        <v>271</v>
      </c>
      <c r="CY104" s="72" t="e">
        <f xml:space="preserve"> _xlfn.TEXTJOIN(" ", FALSE,#REF!)</f>
        <v>#REF!</v>
      </c>
      <c r="CZ104" s="122"/>
      <c r="DA104" s="71" t="s">
        <v>272</v>
      </c>
      <c r="DB104" s="73" t="e">
        <f xml:space="preserve"> _xlfn.TEXTJOIN(" ", FALSE,#REF!)</f>
        <v>#REF!</v>
      </c>
      <c r="DC104" s="65" t="s">
        <v>277</v>
      </c>
      <c r="DD104" s="70" t="e">
        <f t="shared" si="11"/>
        <v>#REF!</v>
      </c>
      <c r="DE104" s="64" t="s">
        <v>273</v>
      </c>
      <c r="DF104" s="122"/>
      <c r="DG104" s="71" t="s">
        <v>274</v>
      </c>
      <c r="DH104" s="72" t="e">
        <f xml:space="preserve"> _xlfn.TEXTJOIN(" ", FALSE,#REF!)</f>
        <v>#REF!</v>
      </c>
      <c r="DI104" s="122"/>
      <c r="DJ104" s="71" t="s">
        <v>275</v>
      </c>
      <c r="DK104" s="73" t="e">
        <f xml:space="preserve"> _xlfn.TEXTJOIN(" ", FALSE,#REF!)</f>
        <v>#REF!</v>
      </c>
      <c r="DL104" s="65" t="s">
        <v>277</v>
      </c>
      <c r="DM104" s="70" t="e">
        <f t="shared" si="12"/>
        <v>#REF!</v>
      </c>
      <c r="DN104" s="70" t="e">
        <f t="shared" si="13"/>
        <v>#REF!</v>
      </c>
    </row>
    <row r="105" spans="1:118" ht="108" customHeight="1">
      <c r="A105" s="122" t="e">
        <f>Summary!A105</f>
        <v>#REF!</v>
      </c>
      <c r="B105" s="64" t="s">
        <v>233</v>
      </c>
      <c r="C105" s="65" t="e">
        <f>Summary!B105</f>
        <v>#REF!</v>
      </c>
      <c r="D105" s="122"/>
      <c r="E105" s="64" t="s">
        <v>235</v>
      </c>
      <c r="F105" s="132" t="e">
        <f>Summary!C105</f>
        <v>#REF!</v>
      </c>
      <c r="G105" s="64" t="s">
        <v>236</v>
      </c>
      <c r="H105" s="132" t="e">
        <f>Summary!D105</f>
        <v>#REF!</v>
      </c>
      <c r="I105" s="64" t="s">
        <v>237</v>
      </c>
      <c r="J105" s="66">
        <f>Summary!E105</f>
        <v>6</v>
      </c>
      <c r="K105" s="64" t="s">
        <v>238</v>
      </c>
      <c r="L105" s="132" t="e">
        <f>Summary!F105</f>
        <v>#REF!</v>
      </c>
      <c r="M105" s="64" t="s">
        <v>239</v>
      </c>
      <c r="N105" s="132" t="e">
        <f>Summary!G105</f>
        <v>#REF!</v>
      </c>
      <c r="O105" s="64" t="s">
        <v>240</v>
      </c>
      <c r="P105" s="132" t="e">
        <f>Summary!H105</f>
        <v>#REF!</v>
      </c>
      <c r="Q105" s="65" t="s">
        <v>277</v>
      </c>
      <c r="R105" s="70" t="e">
        <f t="shared" si="7"/>
        <v>#REF!</v>
      </c>
      <c r="S105" s="64" t="s">
        <v>243</v>
      </c>
      <c r="T105" s="122"/>
      <c r="U105" s="71" t="s">
        <v>244</v>
      </c>
      <c r="V105" s="72" t="e">
        <f xml:space="preserve"> _xlfn.TEXTJOIN(" ", FALSE,#REF!)</f>
        <v>#REF!</v>
      </c>
      <c r="W105" s="122"/>
      <c r="X105" s="71" t="s">
        <v>245</v>
      </c>
      <c r="Y105" s="72" t="e">
        <f xml:space="preserve"> _xlfn.TEXTJOIN(" ", FALSE,#REF!)</f>
        <v>#REF!</v>
      </c>
      <c r="Z105" s="122"/>
      <c r="AA105" s="71" t="s">
        <v>246</v>
      </c>
      <c r="AB105" s="72" t="e">
        <f xml:space="preserve"> _xlfn.TEXTJOIN(" ", FALSE,#REF!)</f>
        <v>#REF!</v>
      </c>
      <c r="AC105" s="122"/>
      <c r="AD105" s="71" t="s">
        <v>247</v>
      </c>
      <c r="AE105" s="72" t="e">
        <f xml:space="preserve"> _xlfn.TEXTJOIN(" ", FALSE,#REF!)</f>
        <v>#REF!</v>
      </c>
      <c r="AF105" s="122"/>
      <c r="AG105" s="71" t="s">
        <v>248</v>
      </c>
      <c r="AH105" s="73" t="e">
        <f xml:space="preserve"> _xlfn.TEXTJOIN(" ", FALSE,#REF!)</f>
        <v>#REF!</v>
      </c>
      <c r="AI105" s="122"/>
      <c r="AJ105" s="71" t="s">
        <v>249</v>
      </c>
      <c r="AK105" s="73" t="e">
        <f xml:space="preserve"> _xlfn.TEXTJOIN(" ", FALSE,#REF!)</f>
        <v>#REF!</v>
      </c>
      <c r="AL105" s="122"/>
      <c r="AM105" s="71" t="s">
        <v>250</v>
      </c>
      <c r="AN105" s="73" t="e">
        <f xml:space="preserve"> _xlfn.TEXTJOIN(" ", FALSE,#REF!)</f>
        <v>#REF!</v>
      </c>
      <c r="AO105" s="122"/>
      <c r="AP105" s="71" t="s">
        <v>251</v>
      </c>
      <c r="AQ105" s="72" t="e">
        <f xml:space="preserve"> _xlfn.TEXTJOIN(" ", FALSE,#REF!)</f>
        <v>#REF!</v>
      </c>
      <c r="AR105" s="122"/>
      <c r="AS105" s="71" t="s">
        <v>252</v>
      </c>
      <c r="AT105" s="72" t="e">
        <f xml:space="preserve"> _xlfn.TEXTJOIN(" ", FALSE,#REF!)</f>
        <v>#REF!</v>
      </c>
      <c r="AU105" s="122"/>
      <c r="AV105" s="71" t="s">
        <v>253</v>
      </c>
      <c r="AW105" s="73" t="e">
        <f xml:space="preserve"> _xlfn.TEXTJOIN(" ", FALSE,#REF!)</f>
        <v>#REF!</v>
      </c>
      <c r="AX105" s="122"/>
      <c r="AY105" s="71" t="s">
        <v>254</v>
      </c>
      <c r="AZ105" s="72" t="e">
        <f xml:space="preserve"> _xlfn.TEXTJOIN(" ", FALSE,#REF!)</f>
        <v>#REF!</v>
      </c>
      <c r="BA105" s="122"/>
      <c r="BB105" s="71" t="s">
        <v>255</v>
      </c>
      <c r="BC105" s="72" t="e">
        <f xml:space="preserve"> _xlfn.TEXTJOIN(" ", FALSE,#REF!)</f>
        <v>#REF!</v>
      </c>
      <c r="BD105" s="122"/>
      <c r="BE105" s="71" t="s">
        <v>256</v>
      </c>
      <c r="BF105" s="72" t="e">
        <f xml:space="preserve"> _xlfn.TEXTJOIN(" ", FALSE,#REF!)</f>
        <v>#REF!</v>
      </c>
      <c r="BG105" s="65" t="s">
        <v>277</v>
      </c>
      <c r="BH105" s="70" t="e">
        <f t="shared" si="8"/>
        <v>#REF!</v>
      </c>
      <c r="BI105" s="64" t="s">
        <v>257</v>
      </c>
      <c r="BJ105" s="122"/>
      <c r="BK105" s="71" t="s">
        <v>258</v>
      </c>
      <c r="BL105" s="74" t="str">
        <f>_xlfn.TEXTJOIN(" ", FALSE, 'Task 2a - Mitigating the Proble'!U105:AC105)</f>
        <v xml:space="preserve">1 1 0 0 1 1 0 0 </v>
      </c>
      <c r="BM105" s="65" t="s">
        <v>277</v>
      </c>
      <c r="BN105" s="70" t="str">
        <f t="shared" si="9"/>
        <v>[Details for Task 2a:]  /Question 12: 1 1 0 0 1 1 0 0  .</v>
      </c>
      <c r="BO105" s="64" t="s">
        <v>259</v>
      </c>
      <c r="BP105" s="122"/>
      <c r="BQ105" s="71" t="s">
        <v>260</v>
      </c>
      <c r="BR105" s="73" t="e">
        <f xml:space="preserve"> _xlfn.TEXTJOIN(" ", FALSE,#REF!)</f>
        <v>#REF!</v>
      </c>
      <c r="BS105" s="122"/>
      <c r="BT105" s="71" t="s">
        <v>261</v>
      </c>
      <c r="BU105" s="73" t="e">
        <f xml:space="preserve"> _xlfn.TEXTJOIN(" ", FALSE,#REF!)</f>
        <v>#REF!</v>
      </c>
      <c r="BV105" s="122"/>
      <c r="BW105" s="71" t="s">
        <v>262</v>
      </c>
      <c r="BX105" s="73" t="e">
        <f xml:space="preserve"> _xlfn.TEXTJOIN(" ", FALSE,#REF!)</f>
        <v>#REF!</v>
      </c>
      <c r="BY105" s="122"/>
      <c r="BZ105" s="71" t="s">
        <v>263</v>
      </c>
      <c r="CA105" s="73" t="e">
        <f xml:space="preserve"> _xlfn.TEXTJOIN(" ", FALSE,#REF!)</f>
        <v>#REF!</v>
      </c>
      <c r="CB105" s="122"/>
      <c r="CC105" s="71" t="s">
        <v>264</v>
      </c>
      <c r="CD105" s="73" t="e">
        <f xml:space="preserve"> _xlfn.TEXTJOIN(" ", FALSE,#REF!)</f>
        <v>#REF!</v>
      </c>
      <c r="CE105" s="122"/>
      <c r="CF105" s="71" t="s">
        <v>265</v>
      </c>
      <c r="CG105" s="73" t="e">
        <f xml:space="preserve"> _xlfn.TEXTJOIN(" ", FALSE,#REF!)</f>
        <v>#REF!</v>
      </c>
      <c r="CH105" s="122"/>
      <c r="CI105" s="74" t="s">
        <v>278</v>
      </c>
      <c r="CJ105" s="73" t="e">
        <f xml:space="preserve"> _xlfn.TEXTJOIN(" ", FALSE,#REF!)</f>
        <v>#REF!</v>
      </c>
      <c r="CK105" s="65" t="s">
        <v>277</v>
      </c>
      <c r="CL105" s="70" t="e">
        <f t="shared" si="10"/>
        <v>#REF!</v>
      </c>
      <c r="CM105" s="64" t="s">
        <v>267</v>
      </c>
      <c r="CN105" s="122"/>
      <c r="CO105" s="71" t="s">
        <v>268</v>
      </c>
      <c r="CP105" s="73" t="e">
        <f xml:space="preserve"> _xlfn.TEXTJOIN(" ", FALSE,#REF!)</f>
        <v>#REF!</v>
      </c>
      <c r="CQ105" s="122"/>
      <c r="CR105" s="71" t="s">
        <v>269</v>
      </c>
      <c r="CS105" s="73" t="e">
        <f xml:space="preserve"> _xlfn.TEXTJOIN(" ", FALSE,#REF!)</f>
        <v>#REF!</v>
      </c>
      <c r="CT105" s="122"/>
      <c r="CU105" s="71" t="s">
        <v>270</v>
      </c>
      <c r="CV105" s="72" t="e">
        <f xml:space="preserve"> _xlfn.TEXTJOIN(" ", FALSE,#REF!)</f>
        <v>#REF!</v>
      </c>
      <c r="CW105" s="122"/>
      <c r="CX105" s="71" t="s">
        <v>271</v>
      </c>
      <c r="CY105" s="72" t="e">
        <f xml:space="preserve"> _xlfn.TEXTJOIN(" ", FALSE,#REF!)</f>
        <v>#REF!</v>
      </c>
      <c r="CZ105" s="122"/>
      <c r="DA105" s="71" t="s">
        <v>272</v>
      </c>
      <c r="DB105" s="73" t="e">
        <f xml:space="preserve"> _xlfn.TEXTJOIN(" ", FALSE,#REF!)</f>
        <v>#REF!</v>
      </c>
      <c r="DC105" s="65" t="s">
        <v>277</v>
      </c>
      <c r="DD105" s="70" t="e">
        <f t="shared" si="11"/>
        <v>#REF!</v>
      </c>
      <c r="DE105" s="64" t="s">
        <v>273</v>
      </c>
      <c r="DF105" s="122"/>
      <c r="DG105" s="71" t="s">
        <v>274</v>
      </c>
      <c r="DH105" s="72" t="e">
        <f xml:space="preserve"> _xlfn.TEXTJOIN(" ", FALSE,#REF!)</f>
        <v>#REF!</v>
      </c>
      <c r="DI105" s="122"/>
      <c r="DJ105" s="71" t="s">
        <v>275</v>
      </c>
      <c r="DK105" s="73" t="e">
        <f xml:space="preserve"> _xlfn.TEXTJOIN(" ", FALSE,#REF!)</f>
        <v>#REF!</v>
      </c>
      <c r="DL105" s="65" t="s">
        <v>277</v>
      </c>
      <c r="DM105" s="70" t="e">
        <f t="shared" si="12"/>
        <v>#REF!</v>
      </c>
      <c r="DN105" s="70" t="e">
        <f t="shared" si="13"/>
        <v>#REF!</v>
      </c>
    </row>
    <row r="106" spans="1:118" ht="108" customHeight="1">
      <c r="A106" s="122" t="e">
        <f>Summary!A106</f>
        <v>#REF!</v>
      </c>
      <c r="B106" s="64" t="s">
        <v>233</v>
      </c>
      <c r="C106" s="65" t="e">
        <f>Summary!B106</f>
        <v>#REF!</v>
      </c>
      <c r="D106" s="122"/>
      <c r="E106" s="64" t="s">
        <v>235</v>
      </c>
      <c r="F106" s="132" t="e">
        <f>Summary!C106</f>
        <v>#REF!</v>
      </c>
      <c r="G106" s="64" t="s">
        <v>236</v>
      </c>
      <c r="H106" s="132" t="e">
        <f>Summary!D106</f>
        <v>#REF!</v>
      </c>
      <c r="I106" s="64" t="s">
        <v>237</v>
      </c>
      <c r="J106" s="66">
        <f>Summary!E106</f>
        <v>7</v>
      </c>
      <c r="K106" s="64" t="s">
        <v>238</v>
      </c>
      <c r="L106" s="132" t="e">
        <f>Summary!F106</f>
        <v>#REF!</v>
      </c>
      <c r="M106" s="64" t="s">
        <v>239</v>
      </c>
      <c r="N106" s="132" t="e">
        <f>Summary!G106</f>
        <v>#REF!</v>
      </c>
      <c r="O106" s="64" t="s">
        <v>240</v>
      </c>
      <c r="P106" s="132" t="e">
        <f>Summary!H106</f>
        <v>#REF!</v>
      </c>
      <c r="Q106" s="65" t="s">
        <v>277</v>
      </c>
      <c r="R106" s="70" t="e">
        <f t="shared" si="7"/>
        <v>#REF!</v>
      </c>
      <c r="S106" s="64" t="s">
        <v>243</v>
      </c>
      <c r="T106" s="122"/>
      <c r="U106" s="71" t="s">
        <v>244</v>
      </c>
      <c r="V106" s="72" t="e">
        <f xml:space="preserve"> _xlfn.TEXTJOIN(" ", FALSE,#REF!)</f>
        <v>#REF!</v>
      </c>
      <c r="W106" s="122"/>
      <c r="X106" s="71" t="s">
        <v>245</v>
      </c>
      <c r="Y106" s="72" t="e">
        <f xml:space="preserve"> _xlfn.TEXTJOIN(" ", FALSE,#REF!)</f>
        <v>#REF!</v>
      </c>
      <c r="Z106" s="122"/>
      <c r="AA106" s="71" t="s">
        <v>246</v>
      </c>
      <c r="AB106" s="72" t="e">
        <f xml:space="preserve"> _xlfn.TEXTJOIN(" ", FALSE,#REF!)</f>
        <v>#REF!</v>
      </c>
      <c r="AC106" s="122"/>
      <c r="AD106" s="71" t="s">
        <v>247</v>
      </c>
      <c r="AE106" s="72" t="e">
        <f xml:space="preserve"> _xlfn.TEXTJOIN(" ", FALSE,#REF!)</f>
        <v>#REF!</v>
      </c>
      <c r="AF106" s="122"/>
      <c r="AG106" s="71" t="s">
        <v>248</v>
      </c>
      <c r="AH106" s="73" t="e">
        <f xml:space="preserve"> _xlfn.TEXTJOIN(" ", FALSE,#REF!)</f>
        <v>#REF!</v>
      </c>
      <c r="AI106" s="122"/>
      <c r="AJ106" s="71" t="s">
        <v>249</v>
      </c>
      <c r="AK106" s="73" t="e">
        <f xml:space="preserve"> _xlfn.TEXTJOIN(" ", FALSE,#REF!)</f>
        <v>#REF!</v>
      </c>
      <c r="AL106" s="122"/>
      <c r="AM106" s="71" t="s">
        <v>250</v>
      </c>
      <c r="AN106" s="73" t="e">
        <f xml:space="preserve"> _xlfn.TEXTJOIN(" ", FALSE,#REF!)</f>
        <v>#REF!</v>
      </c>
      <c r="AO106" s="122"/>
      <c r="AP106" s="71" t="s">
        <v>251</v>
      </c>
      <c r="AQ106" s="72" t="e">
        <f xml:space="preserve"> _xlfn.TEXTJOIN(" ", FALSE,#REF!)</f>
        <v>#REF!</v>
      </c>
      <c r="AR106" s="122"/>
      <c r="AS106" s="71" t="s">
        <v>252</v>
      </c>
      <c r="AT106" s="72" t="e">
        <f xml:space="preserve"> _xlfn.TEXTJOIN(" ", FALSE,#REF!)</f>
        <v>#REF!</v>
      </c>
      <c r="AU106" s="122"/>
      <c r="AV106" s="71" t="s">
        <v>253</v>
      </c>
      <c r="AW106" s="73" t="e">
        <f xml:space="preserve"> _xlfn.TEXTJOIN(" ", FALSE,#REF!)</f>
        <v>#REF!</v>
      </c>
      <c r="AX106" s="122"/>
      <c r="AY106" s="71" t="s">
        <v>254</v>
      </c>
      <c r="AZ106" s="72" t="e">
        <f xml:space="preserve"> _xlfn.TEXTJOIN(" ", FALSE,#REF!)</f>
        <v>#REF!</v>
      </c>
      <c r="BA106" s="122"/>
      <c r="BB106" s="71" t="s">
        <v>255</v>
      </c>
      <c r="BC106" s="72" t="e">
        <f xml:space="preserve"> _xlfn.TEXTJOIN(" ", FALSE,#REF!)</f>
        <v>#REF!</v>
      </c>
      <c r="BD106" s="122"/>
      <c r="BE106" s="71" t="s">
        <v>256</v>
      </c>
      <c r="BF106" s="72" t="e">
        <f xml:space="preserve"> _xlfn.TEXTJOIN(" ", FALSE,#REF!)</f>
        <v>#REF!</v>
      </c>
      <c r="BG106" s="65" t="s">
        <v>277</v>
      </c>
      <c r="BH106" s="70" t="e">
        <f t="shared" si="8"/>
        <v>#REF!</v>
      </c>
      <c r="BI106" s="64" t="s">
        <v>257</v>
      </c>
      <c r="BJ106" s="122"/>
      <c r="BK106" s="71" t="s">
        <v>258</v>
      </c>
      <c r="BL106" s="74" t="str">
        <f>_xlfn.TEXTJOIN(" ", FALSE, 'Task 2a - Mitigating the Proble'!U106:AC106)</f>
        <v xml:space="preserve">1 0 1 1 1 1 0 0 </v>
      </c>
      <c r="BM106" s="65" t="s">
        <v>277</v>
      </c>
      <c r="BN106" s="70" t="str">
        <f t="shared" si="9"/>
        <v>[Details for Task 2a:]  /Question 12: 1 0 1 1 1 1 0 0  .</v>
      </c>
      <c r="BO106" s="64" t="s">
        <v>259</v>
      </c>
      <c r="BP106" s="122"/>
      <c r="BQ106" s="71" t="s">
        <v>260</v>
      </c>
      <c r="BR106" s="73" t="e">
        <f xml:space="preserve"> _xlfn.TEXTJOIN(" ", FALSE,#REF!)</f>
        <v>#REF!</v>
      </c>
      <c r="BS106" s="122"/>
      <c r="BT106" s="71" t="s">
        <v>261</v>
      </c>
      <c r="BU106" s="73" t="e">
        <f xml:space="preserve"> _xlfn.TEXTJOIN(" ", FALSE,#REF!)</f>
        <v>#REF!</v>
      </c>
      <c r="BV106" s="122"/>
      <c r="BW106" s="71" t="s">
        <v>262</v>
      </c>
      <c r="BX106" s="73" t="e">
        <f xml:space="preserve"> _xlfn.TEXTJOIN(" ", FALSE,#REF!)</f>
        <v>#REF!</v>
      </c>
      <c r="BY106" s="122"/>
      <c r="BZ106" s="71" t="s">
        <v>263</v>
      </c>
      <c r="CA106" s="73" t="e">
        <f xml:space="preserve"> _xlfn.TEXTJOIN(" ", FALSE,#REF!)</f>
        <v>#REF!</v>
      </c>
      <c r="CB106" s="122"/>
      <c r="CC106" s="71" t="s">
        <v>264</v>
      </c>
      <c r="CD106" s="73" t="e">
        <f xml:space="preserve"> _xlfn.TEXTJOIN(" ", FALSE,#REF!)</f>
        <v>#REF!</v>
      </c>
      <c r="CE106" s="122"/>
      <c r="CF106" s="71" t="s">
        <v>265</v>
      </c>
      <c r="CG106" s="73" t="e">
        <f xml:space="preserve"> _xlfn.TEXTJOIN(" ", FALSE,#REF!)</f>
        <v>#REF!</v>
      </c>
      <c r="CH106" s="122"/>
      <c r="CI106" s="74" t="s">
        <v>278</v>
      </c>
      <c r="CJ106" s="73" t="e">
        <f xml:space="preserve"> _xlfn.TEXTJOIN(" ", FALSE,#REF!)</f>
        <v>#REF!</v>
      </c>
      <c r="CK106" s="65" t="s">
        <v>277</v>
      </c>
      <c r="CL106" s="70" t="e">
        <f t="shared" si="10"/>
        <v>#REF!</v>
      </c>
      <c r="CM106" s="64" t="s">
        <v>267</v>
      </c>
      <c r="CN106" s="122"/>
      <c r="CO106" s="71" t="s">
        <v>268</v>
      </c>
      <c r="CP106" s="73" t="e">
        <f xml:space="preserve"> _xlfn.TEXTJOIN(" ", FALSE,#REF!)</f>
        <v>#REF!</v>
      </c>
      <c r="CQ106" s="122"/>
      <c r="CR106" s="71" t="s">
        <v>269</v>
      </c>
      <c r="CS106" s="73" t="e">
        <f xml:space="preserve"> _xlfn.TEXTJOIN(" ", FALSE,#REF!)</f>
        <v>#REF!</v>
      </c>
      <c r="CT106" s="122"/>
      <c r="CU106" s="71" t="s">
        <v>270</v>
      </c>
      <c r="CV106" s="72" t="e">
        <f xml:space="preserve"> _xlfn.TEXTJOIN(" ", FALSE,#REF!)</f>
        <v>#REF!</v>
      </c>
      <c r="CW106" s="122"/>
      <c r="CX106" s="71" t="s">
        <v>271</v>
      </c>
      <c r="CY106" s="72" t="e">
        <f xml:space="preserve"> _xlfn.TEXTJOIN(" ", FALSE,#REF!)</f>
        <v>#REF!</v>
      </c>
      <c r="CZ106" s="122"/>
      <c r="DA106" s="71" t="s">
        <v>272</v>
      </c>
      <c r="DB106" s="73" t="e">
        <f xml:space="preserve"> _xlfn.TEXTJOIN(" ", FALSE,#REF!)</f>
        <v>#REF!</v>
      </c>
      <c r="DC106" s="65" t="s">
        <v>277</v>
      </c>
      <c r="DD106" s="70" t="e">
        <f t="shared" si="11"/>
        <v>#REF!</v>
      </c>
      <c r="DE106" s="64" t="s">
        <v>273</v>
      </c>
      <c r="DF106" s="122"/>
      <c r="DG106" s="71" t="s">
        <v>274</v>
      </c>
      <c r="DH106" s="72" t="e">
        <f xml:space="preserve"> _xlfn.TEXTJOIN(" ", FALSE,#REF!)</f>
        <v>#REF!</v>
      </c>
      <c r="DI106" s="122"/>
      <c r="DJ106" s="71" t="s">
        <v>275</v>
      </c>
      <c r="DK106" s="73" t="e">
        <f xml:space="preserve"> _xlfn.TEXTJOIN(" ", FALSE,#REF!)</f>
        <v>#REF!</v>
      </c>
      <c r="DL106" s="65" t="s">
        <v>277</v>
      </c>
      <c r="DM106" s="70" t="e">
        <f t="shared" si="12"/>
        <v>#REF!</v>
      </c>
      <c r="DN106" s="70" t="e">
        <f t="shared" si="13"/>
        <v>#REF!</v>
      </c>
    </row>
    <row r="107" spans="1:118" ht="108" customHeight="1">
      <c r="A107" s="122" t="e">
        <f>Summary!A107</f>
        <v>#REF!</v>
      </c>
      <c r="B107" s="64" t="s">
        <v>233</v>
      </c>
      <c r="C107" s="65" t="e">
        <f>Summary!B107</f>
        <v>#REF!</v>
      </c>
      <c r="D107" s="122"/>
      <c r="E107" s="64" t="s">
        <v>235</v>
      </c>
      <c r="F107" s="132" t="e">
        <f>Summary!C107</f>
        <v>#REF!</v>
      </c>
      <c r="G107" s="64" t="s">
        <v>236</v>
      </c>
      <c r="H107" s="132" t="e">
        <f>Summary!D107</f>
        <v>#REF!</v>
      </c>
      <c r="I107" s="64" t="s">
        <v>237</v>
      </c>
      <c r="J107" s="66">
        <f>Summary!E107</f>
        <v>7</v>
      </c>
      <c r="K107" s="64" t="s">
        <v>238</v>
      </c>
      <c r="L107" s="132" t="e">
        <f>Summary!F107</f>
        <v>#REF!</v>
      </c>
      <c r="M107" s="64" t="s">
        <v>239</v>
      </c>
      <c r="N107" s="132" t="e">
        <f>Summary!G107</f>
        <v>#REF!</v>
      </c>
      <c r="O107" s="64" t="s">
        <v>240</v>
      </c>
      <c r="P107" s="132" t="e">
        <f>Summary!H107</f>
        <v>#REF!</v>
      </c>
      <c r="Q107" s="65" t="s">
        <v>277</v>
      </c>
      <c r="R107" s="70" t="e">
        <f t="shared" si="7"/>
        <v>#REF!</v>
      </c>
      <c r="S107" s="64" t="s">
        <v>243</v>
      </c>
      <c r="T107" s="122"/>
      <c r="U107" s="71" t="s">
        <v>244</v>
      </c>
      <c r="V107" s="72" t="e">
        <f xml:space="preserve"> _xlfn.TEXTJOIN(" ", FALSE,#REF!)</f>
        <v>#REF!</v>
      </c>
      <c r="W107" s="122"/>
      <c r="X107" s="71" t="s">
        <v>245</v>
      </c>
      <c r="Y107" s="72" t="e">
        <f xml:space="preserve"> _xlfn.TEXTJOIN(" ", FALSE,#REF!)</f>
        <v>#REF!</v>
      </c>
      <c r="Z107" s="122"/>
      <c r="AA107" s="71" t="s">
        <v>246</v>
      </c>
      <c r="AB107" s="72" t="e">
        <f xml:space="preserve"> _xlfn.TEXTJOIN(" ", FALSE,#REF!)</f>
        <v>#REF!</v>
      </c>
      <c r="AC107" s="122"/>
      <c r="AD107" s="71" t="s">
        <v>247</v>
      </c>
      <c r="AE107" s="72" t="e">
        <f xml:space="preserve"> _xlfn.TEXTJOIN(" ", FALSE,#REF!)</f>
        <v>#REF!</v>
      </c>
      <c r="AF107" s="122"/>
      <c r="AG107" s="71" t="s">
        <v>248</v>
      </c>
      <c r="AH107" s="73" t="e">
        <f xml:space="preserve"> _xlfn.TEXTJOIN(" ", FALSE,#REF!)</f>
        <v>#REF!</v>
      </c>
      <c r="AI107" s="122"/>
      <c r="AJ107" s="71" t="s">
        <v>249</v>
      </c>
      <c r="AK107" s="73" t="e">
        <f xml:space="preserve"> _xlfn.TEXTJOIN(" ", FALSE,#REF!)</f>
        <v>#REF!</v>
      </c>
      <c r="AL107" s="122"/>
      <c r="AM107" s="71" t="s">
        <v>250</v>
      </c>
      <c r="AN107" s="73" t="e">
        <f xml:space="preserve"> _xlfn.TEXTJOIN(" ", FALSE,#REF!)</f>
        <v>#REF!</v>
      </c>
      <c r="AO107" s="122"/>
      <c r="AP107" s="71" t="s">
        <v>251</v>
      </c>
      <c r="AQ107" s="72" t="e">
        <f xml:space="preserve"> _xlfn.TEXTJOIN(" ", FALSE,#REF!)</f>
        <v>#REF!</v>
      </c>
      <c r="AR107" s="122"/>
      <c r="AS107" s="71" t="s">
        <v>252</v>
      </c>
      <c r="AT107" s="72" t="e">
        <f xml:space="preserve"> _xlfn.TEXTJOIN(" ", FALSE,#REF!)</f>
        <v>#REF!</v>
      </c>
      <c r="AU107" s="122"/>
      <c r="AV107" s="71" t="s">
        <v>253</v>
      </c>
      <c r="AW107" s="73" t="e">
        <f xml:space="preserve"> _xlfn.TEXTJOIN(" ", FALSE,#REF!)</f>
        <v>#REF!</v>
      </c>
      <c r="AX107" s="122"/>
      <c r="AY107" s="71" t="s">
        <v>254</v>
      </c>
      <c r="AZ107" s="72" t="e">
        <f xml:space="preserve"> _xlfn.TEXTJOIN(" ", FALSE,#REF!)</f>
        <v>#REF!</v>
      </c>
      <c r="BA107" s="122"/>
      <c r="BB107" s="71" t="s">
        <v>255</v>
      </c>
      <c r="BC107" s="72" t="e">
        <f xml:space="preserve"> _xlfn.TEXTJOIN(" ", FALSE,#REF!)</f>
        <v>#REF!</v>
      </c>
      <c r="BD107" s="122"/>
      <c r="BE107" s="71" t="s">
        <v>256</v>
      </c>
      <c r="BF107" s="72" t="e">
        <f xml:space="preserve"> _xlfn.TEXTJOIN(" ", FALSE,#REF!)</f>
        <v>#REF!</v>
      </c>
      <c r="BG107" s="65" t="s">
        <v>277</v>
      </c>
      <c r="BH107" s="70" t="e">
        <f t="shared" si="8"/>
        <v>#REF!</v>
      </c>
      <c r="BI107" s="64" t="s">
        <v>257</v>
      </c>
      <c r="BJ107" s="122"/>
      <c r="BK107" s="71" t="s">
        <v>258</v>
      </c>
      <c r="BL107" s="74" t="str">
        <f>_xlfn.TEXTJOIN(" ", FALSE, 'Task 2a - Mitigating the Proble'!U107:AC107)</f>
        <v xml:space="preserve">1 1 1 0 1 1 0 0 </v>
      </c>
      <c r="BM107" s="65" t="s">
        <v>277</v>
      </c>
      <c r="BN107" s="70" t="str">
        <f t="shared" si="9"/>
        <v>[Details for Task 2a:]  /Question 12: 1 1 1 0 1 1 0 0  .</v>
      </c>
      <c r="BO107" s="64" t="s">
        <v>259</v>
      </c>
      <c r="BP107" s="122"/>
      <c r="BQ107" s="71" t="s">
        <v>260</v>
      </c>
      <c r="BR107" s="73" t="e">
        <f xml:space="preserve"> _xlfn.TEXTJOIN(" ", FALSE,#REF!)</f>
        <v>#REF!</v>
      </c>
      <c r="BS107" s="122"/>
      <c r="BT107" s="71" t="s">
        <v>261</v>
      </c>
      <c r="BU107" s="73" t="e">
        <f xml:space="preserve"> _xlfn.TEXTJOIN(" ", FALSE,#REF!)</f>
        <v>#REF!</v>
      </c>
      <c r="BV107" s="122"/>
      <c r="BW107" s="71" t="s">
        <v>262</v>
      </c>
      <c r="BX107" s="73" t="e">
        <f xml:space="preserve"> _xlfn.TEXTJOIN(" ", FALSE,#REF!)</f>
        <v>#REF!</v>
      </c>
      <c r="BY107" s="122"/>
      <c r="BZ107" s="71" t="s">
        <v>263</v>
      </c>
      <c r="CA107" s="73" t="e">
        <f xml:space="preserve"> _xlfn.TEXTJOIN(" ", FALSE,#REF!)</f>
        <v>#REF!</v>
      </c>
      <c r="CB107" s="122"/>
      <c r="CC107" s="71" t="s">
        <v>264</v>
      </c>
      <c r="CD107" s="73" t="e">
        <f xml:space="preserve"> _xlfn.TEXTJOIN(" ", FALSE,#REF!)</f>
        <v>#REF!</v>
      </c>
      <c r="CE107" s="122"/>
      <c r="CF107" s="71" t="s">
        <v>265</v>
      </c>
      <c r="CG107" s="73" t="e">
        <f xml:space="preserve"> _xlfn.TEXTJOIN(" ", FALSE,#REF!)</f>
        <v>#REF!</v>
      </c>
      <c r="CH107" s="122"/>
      <c r="CI107" s="74" t="s">
        <v>278</v>
      </c>
      <c r="CJ107" s="73" t="e">
        <f xml:space="preserve"> _xlfn.TEXTJOIN(" ", FALSE,#REF!)</f>
        <v>#REF!</v>
      </c>
      <c r="CK107" s="65" t="s">
        <v>277</v>
      </c>
      <c r="CL107" s="70" t="e">
        <f t="shared" si="10"/>
        <v>#REF!</v>
      </c>
      <c r="CM107" s="64" t="s">
        <v>267</v>
      </c>
      <c r="CN107" s="122"/>
      <c r="CO107" s="71" t="s">
        <v>268</v>
      </c>
      <c r="CP107" s="73" t="e">
        <f xml:space="preserve"> _xlfn.TEXTJOIN(" ", FALSE,#REF!)</f>
        <v>#REF!</v>
      </c>
      <c r="CQ107" s="122"/>
      <c r="CR107" s="71" t="s">
        <v>269</v>
      </c>
      <c r="CS107" s="73" t="e">
        <f xml:space="preserve"> _xlfn.TEXTJOIN(" ", FALSE,#REF!)</f>
        <v>#REF!</v>
      </c>
      <c r="CT107" s="122"/>
      <c r="CU107" s="71" t="s">
        <v>270</v>
      </c>
      <c r="CV107" s="72" t="e">
        <f xml:space="preserve"> _xlfn.TEXTJOIN(" ", FALSE,#REF!)</f>
        <v>#REF!</v>
      </c>
      <c r="CW107" s="122"/>
      <c r="CX107" s="71" t="s">
        <v>271</v>
      </c>
      <c r="CY107" s="72" t="e">
        <f xml:space="preserve"> _xlfn.TEXTJOIN(" ", FALSE,#REF!)</f>
        <v>#REF!</v>
      </c>
      <c r="CZ107" s="122"/>
      <c r="DA107" s="71" t="s">
        <v>272</v>
      </c>
      <c r="DB107" s="73" t="e">
        <f xml:space="preserve"> _xlfn.TEXTJOIN(" ", FALSE,#REF!)</f>
        <v>#REF!</v>
      </c>
      <c r="DC107" s="65" t="s">
        <v>277</v>
      </c>
      <c r="DD107" s="70" t="e">
        <f t="shared" si="11"/>
        <v>#REF!</v>
      </c>
      <c r="DE107" s="64" t="s">
        <v>273</v>
      </c>
      <c r="DF107" s="122"/>
      <c r="DG107" s="71" t="s">
        <v>274</v>
      </c>
      <c r="DH107" s="72" t="e">
        <f xml:space="preserve"> _xlfn.TEXTJOIN(" ", FALSE,#REF!)</f>
        <v>#REF!</v>
      </c>
      <c r="DI107" s="122"/>
      <c r="DJ107" s="71" t="s">
        <v>275</v>
      </c>
      <c r="DK107" s="73" t="e">
        <f xml:space="preserve"> _xlfn.TEXTJOIN(" ", FALSE,#REF!)</f>
        <v>#REF!</v>
      </c>
      <c r="DL107" s="65" t="s">
        <v>277</v>
      </c>
      <c r="DM107" s="70" t="e">
        <f t="shared" si="12"/>
        <v>#REF!</v>
      </c>
      <c r="DN107" s="70" t="e">
        <f t="shared" si="13"/>
        <v>#REF!</v>
      </c>
    </row>
    <row r="108" spans="1:118" ht="108" customHeight="1">
      <c r="A108" s="122" t="e">
        <f>Summary!A108</f>
        <v>#REF!</v>
      </c>
      <c r="B108" s="64" t="s">
        <v>233</v>
      </c>
      <c r="C108" s="65" t="e">
        <f>Summary!B108</f>
        <v>#REF!</v>
      </c>
      <c r="D108" s="122"/>
      <c r="E108" s="64" t="s">
        <v>235</v>
      </c>
      <c r="F108" s="132" t="e">
        <f>Summary!C108</f>
        <v>#REF!</v>
      </c>
      <c r="G108" s="64" t="s">
        <v>236</v>
      </c>
      <c r="H108" s="132" t="e">
        <f>Summary!D108</f>
        <v>#REF!</v>
      </c>
      <c r="I108" s="64" t="s">
        <v>237</v>
      </c>
      <c r="J108" s="66">
        <f>Summary!E108</f>
        <v>6</v>
      </c>
      <c r="K108" s="64" t="s">
        <v>238</v>
      </c>
      <c r="L108" s="132" t="e">
        <f>Summary!F108</f>
        <v>#REF!</v>
      </c>
      <c r="M108" s="64" t="s">
        <v>239</v>
      </c>
      <c r="N108" s="132" t="e">
        <f>Summary!G108</f>
        <v>#REF!</v>
      </c>
      <c r="O108" s="64" t="s">
        <v>240</v>
      </c>
      <c r="P108" s="132" t="e">
        <f>Summary!H108</f>
        <v>#REF!</v>
      </c>
      <c r="Q108" s="65" t="s">
        <v>277</v>
      </c>
      <c r="R108" s="70" t="e">
        <f t="shared" si="7"/>
        <v>#REF!</v>
      </c>
      <c r="S108" s="64" t="s">
        <v>243</v>
      </c>
      <c r="T108" s="122"/>
      <c r="U108" s="71" t="s">
        <v>244</v>
      </c>
      <c r="V108" s="72" t="e">
        <f xml:space="preserve"> _xlfn.TEXTJOIN(" ", FALSE,#REF!)</f>
        <v>#REF!</v>
      </c>
      <c r="W108" s="122"/>
      <c r="X108" s="71" t="s">
        <v>245</v>
      </c>
      <c r="Y108" s="72" t="e">
        <f xml:space="preserve"> _xlfn.TEXTJOIN(" ", FALSE,#REF!)</f>
        <v>#REF!</v>
      </c>
      <c r="Z108" s="122"/>
      <c r="AA108" s="71" t="s">
        <v>246</v>
      </c>
      <c r="AB108" s="72" t="e">
        <f xml:space="preserve"> _xlfn.TEXTJOIN(" ", FALSE,#REF!)</f>
        <v>#REF!</v>
      </c>
      <c r="AC108" s="122"/>
      <c r="AD108" s="71" t="s">
        <v>247</v>
      </c>
      <c r="AE108" s="72" t="e">
        <f xml:space="preserve"> _xlfn.TEXTJOIN(" ", FALSE,#REF!)</f>
        <v>#REF!</v>
      </c>
      <c r="AF108" s="122"/>
      <c r="AG108" s="71" t="s">
        <v>248</v>
      </c>
      <c r="AH108" s="73" t="e">
        <f xml:space="preserve"> _xlfn.TEXTJOIN(" ", FALSE,#REF!)</f>
        <v>#REF!</v>
      </c>
      <c r="AI108" s="122"/>
      <c r="AJ108" s="71" t="s">
        <v>249</v>
      </c>
      <c r="AK108" s="73" t="e">
        <f xml:space="preserve"> _xlfn.TEXTJOIN(" ", FALSE,#REF!)</f>
        <v>#REF!</v>
      </c>
      <c r="AL108" s="122"/>
      <c r="AM108" s="71" t="s">
        <v>250</v>
      </c>
      <c r="AN108" s="73" t="e">
        <f xml:space="preserve"> _xlfn.TEXTJOIN(" ", FALSE,#REF!)</f>
        <v>#REF!</v>
      </c>
      <c r="AO108" s="122"/>
      <c r="AP108" s="71" t="s">
        <v>251</v>
      </c>
      <c r="AQ108" s="72" t="e">
        <f xml:space="preserve"> _xlfn.TEXTJOIN(" ", FALSE,#REF!)</f>
        <v>#REF!</v>
      </c>
      <c r="AR108" s="122"/>
      <c r="AS108" s="71" t="s">
        <v>252</v>
      </c>
      <c r="AT108" s="72" t="e">
        <f xml:space="preserve"> _xlfn.TEXTJOIN(" ", FALSE,#REF!)</f>
        <v>#REF!</v>
      </c>
      <c r="AU108" s="122"/>
      <c r="AV108" s="71" t="s">
        <v>253</v>
      </c>
      <c r="AW108" s="73" t="e">
        <f xml:space="preserve"> _xlfn.TEXTJOIN(" ", FALSE,#REF!)</f>
        <v>#REF!</v>
      </c>
      <c r="AX108" s="122"/>
      <c r="AY108" s="71" t="s">
        <v>254</v>
      </c>
      <c r="AZ108" s="72" t="e">
        <f xml:space="preserve"> _xlfn.TEXTJOIN(" ", FALSE,#REF!)</f>
        <v>#REF!</v>
      </c>
      <c r="BA108" s="122"/>
      <c r="BB108" s="71" t="s">
        <v>255</v>
      </c>
      <c r="BC108" s="72" t="e">
        <f xml:space="preserve"> _xlfn.TEXTJOIN(" ", FALSE,#REF!)</f>
        <v>#REF!</v>
      </c>
      <c r="BD108" s="122"/>
      <c r="BE108" s="71" t="s">
        <v>256</v>
      </c>
      <c r="BF108" s="72" t="e">
        <f xml:space="preserve"> _xlfn.TEXTJOIN(" ", FALSE,#REF!)</f>
        <v>#REF!</v>
      </c>
      <c r="BG108" s="65" t="s">
        <v>277</v>
      </c>
      <c r="BH108" s="70" t="e">
        <f t="shared" si="8"/>
        <v>#REF!</v>
      </c>
      <c r="BI108" s="64" t="s">
        <v>257</v>
      </c>
      <c r="BJ108" s="122"/>
      <c r="BK108" s="71" t="s">
        <v>258</v>
      </c>
      <c r="BL108" s="74" t="str">
        <f>_xlfn.TEXTJOIN(" ", FALSE, 'Task 2a - Mitigating the Proble'!U108:AC108)</f>
        <v xml:space="preserve">1 1 0 0 1 1 0 0 </v>
      </c>
      <c r="BM108" s="65" t="s">
        <v>277</v>
      </c>
      <c r="BN108" s="70" t="str">
        <f t="shared" si="9"/>
        <v>[Details for Task 2a:]  /Question 12: 1 1 0 0 1 1 0 0  .</v>
      </c>
      <c r="BO108" s="64" t="s">
        <v>259</v>
      </c>
      <c r="BP108" s="122"/>
      <c r="BQ108" s="71" t="s">
        <v>260</v>
      </c>
      <c r="BR108" s="73" t="e">
        <f xml:space="preserve"> _xlfn.TEXTJOIN(" ", FALSE,#REF!)</f>
        <v>#REF!</v>
      </c>
      <c r="BS108" s="122"/>
      <c r="BT108" s="71" t="s">
        <v>261</v>
      </c>
      <c r="BU108" s="73" t="e">
        <f xml:space="preserve"> _xlfn.TEXTJOIN(" ", FALSE,#REF!)</f>
        <v>#REF!</v>
      </c>
      <c r="BV108" s="122"/>
      <c r="BW108" s="71" t="s">
        <v>262</v>
      </c>
      <c r="BX108" s="73" t="e">
        <f xml:space="preserve"> _xlfn.TEXTJOIN(" ", FALSE,#REF!)</f>
        <v>#REF!</v>
      </c>
      <c r="BY108" s="122"/>
      <c r="BZ108" s="71" t="s">
        <v>263</v>
      </c>
      <c r="CA108" s="73" t="e">
        <f xml:space="preserve"> _xlfn.TEXTJOIN(" ", FALSE,#REF!)</f>
        <v>#REF!</v>
      </c>
      <c r="CB108" s="122"/>
      <c r="CC108" s="71" t="s">
        <v>264</v>
      </c>
      <c r="CD108" s="73" t="e">
        <f xml:space="preserve"> _xlfn.TEXTJOIN(" ", FALSE,#REF!)</f>
        <v>#REF!</v>
      </c>
      <c r="CE108" s="122"/>
      <c r="CF108" s="71" t="s">
        <v>265</v>
      </c>
      <c r="CG108" s="73" t="e">
        <f xml:space="preserve"> _xlfn.TEXTJOIN(" ", FALSE,#REF!)</f>
        <v>#REF!</v>
      </c>
      <c r="CH108" s="122"/>
      <c r="CI108" s="74" t="s">
        <v>278</v>
      </c>
      <c r="CJ108" s="73" t="e">
        <f xml:space="preserve"> _xlfn.TEXTJOIN(" ", FALSE,#REF!)</f>
        <v>#REF!</v>
      </c>
      <c r="CK108" s="65" t="s">
        <v>277</v>
      </c>
      <c r="CL108" s="70" t="e">
        <f t="shared" si="10"/>
        <v>#REF!</v>
      </c>
      <c r="CM108" s="64" t="s">
        <v>267</v>
      </c>
      <c r="CN108" s="122"/>
      <c r="CO108" s="71" t="s">
        <v>268</v>
      </c>
      <c r="CP108" s="73" t="e">
        <f xml:space="preserve"> _xlfn.TEXTJOIN(" ", FALSE,#REF!)</f>
        <v>#REF!</v>
      </c>
      <c r="CQ108" s="122"/>
      <c r="CR108" s="71" t="s">
        <v>269</v>
      </c>
      <c r="CS108" s="73" t="e">
        <f xml:space="preserve"> _xlfn.TEXTJOIN(" ", FALSE,#REF!)</f>
        <v>#REF!</v>
      </c>
      <c r="CT108" s="122"/>
      <c r="CU108" s="71" t="s">
        <v>270</v>
      </c>
      <c r="CV108" s="72" t="e">
        <f xml:space="preserve"> _xlfn.TEXTJOIN(" ", FALSE,#REF!)</f>
        <v>#REF!</v>
      </c>
      <c r="CW108" s="122"/>
      <c r="CX108" s="71" t="s">
        <v>271</v>
      </c>
      <c r="CY108" s="72" t="e">
        <f xml:space="preserve"> _xlfn.TEXTJOIN(" ", FALSE,#REF!)</f>
        <v>#REF!</v>
      </c>
      <c r="CZ108" s="122"/>
      <c r="DA108" s="71" t="s">
        <v>272</v>
      </c>
      <c r="DB108" s="73" t="e">
        <f xml:space="preserve"> _xlfn.TEXTJOIN(" ", FALSE,#REF!)</f>
        <v>#REF!</v>
      </c>
      <c r="DC108" s="65" t="s">
        <v>277</v>
      </c>
      <c r="DD108" s="70" t="e">
        <f t="shared" si="11"/>
        <v>#REF!</v>
      </c>
      <c r="DE108" s="64" t="s">
        <v>273</v>
      </c>
      <c r="DF108" s="122"/>
      <c r="DG108" s="71" t="s">
        <v>274</v>
      </c>
      <c r="DH108" s="72" t="e">
        <f xml:space="preserve"> _xlfn.TEXTJOIN(" ", FALSE,#REF!)</f>
        <v>#REF!</v>
      </c>
      <c r="DI108" s="122"/>
      <c r="DJ108" s="71" t="s">
        <v>275</v>
      </c>
      <c r="DK108" s="73" t="e">
        <f xml:space="preserve"> _xlfn.TEXTJOIN(" ", FALSE,#REF!)</f>
        <v>#REF!</v>
      </c>
      <c r="DL108" s="65" t="s">
        <v>277</v>
      </c>
      <c r="DM108" s="70" t="e">
        <f t="shared" si="12"/>
        <v>#REF!</v>
      </c>
      <c r="DN108" s="70" t="e">
        <f t="shared" si="13"/>
        <v>#REF!</v>
      </c>
    </row>
    <row r="109" spans="1:118" ht="108" customHeight="1">
      <c r="A109" s="122" t="e">
        <f>Summary!A109</f>
        <v>#REF!</v>
      </c>
      <c r="B109" s="64" t="s">
        <v>233</v>
      </c>
      <c r="C109" s="65" t="e">
        <f>Summary!B109</f>
        <v>#REF!</v>
      </c>
      <c r="D109" s="122"/>
      <c r="E109" s="64" t="s">
        <v>235</v>
      </c>
      <c r="F109" s="132" t="e">
        <f>Summary!C109</f>
        <v>#REF!</v>
      </c>
      <c r="G109" s="64" t="s">
        <v>236</v>
      </c>
      <c r="H109" s="132" t="e">
        <f>Summary!D109</f>
        <v>#REF!</v>
      </c>
      <c r="I109" s="64" t="s">
        <v>237</v>
      </c>
      <c r="J109" s="66">
        <f>Summary!E109</f>
        <v>6</v>
      </c>
      <c r="K109" s="64" t="s">
        <v>238</v>
      </c>
      <c r="L109" s="132" t="e">
        <f>Summary!F109</f>
        <v>#REF!</v>
      </c>
      <c r="M109" s="64" t="s">
        <v>239</v>
      </c>
      <c r="N109" s="132" t="e">
        <f>Summary!G109</f>
        <v>#REF!</v>
      </c>
      <c r="O109" s="64" t="s">
        <v>240</v>
      </c>
      <c r="P109" s="132" t="e">
        <f>Summary!H109</f>
        <v>#REF!</v>
      </c>
      <c r="Q109" s="65" t="s">
        <v>277</v>
      </c>
      <c r="R109" s="70" t="e">
        <f t="shared" si="7"/>
        <v>#REF!</v>
      </c>
      <c r="S109" s="64" t="s">
        <v>243</v>
      </c>
      <c r="T109" s="122"/>
      <c r="U109" s="71" t="s">
        <v>244</v>
      </c>
      <c r="V109" s="72" t="e">
        <f xml:space="preserve"> _xlfn.TEXTJOIN(" ", FALSE,#REF!)</f>
        <v>#REF!</v>
      </c>
      <c r="W109" s="122"/>
      <c r="X109" s="71" t="s">
        <v>245</v>
      </c>
      <c r="Y109" s="72" t="e">
        <f xml:space="preserve"> _xlfn.TEXTJOIN(" ", FALSE,#REF!)</f>
        <v>#REF!</v>
      </c>
      <c r="Z109" s="122"/>
      <c r="AA109" s="71" t="s">
        <v>246</v>
      </c>
      <c r="AB109" s="72" t="e">
        <f xml:space="preserve"> _xlfn.TEXTJOIN(" ", FALSE,#REF!)</f>
        <v>#REF!</v>
      </c>
      <c r="AC109" s="122"/>
      <c r="AD109" s="71" t="s">
        <v>247</v>
      </c>
      <c r="AE109" s="72" t="e">
        <f xml:space="preserve"> _xlfn.TEXTJOIN(" ", FALSE,#REF!)</f>
        <v>#REF!</v>
      </c>
      <c r="AF109" s="122"/>
      <c r="AG109" s="71" t="s">
        <v>248</v>
      </c>
      <c r="AH109" s="73" t="e">
        <f xml:space="preserve"> _xlfn.TEXTJOIN(" ", FALSE,#REF!)</f>
        <v>#REF!</v>
      </c>
      <c r="AI109" s="122"/>
      <c r="AJ109" s="71" t="s">
        <v>249</v>
      </c>
      <c r="AK109" s="73" t="e">
        <f xml:space="preserve"> _xlfn.TEXTJOIN(" ", FALSE,#REF!)</f>
        <v>#REF!</v>
      </c>
      <c r="AL109" s="122"/>
      <c r="AM109" s="71" t="s">
        <v>250</v>
      </c>
      <c r="AN109" s="73" t="e">
        <f xml:space="preserve"> _xlfn.TEXTJOIN(" ", FALSE,#REF!)</f>
        <v>#REF!</v>
      </c>
      <c r="AO109" s="122"/>
      <c r="AP109" s="71" t="s">
        <v>251</v>
      </c>
      <c r="AQ109" s="72" t="e">
        <f xml:space="preserve"> _xlfn.TEXTJOIN(" ", FALSE,#REF!)</f>
        <v>#REF!</v>
      </c>
      <c r="AR109" s="122"/>
      <c r="AS109" s="71" t="s">
        <v>252</v>
      </c>
      <c r="AT109" s="72" t="e">
        <f xml:space="preserve"> _xlfn.TEXTJOIN(" ", FALSE,#REF!)</f>
        <v>#REF!</v>
      </c>
      <c r="AU109" s="122"/>
      <c r="AV109" s="71" t="s">
        <v>253</v>
      </c>
      <c r="AW109" s="73" t="e">
        <f xml:space="preserve"> _xlfn.TEXTJOIN(" ", FALSE,#REF!)</f>
        <v>#REF!</v>
      </c>
      <c r="AX109" s="122"/>
      <c r="AY109" s="71" t="s">
        <v>254</v>
      </c>
      <c r="AZ109" s="72" t="e">
        <f xml:space="preserve"> _xlfn.TEXTJOIN(" ", FALSE,#REF!)</f>
        <v>#REF!</v>
      </c>
      <c r="BA109" s="122"/>
      <c r="BB109" s="71" t="s">
        <v>255</v>
      </c>
      <c r="BC109" s="72" t="e">
        <f xml:space="preserve"> _xlfn.TEXTJOIN(" ", FALSE,#REF!)</f>
        <v>#REF!</v>
      </c>
      <c r="BD109" s="122"/>
      <c r="BE109" s="71" t="s">
        <v>256</v>
      </c>
      <c r="BF109" s="72" t="e">
        <f xml:space="preserve"> _xlfn.TEXTJOIN(" ", FALSE,#REF!)</f>
        <v>#REF!</v>
      </c>
      <c r="BG109" s="65" t="s">
        <v>277</v>
      </c>
      <c r="BH109" s="70" t="e">
        <f t="shared" si="8"/>
        <v>#REF!</v>
      </c>
      <c r="BI109" s="64" t="s">
        <v>257</v>
      </c>
      <c r="BJ109" s="122"/>
      <c r="BK109" s="71" t="s">
        <v>258</v>
      </c>
      <c r="BL109" s="74" t="str">
        <f>_xlfn.TEXTJOIN(" ", FALSE, 'Task 2a - Mitigating the Proble'!U109:AC109)</f>
        <v xml:space="preserve">1 0 0 1 1 1 0 0 </v>
      </c>
      <c r="BM109" s="65" t="s">
        <v>277</v>
      </c>
      <c r="BN109" s="70" t="str">
        <f t="shared" si="9"/>
        <v>[Details for Task 2a:]  /Question 12: 1 0 0 1 1 1 0 0  .</v>
      </c>
      <c r="BO109" s="64" t="s">
        <v>259</v>
      </c>
      <c r="BP109" s="122"/>
      <c r="BQ109" s="71" t="s">
        <v>260</v>
      </c>
      <c r="BR109" s="73" t="e">
        <f xml:space="preserve"> _xlfn.TEXTJOIN(" ", FALSE,#REF!)</f>
        <v>#REF!</v>
      </c>
      <c r="BS109" s="122"/>
      <c r="BT109" s="71" t="s">
        <v>261</v>
      </c>
      <c r="BU109" s="73" t="e">
        <f xml:space="preserve"> _xlfn.TEXTJOIN(" ", FALSE,#REF!)</f>
        <v>#REF!</v>
      </c>
      <c r="BV109" s="122"/>
      <c r="BW109" s="71" t="s">
        <v>262</v>
      </c>
      <c r="BX109" s="73" t="e">
        <f xml:space="preserve"> _xlfn.TEXTJOIN(" ", FALSE,#REF!)</f>
        <v>#REF!</v>
      </c>
      <c r="BY109" s="122"/>
      <c r="BZ109" s="71" t="s">
        <v>263</v>
      </c>
      <c r="CA109" s="73" t="e">
        <f xml:space="preserve"> _xlfn.TEXTJOIN(" ", FALSE,#REF!)</f>
        <v>#REF!</v>
      </c>
      <c r="CB109" s="122"/>
      <c r="CC109" s="71" t="s">
        <v>264</v>
      </c>
      <c r="CD109" s="73" t="e">
        <f xml:space="preserve"> _xlfn.TEXTJOIN(" ", FALSE,#REF!)</f>
        <v>#REF!</v>
      </c>
      <c r="CE109" s="122"/>
      <c r="CF109" s="71" t="s">
        <v>265</v>
      </c>
      <c r="CG109" s="73" t="e">
        <f xml:space="preserve"> _xlfn.TEXTJOIN(" ", FALSE,#REF!)</f>
        <v>#REF!</v>
      </c>
      <c r="CH109" s="122"/>
      <c r="CI109" s="74" t="s">
        <v>278</v>
      </c>
      <c r="CJ109" s="73" t="e">
        <f xml:space="preserve"> _xlfn.TEXTJOIN(" ", FALSE,#REF!)</f>
        <v>#REF!</v>
      </c>
      <c r="CK109" s="65" t="s">
        <v>277</v>
      </c>
      <c r="CL109" s="70" t="e">
        <f t="shared" si="10"/>
        <v>#REF!</v>
      </c>
      <c r="CM109" s="64" t="s">
        <v>267</v>
      </c>
      <c r="CN109" s="122"/>
      <c r="CO109" s="71" t="s">
        <v>268</v>
      </c>
      <c r="CP109" s="73" t="e">
        <f xml:space="preserve"> _xlfn.TEXTJOIN(" ", FALSE,#REF!)</f>
        <v>#REF!</v>
      </c>
      <c r="CQ109" s="122"/>
      <c r="CR109" s="71" t="s">
        <v>269</v>
      </c>
      <c r="CS109" s="73" t="e">
        <f xml:space="preserve"> _xlfn.TEXTJOIN(" ", FALSE,#REF!)</f>
        <v>#REF!</v>
      </c>
      <c r="CT109" s="122"/>
      <c r="CU109" s="71" t="s">
        <v>270</v>
      </c>
      <c r="CV109" s="72" t="e">
        <f xml:space="preserve"> _xlfn.TEXTJOIN(" ", FALSE,#REF!)</f>
        <v>#REF!</v>
      </c>
      <c r="CW109" s="122"/>
      <c r="CX109" s="71" t="s">
        <v>271</v>
      </c>
      <c r="CY109" s="72" t="e">
        <f xml:space="preserve"> _xlfn.TEXTJOIN(" ", FALSE,#REF!)</f>
        <v>#REF!</v>
      </c>
      <c r="CZ109" s="122"/>
      <c r="DA109" s="71" t="s">
        <v>272</v>
      </c>
      <c r="DB109" s="73" t="e">
        <f xml:space="preserve"> _xlfn.TEXTJOIN(" ", FALSE,#REF!)</f>
        <v>#REF!</v>
      </c>
      <c r="DC109" s="65" t="s">
        <v>277</v>
      </c>
      <c r="DD109" s="70" t="e">
        <f t="shared" si="11"/>
        <v>#REF!</v>
      </c>
      <c r="DE109" s="64" t="s">
        <v>273</v>
      </c>
      <c r="DF109" s="122"/>
      <c r="DG109" s="71" t="s">
        <v>274</v>
      </c>
      <c r="DH109" s="72" t="e">
        <f xml:space="preserve"> _xlfn.TEXTJOIN(" ", FALSE,#REF!)</f>
        <v>#REF!</v>
      </c>
      <c r="DI109" s="122"/>
      <c r="DJ109" s="71" t="s">
        <v>275</v>
      </c>
      <c r="DK109" s="73" t="e">
        <f xml:space="preserve"> _xlfn.TEXTJOIN(" ", FALSE,#REF!)</f>
        <v>#REF!</v>
      </c>
      <c r="DL109" s="65" t="s">
        <v>277</v>
      </c>
      <c r="DM109" s="70" t="e">
        <f t="shared" si="12"/>
        <v>#REF!</v>
      </c>
      <c r="DN109" s="70" t="e">
        <f t="shared" si="13"/>
        <v>#REF!</v>
      </c>
    </row>
    <row r="110" spans="1:118" ht="108" customHeight="1">
      <c r="A110" s="122" t="e">
        <f>Summary!A110</f>
        <v>#REF!</v>
      </c>
      <c r="B110" s="64" t="s">
        <v>233</v>
      </c>
      <c r="C110" s="65" t="e">
        <f>Summary!B110</f>
        <v>#REF!</v>
      </c>
      <c r="D110" s="122"/>
      <c r="E110" s="64" t="s">
        <v>235</v>
      </c>
      <c r="F110" s="132" t="e">
        <f>Summary!C110</f>
        <v>#REF!</v>
      </c>
      <c r="G110" s="64" t="s">
        <v>236</v>
      </c>
      <c r="H110" s="132" t="e">
        <f>Summary!D110</f>
        <v>#REF!</v>
      </c>
      <c r="I110" s="64" t="s">
        <v>237</v>
      </c>
      <c r="J110" s="66">
        <f>Summary!E110</f>
        <v>6</v>
      </c>
      <c r="K110" s="64" t="s">
        <v>238</v>
      </c>
      <c r="L110" s="132" t="e">
        <f>Summary!F110</f>
        <v>#REF!</v>
      </c>
      <c r="M110" s="64" t="s">
        <v>239</v>
      </c>
      <c r="N110" s="132" t="e">
        <f>Summary!G110</f>
        <v>#REF!</v>
      </c>
      <c r="O110" s="64" t="s">
        <v>240</v>
      </c>
      <c r="P110" s="132" t="e">
        <f>Summary!H110</f>
        <v>#REF!</v>
      </c>
      <c r="Q110" s="65" t="s">
        <v>277</v>
      </c>
      <c r="R110" s="70" t="e">
        <f t="shared" si="7"/>
        <v>#REF!</v>
      </c>
      <c r="S110" s="64" t="s">
        <v>243</v>
      </c>
      <c r="T110" s="122"/>
      <c r="U110" s="71" t="s">
        <v>244</v>
      </c>
      <c r="V110" s="72" t="e">
        <f xml:space="preserve"> _xlfn.TEXTJOIN(" ", FALSE,#REF!)</f>
        <v>#REF!</v>
      </c>
      <c r="W110" s="122"/>
      <c r="X110" s="71" t="s">
        <v>245</v>
      </c>
      <c r="Y110" s="72" t="e">
        <f xml:space="preserve"> _xlfn.TEXTJOIN(" ", FALSE,#REF!)</f>
        <v>#REF!</v>
      </c>
      <c r="Z110" s="122"/>
      <c r="AA110" s="71" t="s">
        <v>246</v>
      </c>
      <c r="AB110" s="72" t="e">
        <f xml:space="preserve"> _xlfn.TEXTJOIN(" ", FALSE,#REF!)</f>
        <v>#REF!</v>
      </c>
      <c r="AC110" s="122"/>
      <c r="AD110" s="71" t="s">
        <v>247</v>
      </c>
      <c r="AE110" s="72" t="e">
        <f xml:space="preserve"> _xlfn.TEXTJOIN(" ", FALSE,#REF!)</f>
        <v>#REF!</v>
      </c>
      <c r="AF110" s="122"/>
      <c r="AG110" s="71" t="s">
        <v>248</v>
      </c>
      <c r="AH110" s="73" t="e">
        <f xml:space="preserve"> _xlfn.TEXTJOIN(" ", FALSE,#REF!)</f>
        <v>#REF!</v>
      </c>
      <c r="AI110" s="122"/>
      <c r="AJ110" s="71" t="s">
        <v>249</v>
      </c>
      <c r="AK110" s="73" t="e">
        <f xml:space="preserve"> _xlfn.TEXTJOIN(" ", FALSE,#REF!)</f>
        <v>#REF!</v>
      </c>
      <c r="AL110" s="122"/>
      <c r="AM110" s="71" t="s">
        <v>250</v>
      </c>
      <c r="AN110" s="73" t="e">
        <f xml:space="preserve"> _xlfn.TEXTJOIN(" ", FALSE,#REF!)</f>
        <v>#REF!</v>
      </c>
      <c r="AO110" s="122"/>
      <c r="AP110" s="71" t="s">
        <v>251</v>
      </c>
      <c r="AQ110" s="72" t="e">
        <f xml:space="preserve"> _xlfn.TEXTJOIN(" ", FALSE,#REF!)</f>
        <v>#REF!</v>
      </c>
      <c r="AR110" s="122"/>
      <c r="AS110" s="71" t="s">
        <v>252</v>
      </c>
      <c r="AT110" s="72" t="e">
        <f xml:space="preserve"> _xlfn.TEXTJOIN(" ", FALSE,#REF!)</f>
        <v>#REF!</v>
      </c>
      <c r="AU110" s="122"/>
      <c r="AV110" s="71" t="s">
        <v>253</v>
      </c>
      <c r="AW110" s="73" t="e">
        <f xml:space="preserve"> _xlfn.TEXTJOIN(" ", FALSE,#REF!)</f>
        <v>#REF!</v>
      </c>
      <c r="AX110" s="122"/>
      <c r="AY110" s="71" t="s">
        <v>254</v>
      </c>
      <c r="AZ110" s="72" t="e">
        <f xml:space="preserve"> _xlfn.TEXTJOIN(" ", FALSE,#REF!)</f>
        <v>#REF!</v>
      </c>
      <c r="BA110" s="122"/>
      <c r="BB110" s="71" t="s">
        <v>255</v>
      </c>
      <c r="BC110" s="72" t="e">
        <f xml:space="preserve"> _xlfn.TEXTJOIN(" ", FALSE,#REF!)</f>
        <v>#REF!</v>
      </c>
      <c r="BD110" s="122"/>
      <c r="BE110" s="71" t="s">
        <v>256</v>
      </c>
      <c r="BF110" s="72" t="e">
        <f xml:space="preserve"> _xlfn.TEXTJOIN(" ", FALSE,#REF!)</f>
        <v>#REF!</v>
      </c>
      <c r="BG110" s="65" t="s">
        <v>277</v>
      </c>
      <c r="BH110" s="70" t="e">
        <f t="shared" si="8"/>
        <v>#REF!</v>
      </c>
      <c r="BI110" s="64" t="s">
        <v>257</v>
      </c>
      <c r="BJ110" s="122"/>
      <c r="BK110" s="71" t="s">
        <v>258</v>
      </c>
      <c r="BL110" s="74" t="str">
        <f>_xlfn.TEXTJOIN(" ", FALSE, 'Task 2a - Mitigating the Proble'!U110:AC110)</f>
        <v xml:space="preserve">1 1 0 0 1 1 0 0 </v>
      </c>
      <c r="BM110" s="65" t="s">
        <v>277</v>
      </c>
      <c r="BN110" s="70" t="str">
        <f t="shared" si="9"/>
        <v>[Details for Task 2a:]  /Question 12: 1 1 0 0 1 1 0 0  .</v>
      </c>
      <c r="BO110" s="64" t="s">
        <v>259</v>
      </c>
      <c r="BP110" s="122"/>
      <c r="BQ110" s="71" t="s">
        <v>260</v>
      </c>
      <c r="BR110" s="73" t="e">
        <f xml:space="preserve"> _xlfn.TEXTJOIN(" ", FALSE,#REF!)</f>
        <v>#REF!</v>
      </c>
      <c r="BS110" s="122"/>
      <c r="BT110" s="71" t="s">
        <v>261</v>
      </c>
      <c r="BU110" s="73" t="e">
        <f xml:space="preserve"> _xlfn.TEXTJOIN(" ", FALSE,#REF!)</f>
        <v>#REF!</v>
      </c>
      <c r="BV110" s="122"/>
      <c r="BW110" s="71" t="s">
        <v>262</v>
      </c>
      <c r="BX110" s="73" t="e">
        <f xml:space="preserve"> _xlfn.TEXTJOIN(" ", FALSE,#REF!)</f>
        <v>#REF!</v>
      </c>
      <c r="BY110" s="122"/>
      <c r="BZ110" s="71" t="s">
        <v>263</v>
      </c>
      <c r="CA110" s="73" t="e">
        <f xml:space="preserve"> _xlfn.TEXTJOIN(" ", FALSE,#REF!)</f>
        <v>#REF!</v>
      </c>
      <c r="CB110" s="122"/>
      <c r="CC110" s="71" t="s">
        <v>264</v>
      </c>
      <c r="CD110" s="73" t="e">
        <f xml:space="preserve"> _xlfn.TEXTJOIN(" ", FALSE,#REF!)</f>
        <v>#REF!</v>
      </c>
      <c r="CE110" s="122"/>
      <c r="CF110" s="71" t="s">
        <v>265</v>
      </c>
      <c r="CG110" s="73" t="e">
        <f xml:space="preserve"> _xlfn.TEXTJOIN(" ", FALSE,#REF!)</f>
        <v>#REF!</v>
      </c>
      <c r="CH110" s="122"/>
      <c r="CI110" s="74" t="s">
        <v>278</v>
      </c>
      <c r="CJ110" s="73" t="e">
        <f xml:space="preserve"> _xlfn.TEXTJOIN(" ", FALSE,#REF!)</f>
        <v>#REF!</v>
      </c>
      <c r="CK110" s="65" t="s">
        <v>277</v>
      </c>
      <c r="CL110" s="70" t="e">
        <f t="shared" si="10"/>
        <v>#REF!</v>
      </c>
      <c r="CM110" s="64" t="s">
        <v>267</v>
      </c>
      <c r="CN110" s="122"/>
      <c r="CO110" s="71" t="s">
        <v>268</v>
      </c>
      <c r="CP110" s="73" t="e">
        <f xml:space="preserve"> _xlfn.TEXTJOIN(" ", FALSE,#REF!)</f>
        <v>#REF!</v>
      </c>
      <c r="CQ110" s="122"/>
      <c r="CR110" s="71" t="s">
        <v>269</v>
      </c>
      <c r="CS110" s="73" t="e">
        <f xml:space="preserve"> _xlfn.TEXTJOIN(" ", FALSE,#REF!)</f>
        <v>#REF!</v>
      </c>
      <c r="CT110" s="122"/>
      <c r="CU110" s="71" t="s">
        <v>270</v>
      </c>
      <c r="CV110" s="72" t="e">
        <f xml:space="preserve"> _xlfn.TEXTJOIN(" ", FALSE,#REF!)</f>
        <v>#REF!</v>
      </c>
      <c r="CW110" s="122"/>
      <c r="CX110" s="71" t="s">
        <v>271</v>
      </c>
      <c r="CY110" s="72" t="e">
        <f xml:space="preserve"> _xlfn.TEXTJOIN(" ", FALSE,#REF!)</f>
        <v>#REF!</v>
      </c>
      <c r="CZ110" s="122"/>
      <c r="DA110" s="71" t="s">
        <v>272</v>
      </c>
      <c r="DB110" s="73" t="e">
        <f xml:space="preserve"> _xlfn.TEXTJOIN(" ", FALSE,#REF!)</f>
        <v>#REF!</v>
      </c>
      <c r="DC110" s="65" t="s">
        <v>277</v>
      </c>
      <c r="DD110" s="70" t="e">
        <f t="shared" si="11"/>
        <v>#REF!</v>
      </c>
      <c r="DE110" s="64" t="s">
        <v>273</v>
      </c>
      <c r="DF110" s="122"/>
      <c r="DG110" s="71" t="s">
        <v>274</v>
      </c>
      <c r="DH110" s="72" t="e">
        <f xml:space="preserve"> _xlfn.TEXTJOIN(" ", FALSE,#REF!)</f>
        <v>#REF!</v>
      </c>
      <c r="DI110" s="122"/>
      <c r="DJ110" s="71" t="s">
        <v>275</v>
      </c>
      <c r="DK110" s="73" t="e">
        <f xml:space="preserve"> _xlfn.TEXTJOIN(" ", FALSE,#REF!)</f>
        <v>#REF!</v>
      </c>
      <c r="DL110" s="65" t="s">
        <v>277</v>
      </c>
      <c r="DM110" s="70" t="e">
        <f t="shared" si="12"/>
        <v>#REF!</v>
      </c>
      <c r="DN110" s="70" t="e">
        <f t="shared" si="13"/>
        <v>#REF!</v>
      </c>
    </row>
    <row r="111" spans="1:118" ht="108" customHeight="1">
      <c r="A111" s="122" t="e">
        <f>Summary!A111</f>
        <v>#REF!</v>
      </c>
      <c r="B111" s="64" t="s">
        <v>233</v>
      </c>
      <c r="C111" s="65" t="e">
        <f>Summary!B111</f>
        <v>#REF!</v>
      </c>
      <c r="D111" s="122"/>
      <c r="E111" s="64" t="s">
        <v>235</v>
      </c>
      <c r="F111" s="132" t="e">
        <f>Summary!C111</f>
        <v>#REF!</v>
      </c>
      <c r="G111" s="64" t="s">
        <v>236</v>
      </c>
      <c r="H111" s="132" t="e">
        <f>Summary!D111</f>
        <v>#REF!</v>
      </c>
      <c r="I111" s="64" t="s">
        <v>237</v>
      </c>
      <c r="J111" s="66">
        <f>Summary!E111</f>
        <v>6</v>
      </c>
      <c r="K111" s="64" t="s">
        <v>238</v>
      </c>
      <c r="L111" s="132" t="e">
        <f>Summary!F111</f>
        <v>#REF!</v>
      </c>
      <c r="M111" s="64" t="s">
        <v>239</v>
      </c>
      <c r="N111" s="132" t="e">
        <f>Summary!G111</f>
        <v>#REF!</v>
      </c>
      <c r="O111" s="64" t="s">
        <v>240</v>
      </c>
      <c r="P111" s="132" t="e">
        <f>Summary!H111</f>
        <v>#REF!</v>
      </c>
      <c r="Q111" s="65" t="s">
        <v>277</v>
      </c>
      <c r="R111" s="70" t="e">
        <f t="shared" si="7"/>
        <v>#REF!</v>
      </c>
      <c r="S111" s="64" t="s">
        <v>243</v>
      </c>
      <c r="T111" s="122"/>
      <c r="U111" s="71" t="s">
        <v>244</v>
      </c>
      <c r="V111" s="72" t="e">
        <f xml:space="preserve"> _xlfn.TEXTJOIN(" ", FALSE,#REF!)</f>
        <v>#REF!</v>
      </c>
      <c r="W111" s="122"/>
      <c r="X111" s="71" t="s">
        <v>245</v>
      </c>
      <c r="Y111" s="72" t="e">
        <f xml:space="preserve"> _xlfn.TEXTJOIN(" ", FALSE,#REF!)</f>
        <v>#REF!</v>
      </c>
      <c r="Z111" s="122"/>
      <c r="AA111" s="71" t="s">
        <v>246</v>
      </c>
      <c r="AB111" s="72" t="e">
        <f xml:space="preserve"> _xlfn.TEXTJOIN(" ", FALSE,#REF!)</f>
        <v>#REF!</v>
      </c>
      <c r="AC111" s="122"/>
      <c r="AD111" s="71" t="s">
        <v>247</v>
      </c>
      <c r="AE111" s="72" t="e">
        <f xml:space="preserve"> _xlfn.TEXTJOIN(" ", FALSE,#REF!)</f>
        <v>#REF!</v>
      </c>
      <c r="AF111" s="122"/>
      <c r="AG111" s="71" t="s">
        <v>248</v>
      </c>
      <c r="AH111" s="73" t="e">
        <f xml:space="preserve"> _xlfn.TEXTJOIN(" ", FALSE,#REF!)</f>
        <v>#REF!</v>
      </c>
      <c r="AI111" s="122"/>
      <c r="AJ111" s="71" t="s">
        <v>249</v>
      </c>
      <c r="AK111" s="73" t="e">
        <f xml:space="preserve"> _xlfn.TEXTJOIN(" ", FALSE,#REF!)</f>
        <v>#REF!</v>
      </c>
      <c r="AL111" s="122"/>
      <c r="AM111" s="71" t="s">
        <v>250</v>
      </c>
      <c r="AN111" s="73" t="e">
        <f xml:space="preserve"> _xlfn.TEXTJOIN(" ", FALSE,#REF!)</f>
        <v>#REF!</v>
      </c>
      <c r="AO111" s="122"/>
      <c r="AP111" s="71" t="s">
        <v>251</v>
      </c>
      <c r="AQ111" s="72" t="e">
        <f xml:space="preserve"> _xlfn.TEXTJOIN(" ", FALSE,#REF!)</f>
        <v>#REF!</v>
      </c>
      <c r="AR111" s="122"/>
      <c r="AS111" s="71" t="s">
        <v>252</v>
      </c>
      <c r="AT111" s="72" t="e">
        <f xml:space="preserve"> _xlfn.TEXTJOIN(" ", FALSE,#REF!)</f>
        <v>#REF!</v>
      </c>
      <c r="AU111" s="122"/>
      <c r="AV111" s="71" t="s">
        <v>253</v>
      </c>
      <c r="AW111" s="73" t="e">
        <f xml:space="preserve"> _xlfn.TEXTJOIN(" ", FALSE,#REF!)</f>
        <v>#REF!</v>
      </c>
      <c r="AX111" s="122"/>
      <c r="AY111" s="71" t="s">
        <v>254</v>
      </c>
      <c r="AZ111" s="72" t="e">
        <f xml:space="preserve"> _xlfn.TEXTJOIN(" ", FALSE,#REF!)</f>
        <v>#REF!</v>
      </c>
      <c r="BA111" s="122"/>
      <c r="BB111" s="71" t="s">
        <v>255</v>
      </c>
      <c r="BC111" s="72" t="e">
        <f xml:space="preserve"> _xlfn.TEXTJOIN(" ", FALSE,#REF!)</f>
        <v>#REF!</v>
      </c>
      <c r="BD111" s="122"/>
      <c r="BE111" s="71" t="s">
        <v>256</v>
      </c>
      <c r="BF111" s="72" t="e">
        <f xml:space="preserve"> _xlfn.TEXTJOIN(" ", FALSE,#REF!)</f>
        <v>#REF!</v>
      </c>
      <c r="BG111" s="65" t="s">
        <v>277</v>
      </c>
      <c r="BH111" s="70" t="e">
        <f t="shared" si="8"/>
        <v>#REF!</v>
      </c>
      <c r="BI111" s="64" t="s">
        <v>257</v>
      </c>
      <c r="BJ111" s="122"/>
      <c r="BK111" s="71" t="s">
        <v>258</v>
      </c>
      <c r="BL111" s="74" t="str">
        <f>_xlfn.TEXTJOIN(" ", FALSE, 'Task 2a - Mitigating the Proble'!U111:AC111)</f>
        <v xml:space="preserve">1 0 0 1 0 1 0 0 </v>
      </c>
      <c r="BM111" s="65" t="s">
        <v>277</v>
      </c>
      <c r="BN111" s="70" t="str">
        <f t="shared" si="9"/>
        <v>[Details for Task 2a:]  /Question 12: 1 0 0 1 0 1 0 0  .</v>
      </c>
      <c r="BO111" s="64" t="s">
        <v>259</v>
      </c>
      <c r="BP111" s="122"/>
      <c r="BQ111" s="71" t="s">
        <v>260</v>
      </c>
      <c r="BR111" s="73" t="e">
        <f xml:space="preserve"> _xlfn.TEXTJOIN(" ", FALSE,#REF!)</f>
        <v>#REF!</v>
      </c>
      <c r="BS111" s="122"/>
      <c r="BT111" s="71" t="s">
        <v>261</v>
      </c>
      <c r="BU111" s="73" t="e">
        <f xml:space="preserve"> _xlfn.TEXTJOIN(" ", FALSE,#REF!)</f>
        <v>#REF!</v>
      </c>
      <c r="BV111" s="122"/>
      <c r="BW111" s="71" t="s">
        <v>262</v>
      </c>
      <c r="BX111" s="73" t="e">
        <f xml:space="preserve"> _xlfn.TEXTJOIN(" ", FALSE,#REF!)</f>
        <v>#REF!</v>
      </c>
      <c r="BY111" s="122"/>
      <c r="BZ111" s="71" t="s">
        <v>263</v>
      </c>
      <c r="CA111" s="73" t="e">
        <f xml:space="preserve"> _xlfn.TEXTJOIN(" ", FALSE,#REF!)</f>
        <v>#REF!</v>
      </c>
      <c r="CB111" s="122"/>
      <c r="CC111" s="71" t="s">
        <v>264</v>
      </c>
      <c r="CD111" s="73" t="e">
        <f xml:space="preserve"> _xlfn.TEXTJOIN(" ", FALSE,#REF!)</f>
        <v>#REF!</v>
      </c>
      <c r="CE111" s="122"/>
      <c r="CF111" s="71" t="s">
        <v>265</v>
      </c>
      <c r="CG111" s="73" t="e">
        <f xml:space="preserve"> _xlfn.TEXTJOIN(" ", FALSE,#REF!)</f>
        <v>#REF!</v>
      </c>
      <c r="CH111" s="122"/>
      <c r="CI111" s="74" t="s">
        <v>278</v>
      </c>
      <c r="CJ111" s="73" t="e">
        <f xml:space="preserve"> _xlfn.TEXTJOIN(" ", FALSE,#REF!)</f>
        <v>#REF!</v>
      </c>
      <c r="CK111" s="65" t="s">
        <v>277</v>
      </c>
      <c r="CL111" s="70" t="e">
        <f t="shared" si="10"/>
        <v>#REF!</v>
      </c>
      <c r="CM111" s="64" t="s">
        <v>267</v>
      </c>
      <c r="CN111" s="122"/>
      <c r="CO111" s="71" t="s">
        <v>268</v>
      </c>
      <c r="CP111" s="73" t="e">
        <f xml:space="preserve"> _xlfn.TEXTJOIN(" ", FALSE,#REF!)</f>
        <v>#REF!</v>
      </c>
      <c r="CQ111" s="122"/>
      <c r="CR111" s="71" t="s">
        <v>269</v>
      </c>
      <c r="CS111" s="73" t="e">
        <f xml:space="preserve"> _xlfn.TEXTJOIN(" ", FALSE,#REF!)</f>
        <v>#REF!</v>
      </c>
      <c r="CT111" s="122"/>
      <c r="CU111" s="71" t="s">
        <v>270</v>
      </c>
      <c r="CV111" s="72" t="e">
        <f xml:space="preserve"> _xlfn.TEXTJOIN(" ", FALSE,#REF!)</f>
        <v>#REF!</v>
      </c>
      <c r="CW111" s="122"/>
      <c r="CX111" s="71" t="s">
        <v>271</v>
      </c>
      <c r="CY111" s="72" t="e">
        <f xml:space="preserve"> _xlfn.TEXTJOIN(" ", FALSE,#REF!)</f>
        <v>#REF!</v>
      </c>
      <c r="CZ111" s="122"/>
      <c r="DA111" s="71" t="s">
        <v>272</v>
      </c>
      <c r="DB111" s="73" t="e">
        <f xml:space="preserve"> _xlfn.TEXTJOIN(" ", FALSE,#REF!)</f>
        <v>#REF!</v>
      </c>
      <c r="DC111" s="65" t="s">
        <v>277</v>
      </c>
      <c r="DD111" s="70" t="e">
        <f t="shared" si="11"/>
        <v>#REF!</v>
      </c>
      <c r="DE111" s="64" t="s">
        <v>273</v>
      </c>
      <c r="DF111" s="122"/>
      <c r="DG111" s="71" t="s">
        <v>274</v>
      </c>
      <c r="DH111" s="72" t="e">
        <f xml:space="preserve"> _xlfn.TEXTJOIN(" ", FALSE,#REF!)</f>
        <v>#REF!</v>
      </c>
      <c r="DI111" s="122"/>
      <c r="DJ111" s="71" t="s">
        <v>275</v>
      </c>
      <c r="DK111" s="73" t="e">
        <f xml:space="preserve"> _xlfn.TEXTJOIN(" ", FALSE,#REF!)</f>
        <v>#REF!</v>
      </c>
      <c r="DL111" s="65" t="s">
        <v>277</v>
      </c>
      <c r="DM111" s="70" t="e">
        <f t="shared" si="12"/>
        <v>#REF!</v>
      </c>
      <c r="DN111" s="70" t="e">
        <f t="shared" si="13"/>
        <v>#REF!</v>
      </c>
    </row>
    <row r="112" spans="1:118" ht="108" customHeight="1">
      <c r="A112" s="122" t="e">
        <f>Summary!A112</f>
        <v>#REF!</v>
      </c>
      <c r="B112" s="64" t="s">
        <v>233</v>
      </c>
      <c r="C112" s="65" t="e">
        <f>Summary!B112</f>
        <v>#REF!</v>
      </c>
      <c r="D112" s="122"/>
      <c r="E112" s="64" t="s">
        <v>235</v>
      </c>
      <c r="F112" s="132" t="e">
        <f>Summary!C112</f>
        <v>#REF!</v>
      </c>
      <c r="G112" s="64" t="s">
        <v>236</v>
      </c>
      <c r="H112" s="132" t="e">
        <f>Summary!D112</f>
        <v>#REF!</v>
      </c>
      <c r="I112" s="64" t="s">
        <v>237</v>
      </c>
      <c r="J112" s="66">
        <f>Summary!E112</f>
        <v>8</v>
      </c>
      <c r="K112" s="64" t="s">
        <v>238</v>
      </c>
      <c r="L112" s="132" t="e">
        <f>Summary!F112</f>
        <v>#REF!</v>
      </c>
      <c r="M112" s="64" t="s">
        <v>239</v>
      </c>
      <c r="N112" s="132" t="e">
        <f>Summary!G112</f>
        <v>#REF!</v>
      </c>
      <c r="O112" s="64" t="s">
        <v>240</v>
      </c>
      <c r="P112" s="132" t="e">
        <f>Summary!H112</f>
        <v>#REF!</v>
      </c>
      <c r="Q112" s="65" t="s">
        <v>277</v>
      </c>
      <c r="R112" s="70" t="e">
        <f t="shared" si="7"/>
        <v>#REF!</v>
      </c>
      <c r="S112" s="64" t="s">
        <v>243</v>
      </c>
      <c r="T112" s="122"/>
      <c r="U112" s="71" t="s">
        <v>244</v>
      </c>
      <c r="V112" s="72" t="e">
        <f xml:space="preserve"> _xlfn.TEXTJOIN(" ", FALSE,#REF!)</f>
        <v>#REF!</v>
      </c>
      <c r="W112" s="122"/>
      <c r="X112" s="71" t="s">
        <v>245</v>
      </c>
      <c r="Y112" s="72" t="e">
        <f xml:space="preserve"> _xlfn.TEXTJOIN(" ", FALSE,#REF!)</f>
        <v>#REF!</v>
      </c>
      <c r="Z112" s="122"/>
      <c r="AA112" s="71" t="s">
        <v>246</v>
      </c>
      <c r="AB112" s="72" t="e">
        <f xml:space="preserve"> _xlfn.TEXTJOIN(" ", FALSE,#REF!)</f>
        <v>#REF!</v>
      </c>
      <c r="AC112" s="122"/>
      <c r="AD112" s="71" t="s">
        <v>247</v>
      </c>
      <c r="AE112" s="72" t="e">
        <f xml:space="preserve"> _xlfn.TEXTJOIN(" ", FALSE,#REF!)</f>
        <v>#REF!</v>
      </c>
      <c r="AF112" s="122"/>
      <c r="AG112" s="71" t="s">
        <v>248</v>
      </c>
      <c r="AH112" s="73" t="e">
        <f xml:space="preserve"> _xlfn.TEXTJOIN(" ", FALSE,#REF!)</f>
        <v>#REF!</v>
      </c>
      <c r="AI112" s="122"/>
      <c r="AJ112" s="71" t="s">
        <v>249</v>
      </c>
      <c r="AK112" s="73" t="e">
        <f xml:space="preserve"> _xlfn.TEXTJOIN(" ", FALSE,#REF!)</f>
        <v>#REF!</v>
      </c>
      <c r="AL112" s="122"/>
      <c r="AM112" s="71" t="s">
        <v>250</v>
      </c>
      <c r="AN112" s="73" t="e">
        <f xml:space="preserve"> _xlfn.TEXTJOIN(" ", FALSE,#REF!)</f>
        <v>#REF!</v>
      </c>
      <c r="AO112" s="122"/>
      <c r="AP112" s="71" t="s">
        <v>251</v>
      </c>
      <c r="AQ112" s="72" t="e">
        <f xml:space="preserve"> _xlfn.TEXTJOIN(" ", FALSE,#REF!)</f>
        <v>#REF!</v>
      </c>
      <c r="AR112" s="122"/>
      <c r="AS112" s="71" t="s">
        <v>252</v>
      </c>
      <c r="AT112" s="72" t="e">
        <f xml:space="preserve"> _xlfn.TEXTJOIN(" ", FALSE,#REF!)</f>
        <v>#REF!</v>
      </c>
      <c r="AU112" s="122"/>
      <c r="AV112" s="71" t="s">
        <v>253</v>
      </c>
      <c r="AW112" s="73" t="e">
        <f xml:space="preserve"> _xlfn.TEXTJOIN(" ", FALSE,#REF!)</f>
        <v>#REF!</v>
      </c>
      <c r="AX112" s="122"/>
      <c r="AY112" s="71" t="s">
        <v>254</v>
      </c>
      <c r="AZ112" s="72" t="e">
        <f xml:space="preserve"> _xlfn.TEXTJOIN(" ", FALSE,#REF!)</f>
        <v>#REF!</v>
      </c>
      <c r="BA112" s="122"/>
      <c r="BB112" s="71" t="s">
        <v>255</v>
      </c>
      <c r="BC112" s="72" t="e">
        <f xml:space="preserve"> _xlfn.TEXTJOIN(" ", FALSE,#REF!)</f>
        <v>#REF!</v>
      </c>
      <c r="BD112" s="122"/>
      <c r="BE112" s="71" t="s">
        <v>256</v>
      </c>
      <c r="BF112" s="72" t="e">
        <f xml:space="preserve"> _xlfn.TEXTJOIN(" ", FALSE,#REF!)</f>
        <v>#REF!</v>
      </c>
      <c r="BG112" s="65" t="s">
        <v>277</v>
      </c>
      <c r="BH112" s="70" t="e">
        <f t="shared" si="8"/>
        <v>#REF!</v>
      </c>
      <c r="BI112" s="64" t="s">
        <v>257</v>
      </c>
      <c r="BJ112" s="122"/>
      <c r="BK112" s="71" t="s">
        <v>258</v>
      </c>
      <c r="BL112" s="74" t="str">
        <f>_xlfn.TEXTJOIN(" ", FALSE, 'Task 2a - Mitigating the Proble'!U112:AC112)</f>
        <v xml:space="preserve">1 1 1 1 1 1 0 0 </v>
      </c>
      <c r="BM112" s="65" t="s">
        <v>277</v>
      </c>
      <c r="BN112" s="70" t="str">
        <f t="shared" si="9"/>
        <v>[Details for Task 2a:]  /Question 12: 1 1 1 1 1 1 0 0  .</v>
      </c>
      <c r="BO112" s="64" t="s">
        <v>259</v>
      </c>
      <c r="BP112" s="122"/>
      <c r="BQ112" s="71" t="s">
        <v>260</v>
      </c>
      <c r="BR112" s="73" t="e">
        <f xml:space="preserve"> _xlfn.TEXTJOIN(" ", FALSE,#REF!)</f>
        <v>#REF!</v>
      </c>
      <c r="BS112" s="122"/>
      <c r="BT112" s="71" t="s">
        <v>261</v>
      </c>
      <c r="BU112" s="73" t="e">
        <f xml:space="preserve"> _xlfn.TEXTJOIN(" ", FALSE,#REF!)</f>
        <v>#REF!</v>
      </c>
      <c r="BV112" s="122"/>
      <c r="BW112" s="71" t="s">
        <v>262</v>
      </c>
      <c r="BX112" s="73" t="e">
        <f xml:space="preserve"> _xlfn.TEXTJOIN(" ", FALSE,#REF!)</f>
        <v>#REF!</v>
      </c>
      <c r="BY112" s="122"/>
      <c r="BZ112" s="71" t="s">
        <v>263</v>
      </c>
      <c r="CA112" s="73" t="e">
        <f xml:space="preserve"> _xlfn.TEXTJOIN(" ", FALSE,#REF!)</f>
        <v>#REF!</v>
      </c>
      <c r="CB112" s="122"/>
      <c r="CC112" s="71" t="s">
        <v>264</v>
      </c>
      <c r="CD112" s="73" t="e">
        <f xml:space="preserve"> _xlfn.TEXTJOIN(" ", FALSE,#REF!)</f>
        <v>#REF!</v>
      </c>
      <c r="CE112" s="122"/>
      <c r="CF112" s="71" t="s">
        <v>265</v>
      </c>
      <c r="CG112" s="73" t="e">
        <f xml:space="preserve"> _xlfn.TEXTJOIN(" ", FALSE,#REF!)</f>
        <v>#REF!</v>
      </c>
      <c r="CH112" s="122"/>
      <c r="CI112" s="74" t="s">
        <v>278</v>
      </c>
      <c r="CJ112" s="73" t="e">
        <f xml:space="preserve"> _xlfn.TEXTJOIN(" ", FALSE,#REF!)</f>
        <v>#REF!</v>
      </c>
      <c r="CK112" s="65" t="s">
        <v>277</v>
      </c>
      <c r="CL112" s="70" t="e">
        <f t="shared" si="10"/>
        <v>#REF!</v>
      </c>
      <c r="CM112" s="64" t="s">
        <v>267</v>
      </c>
      <c r="CN112" s="122"/>
      <c r="CO112" s="71" t="s">
        <v>268</v>
      </c>
      <c r="CP112" s="73" t="e">
        <f xml:space="preserve"> _xlfn.TEXTJOIN(" ", FALSE,#REF!)</f>
        <v>#REF!</v>
      </c>
      <c r="CQ112" s="122"/>
      <c r="CR112" s="71" t="s">
        <v>269</v>
      </c>
      <c r="CS112" s="73" t="e">
        <f xml:space="preserve"> _xlfn.TEXTJOIN(" ", FALSE,#REF!)</f>
        <v>#REF!</v>
      </c>
      <c r="CT112" s="122"/>
      <c r="CU112" s="71" t="s">
        <v>270</v>
      </c>
      <c r="CV112" s="72" t="e">
        <f xml:space="preserve"> _xlfn.TEXTJOIN(" ", FALSE,#REF!)</f>
        <v>#REF!</v>
      </c>
      <c r="CW112" s="122"/>
      <c r="CX112" s="71" t="s">
        <v>271</v>
      </c>
      <c r="CY112" s="72" t="e">
        <f xml:space="preserve"> _xlfn.TEXTJOIN(" ", FALSE,#REF!)</f>
        <v>#REF!</v>
      </c>
      <c r="CZ112" s="122"/>
      <c r="DA112" s="71" t="s">
        <v>272</v>
      </c>
      <c r="DB112" s="73" t="e">
        <f xml:space="preserve"> _xlfn.TEXTJOIN(" ", FALSE,#REF!)</f>
        <v>#REF!</v>
      </c>
      <c r="DC112" s="65" t="s">
        <v>277</v>
      </c>
      <c r="DD112" s="70" t="e">
        <f t="shared" si="11"/>
        <v>#REF!</v>
      </c>
      <c r="DE112" s="64" t="s">
        <v>273</v>
      </c>
      <c r="DF112" s="122"/>
      <c r="DG112" s="71" t="s">
        <v>274</v>
      </c>
      <c r="DH112" s="72" t="e">
        <f xml:space="preserve"> _xlfn.TEXTJOIN(" ", FALSE,#REF!)</f>
        <v>#REF!</v>
      </c>
      <c r="DI112" s="122"/>
      <c r="DJ112" s="71" t="s">
        <v>275</v>
      </c>
      <c r="DK112" s="73" t="e">
        <f xml:space="preserve"> _xlfn.TEXTJOIN(" ", FALSE,#REF!)</f>
        <v>#REF!</v>
      </c>
      <c r="DL112" s="65" t="s">
        <v>277</v>
      </c>
      <c r="DM112" s="70" t="e">
        <f t="shared" si="12"/>
        <v>#REF!</v>
      </c>
      <c r="DN112" s="70" t="e">
        <f t="shared" si="13"/>
        <v>#REF!</v>
      </c>
    </row>
    <row r="113" spans="1:118" ht="108" customHeight="1">
      <c r="A113" s="122" t="e">
        <f>Summary!A113</f>
        <v>#REF!</v>
      </c>
      <c r="B113" s="64" t="s">
        <v>233</v>
      </c>
      <c r="C113" s="65" t="e">
        <f>Summary!B113</f>
        <v>#REF!</v>
      </c>
      <c r="D113" s="122"/>
      <c r="E113" s="64" t="s">
        <v>235</v>
      </c>
      <c r="F113" s="132" t="e">
        <f>Summary!C113</f>
        <v>#REF!</v>
      </c>
      <c r="G113" s="64" t="s">
        <v>236</v>
      </c>
      <c r="H113" s="132" t="e">
        <f>Summary!D113</f>
        <v>#REF!</v>
      </c>
      <c r="I113" s="64" t="s">
        <v>237</v>
      </c>
      <c r="J113" s="66">
        <f>Summary!E113</f>
        <v>7</v>
      </c>
      <c r="K113" s="64" t="s">
        <v>238</v>
      </c>
      <c r="L113" s="132" t="e">
        <f>Summary!F113</f>
        <v>#REF!</v>
      </c>
      <c r="M113" s="64" t="s">
        <v>239</v>
      </c>
      <c r="N113" s="132" t="e">
        <f>Summary!G113</f>
        <v>#REF!</v>
      </c>
      <c r="O113" s="64" t="s">
        <v>240</v>
      </c>
      <c r="P113" s="132" t="e">
        <f>Summary!H113</f>
        <v>#REF!</v>
      </c>
      <c r="Q113" s="65" t="s">
        <v>277</v>
      </c>
      <c r="R113" s="70" t="e">
        <f t="shared" si="7"/>
        <v>#REF!</v>
      </c>
      <c r="S113" s="64" t="s">
        <v>243</v>
      </c>
      <c r="T113" s="122"/>
      <c r="U113" s="71" t="s">
        <v>244</v>
      </c>
      <c r="V113" s="72" t="e">
        <f xml:space="preserve"> _xlfn.TEXTJOIN(" ", FALSE,#REF!)</f>
        <v>#REF!</v>
      </c>
      <c r="W113" s="122"/>
      <c r="X113" s="71" t="s">
        <v>245</v>
      </c>
      <c r="Y113" s="72" t="e">
        <f xml:space="preserve"> _xlfn.TEXTJOIN(" ", FALSE,#REF!)</f>
        <v>#REF!</v>
      </c>
      <c r="Z113" s="122"/>
      <c r="AA113" s="71" t="s">
        <v>246</v>
      </c>
      <c r="AB113" s="72" t="e">
        <f xml:space="preserve"> _xlfn.TEXTJOIN(" ", FALSE,#REF!)</f>
        <v>#REF!</v>
      </c>
      <c r="AC113" s="122"/>
      <c r="AD113" s="71" t="s">
        <v>247</v>
      </c>
      <c r="AE113" s="72" t="e">
        <f xml:space="preserve"> _xlfn.TEXTJOIN(" ", FALSE,#REF!)</f>
        <v>#REF!</v>
      </c>
      <c r="AF113" s="122"/>
      <c r="AG113" s="71" t="s">
        <v>248</v>
      </c>
      <c r="AH113" s="73" t="e">
        <f xml:space="preserve"> _xlfn.TEXTJOIN(" ", FALSE,#REF!)</f>
        <v>#REF!</v>
      </c>
      <c r="AI113" s="122"/>
      <c r="AJ113" s="71" t="s">
        <v>249</v>
      </c>
      <c r="AK113" s="73" t="e">
        <f xml:space="preserve"> _xlfn.TEXTJOIN(" ", FALSE,#REF!)</f>
        <v>#REF!</v>
      </c>
      <c r="AL113" s="122"/>
      <c r="AM113" s="71" t="s">
        <v>250</v>
      </c>
      <c r="AN113" s="73" t="e">
        <f xml:space="preserve"> _xlfn.TEXTJOIN(" ", FALSE,#REF!)</f>
        <v>#REF!</v>
      </c>
      <c r="AO113" s="122"/>
      <c r="AP113" s="71" t="s">
        <v>251</v>
      </c>
      <c r="AQ113" s="72" t="e">
        <f xml:space="preserve"> _xlfn.TEXTJOIN(" ", FALSE,#REF!)</f>
        <v>#REF!</v>
      </c>
      <c r="AR113" s="122"/>
      <c r="AS113" s="71" t="s">
        <v>252</v>
      </c>
      <c r="AT113" s="72" t="e">
        <f xml:space="preserve"> _xlfn.TEXTJOIN(" ", FALSE,#REF!)</f>
        <v>#REF!</v>
      </c>
      <c r="AU113" s="122"/>
      <c r="AV113" s="71" t="s">
        <v>253</v>
      </c>
      <c r="AW113" s="73" t="e">
        <f xml:space="preserve"> _xlfn.TEXTJOIN(" ", FALSE,#REF!)</f>
        <v>#REF!</v>
      </c>
      <c r="AX113" s="122"/>
      <c r="AY113" s="71" t="s">
        <v>254</v>
      </c>
      <c r="AZ113" s="72" t="e">
        <f xml:space="preserve"> _xlfn.TEXTJOIN(" ", FALSE,#REF!)</f>
        <v>#REF!</v>
      </c>
      <c r="BA113" s="122"/>
      <c r="BB113" s="71" t="s">
        <v>255</v>
      </c>
      <c r="BC113" s="72" t="e">
        <f xml:space="preserve"> _xlfn.TEXTJOIN(" ", FALSE,#REF!)</f>
        <v>#REF!</v>
      </c>
      <c r="BD113" s="122"/>
      <c r="BE113" s="71" t="s">
        <v>256</v>
      </c>
      <c r="BF113" s="72" t="e">
        <f xml:space="preserve"> _xlfn.TEXTJOIN(" ", FALSE,#REF!)</f>
        <v>#REF!</v>
      </c>
      <c r="BG113" s="65" t="s">
        <v>277</v>
      </c>
      <c r="BH113" s="70" t="e">
        <f t="shared" si="8"/>
        <v>#REF!</v>
      </c>
      <c r="BI113" s="64" t="s">
        <v>257</v>
      </c>
      <c r="BJ113" s="122"/>
      <c r="BK113" s="71" t="s">
        <v>258</v>
      </c>
      <c r="BL113" s="74" t="str">
        <f>_xlfn.TEXTJOIN(" ", FALSE, 'Task 2a - Mitigating the Proble'!U113:AC113)</f>
        <v xml:space="preserve">1 1 0 0 1 1 1 0 </v>
      </c>
      <c r="BM113" s="65" t="s">
        <v>277</v>
      </c>
      <c r="BN113" s="70" t="str">
        <f t="shared" si="9"/>
        <v>[Details for Task 2a:]  /Question 12: 1 1 0 0 1 1 1 0  .</v>
      </c>
      <c r="BO113" s="64" t="s">
        <v>259</v>
      </c>
      <c r="BP113" s="122"/>
      <c r="BQ113" s="71" t="s">
        <v>260</v>
      </c>
      <c r="BR113" s="73" t="e">
        <f xml:space="preserve"> _xlfn.TEXTJOIN(" ", FALSE,#REF!)</f>
        <v>#REF!</v>
      </c>
      <c r="BS113" s="122"/>
      <c r="BT113" s="71" t="s">
        <v>261</v>
      </c>
      <c r="BU113" s="73" t="e">
        <f xml:space="preserve"> _xlfn.TEXTJOIN(" ", FALSE,#REF!)</f>
        <v>#REF!</v>
      </c>
      <c r="BV113" s="122"/>
      <c r="BW113" s="71" t="s">
        <v>262</v>
      </c>
      <c r="BX113" s="73" t="e">
        <f xml:space="preserve"> _xlfn.TEXTJOIN(" ", FALSE,#REF!)</f>
        <v>#REF!</v>
      </c>
      <c r="BY113" s="122"/>
      <c r="BZ113" s="71" t="s">
        <v>263</v>
      </c>
      <c r="CA113" s="73" t="e">
        <f xml:space="preserve"> _xlfn.TEXTJOIN(" ", FALSE,#REF!)</f>
        <v>#REF!</v>
      </c>
      <c r="CB113" s="122"/>
      <c r="CC113" s="71" t="s">
        <v>264</v>
      </c>
      <c r="CD113" s="73" t="e">
        <f xml:space="preserve"> _xlfn.TEXTJOIN(" ", FALSE,#REF!)</f>
        <v>#REF!</v>
      </c>
      <c r="CE113" s="122"/>
      <c r="CF113" s="71" t="s">
        <v>265</v>
      </c>
      <c r="CG113" s="73" t="e">
        <f xml:space="preserve"> _xlfn.TEXTJOIN(" ", FALSE,#REF!)</f>
        <v>#REF!</v>
      </c>
      <c r="CH113" s="122"/>
      <c r="CI113" s="74" t="s">
        <v>278</v>
      </c>
      <c r="CJ113" s="73" t="e">
        <f xml:space="preserve"> _xlfn.TEXTJOIN(" ", FALSE,#REF!)</f>
        <v>#REF!</v>
      </c>
      <c r="CK113" s="65" t="s">
        <v>277</v>
      </c>
      <c r="CL113" s="70" t="e">
        <f t="shared" si="10"/>
        <v>#REF!</v>
      </c>
      <c r="CM113" s="64" t="s">
        <v>267</v>
      </c>
      <c r="CN113" s="122"/>
      <c r="CO113" s="71" t="s">
        <v>268</v>
      </c>
      <c r="CP113" s="73" t="e">
        <f xml:space="preserve"> _xlfn.TEXTJOIN(" ", FALSE,#REF!)</f>
        <v>#REF!</v>
      </c>
      <c r="CQ113" s="122"/>
      <c r="CR113" s="71" t="s">
        <v>269</v>
      </c>
      <c r="CS113" s="73" t="e">
        <f xml:space="preserve"> _xlfn.TEXTJOIN(" ", FALSE,#REF!)</f>
        <v>#REF!</v>
      </c>
      <c r="CT113" s="122"/>
      <c r="CU113" s="71" t="s">
        <v>270</v>
      </c>
      <c r="CV113" s="72" t="e">
        <f xml:space="preserve"> _xlfn.TEXTJOIN(" ", FALSE,#REF!)</f>
        <v>#REF!</v>
      </c>
      <c r="CW113" s="122"/>
      <c r="CX113" s="71" t="s">
        <v>271</v>
      </c>
      <c r="CY113" s="72" t="e">
        <f xml:space="preserve"> _xlfn.TEXTJOIN(" ", FALSE,#REF!)</f>
        <v>#REF!</v>
      </c>
      <c r="CZ113" s="122"/>
      <c r="DA113" s="71" t="s">
        <v>272</v>
      </c>
      <c r="DB113" s="73" t="e">
        <f xml:space="preserve"> _xlfn.TEXTJOIN(" ", FALSE,#REF!)</f>
        <v>#REF!</v>
      </c>
      <c r="DC113" s="65" t="s">
        <v>277</v>
      </c>
      <c r="DD113" s="70" t="e">
        <f t="shared" si="11"/>
        <v>#REF!</v>
      </c>
      <c r="DE113" s="64" t="s">
        <v>273</v>
      </c>
      <c r="DF113" s="122"/>
      <c r="DG113" s="71" t="s">
        <v>274</v>
      </c>
      <c r="DH113" s="72" t="e">
        <f xml:space="preserve"> _xlfn.TEXTJOIN(" ", FALSE,#REF!)</f>
        <v>#REF!</v>
      </c>
      <c r="DI113" s="122"/>
      <c r="DJ113" s="71" t="s">
        <v>275</v>
      </c>
      <c r="DK113" s="73" t="e">
        <f xml:space="preserve"> _xlfn.TEXTJOIN(" ", FALSE,#REF!)</f>
        <v>#REF!</v>
      </c>
      <c r="DL113" s="65" t="s">
        <v>277</v>
      </c>
      <c r="DM113" s="70" t="e">
        <f t="shared" si="12"/>
        <v>#REF!</v>
      </c>
      <c r="DN113" s="70" t="e">
        <f t="shared" si="13"/>
        <v>#REF!</v>
      </c>
    </row>
    <row r="114" spans="1:118" ht="108" customHeight="1">
      <c r="A114" s="122" t="e">
        <f>Summary!A114</f>
        <v>#REF!</v>
      </c>
      <c r="B114" s="64" t="s">
        <v>233</v>
      </c>
      <c r="C114" s="65" t="e">
        <f>Summary!B114</f>
        <v>#REF!</v>
      </c>
      <c r="D114" s="122"/>
      <c r="E114" s="64" t="s">
        <v>235</v>
      </c>
      <c r="F114" s="132" t="e">
        <f>Summary!C114</f>
        <v>#REF!</v>
      </c>
      <c r="G114" s="64" t="s">
        <v>236</v>
      </c>
      <c r="H114" s="132" t="e">
        <f>Summary!D114</f>
        <v>#REF!</v>
      </c>
      <c r="I114" s="64" t="s">
        <v>237</v>
      </c>
      <c r="J114" s="66">
        <f>Summary!E114</f>
        <v>8</v>
      </c>
      <c r="K114" s="64" t="s">
        <v>238</v>
      </c>
      <c r="L114" s="132" t="e">
        <f>Summary!F114</f>
        <v>#REF!</v>
      </c>
      <c r="M114" s="64" t="s">
        <v>239</v>
      </c>
      <c r="N114" s="132" t="e">
        <f>Summary!G114</f>
        <v>#REF!</v>
      </c>
      <c r="O114" s="64" t="s">
        <v>240</v>
      </c>
      <c r="P114" s="132" t="e">
        <f>Summary!H114</f>
        <v>#REF!</v>
      </c>
      <c r="Q114" s="65" t="s">
        <v>277</v>
      </c>
      <c r="R114" s="70" t="e">
        <f t="shared" si="7"/>
        <v>#REF!</v>
      </c>
      <c r="S114" s="64" t="s">
        <v>243</v>
      </c>
      <c r="T114" s="122"/>
      <c r="U114" s="71" t="s">
        <v>244</v>
      </c>
      <c r="V114" s="72" t="e">
        <f xml:space="preserve"> _xlfn.TEXTJOIN(" ", FALSE,#REF!)</f>
        <v>#REF!</v>
      </c>
      <c r="W114" s="122"/>
      <c r="X114" s="71" t="s">
        <v>245</v>
      </c>
      <c r="Y114" s="72" t="e">
        <f xml:space="preserve"> _xlfn.TEXTJOIN(" ", FALSE,#REF!)</f>
        <v>#REF!</v>
      </c>
      <c r="Z114" s="122"/>
      <c r="AA114" s="71" t="s">
        <v>246</v>
      </c>
      <c r="AB114" s="72" t="e">
        <f xml:space="preserve"> _xlfn.TEXTJOIN(" ", FALSE,#REF!)</f>
        <v>#REF!</v>
      </c>
      <c r="AC114" s="122"/>
      <c r="AD114" s="71" t="s">
        <v>247</v>
      </c>
      <c r="AE114" s="72" t="e">
        <f xml:space="preserve"> _xlfn.TEXTJOIN(" ", FALSE,#REF!)</f>
        <v>#REF!</v>
      </c>
      <c r="AF114" s="122"/>
      <c r="AG114" s="71" t="s">
        <v>248</v>
      </c>
      <c r="AH114" s="73" t="e">
        <f xml:space="preserve"> _xlfn.TEXTJOIN(" ", FALSE,#REF!)</f>
        <v>#REF!</v>
      </c>
      <c r="AI114" s="122"/>
      <c r="AJ114" s="71" t="s">
        <v>249</v>
      </c>
      <c r="AK114" s="73" t="e">
        <f xml:space="preserve"> _xlfn.TEXTJOIN(" ", FALSE,#REF!)</f>
        <v>#REF!</v>
      </c>
      <c r="AL114" s="122"/>
      <c r="AM114" s="71" t="s">
        <v>250</v>
      </c>
      <c r="AN114" s="73" t="e">
        <f xml:space="preserve"> _xlfn.TEXTJOIN(" ", FALSE,#REF!)</f>
        <v>#REF!</v>
      </c>
      <c r="AO114" s="122"/>
      <c r="AP114" s="71" t="s">
        <v>251</v>
      </c>
      <c r="AQ114" s="72" t="e">
        <f xml:space="preserve"> _xlfn.TEXTJOIN(" ", FALSE,#REF!)</f>
        <v>#REF!</v>
      </c>
      <c r="AR114" s="122"/>
      <c r="AS114" s="71" t="s">
        <v>252</v>
      </c>
      <c r="AT114" s="72" t="e">
        <f xml:space="preserve"> _xlfn.TEXTJOIN(" ", FALSE,#REF!)</f>
        <v>#REF!</v>
      </c>
      <c r="AU114" s="122"/>
      <c r="AV114" s="71" t="s">
        <v>253</v>
      </c>
      <c r="AW114" s="73" t="e">
        <f xml:space="preserve"> _xlfn.TEXTJOIN(" ", FALSE,#REF!)</f>
        <v>#REF!</v>
      </c>
      <c r="AX114" s="122"/>
      <c r="AY114" s="71" t="s">
        <v>254</v>
      </c>
      <c r="AZ114" s="72" t="e">
        <f xml:space="preserve"> _xlfn.TEXTJOIN(" ", FALSE,#REF!)</f>
        <v>#REF!</v>
      </c>
      <c r="BA114" s="122"/>
      <c r="BB114" s="71" t="s">
        <v>255</v>
      </c>
      <c r="BC114" s="72" t="e">
        <f xml:space="preserve"> _xlfn.TEXTJOIN(" ", FALSE,#REF!)</f>
        <v>#REF!</v>
      </c>
      <c r="BD114" s="122"/>
      <c r="BE114" s="71" t="s">
        <v>256</v>
      </c>
      <c r="BF114" s="72" t="e">
        <f xml:space="preserve"> _xlfn.TEXTJOIN(" ", FALSE,#REF!)</f>
        <v>#REF!</v>
      </c>
      <c r="BG114" s="65" t="s">
        <v>277</v>
      </c>
      <c r="BH114" s="70" t="e">
        <f t="shared" si="8"/>
        <v>#REF!</v>
      </c>
      <c r="BI114" s="64" t="s">
        <v>257</v>
      </c>
      <c r="BJ114" s="122"/>
      <c r="BK114" s="71" t="s">
        <v>258</v>
      </c>
      <c r="BL114" s="74" t="str">
        <f>_xlfn.TEXTJOIN(" ", FALSE, 'Task 2a - Mitigating the Proble'!U114:AC114)</f>
        <v xml:space="preserve">1 1 1 0 1 1 1 0 </v>
      </c>
      <c r="BM114" s="65" t="s">
        <v>277</v>
      </c>
      <c r="BN114" s="70" t="str">
        <f t="shared" si="9"/>
        <v>[Details for Task 2a:]  /Question 12: 1 1 1 0 1 1 1 0  .</v>
      </c>
      <c r="BO114" s="64" t="s">
        <v>259</v>
      </c>
      <c r="BP114" s="122"/>
      <c r="BQ114" s="71" t="s">
        <v>260</v>
      </c>
      <c r="BR114" s="73" t="e">
        <f xml:space="preserve"> _xlfn.TEXTJOIN(" ", FALSE,#REF!)</f>
        <v>#REF!</v>
      </c>
      <c r="BS114" s="122"/>
      <c r="BT114" s="71" t="s">
        <v>261</v>
      </c>
      <c r="BU114" s="73" t="e">
        <f xml:space="preserve"> _xlfn.TEXTJOIN(" ", FALSE,#REF!)</f>
        <v>#REF!</v>
      </c>
      <c r="BV114" s="122"/>
      <c r="BW114" s="71" t="s">
        <v>262</v>
      </c>
      <c r="BX114" s="73" t="e">
        <f xml:space="preserve"> _xlfn.TEXTJOIN(" ", FALSE,#REF!)</f>
        <v>#REF!</v>
      </c>
      <c r="BY114" s="122"/>
      <c r="BZ114" s="71" t="s">
        <v>263</v>
      </c>
      <c r="CA114" s="73" t="e">
        <f xml:space="preserve"> _xlfn.TEXTJOIN(" ", FALSE,#REF!)</f>
        <v>#REF!</v>
      </c>
      <c r="CB114" s="122"/>
      <c r="CC114" s="71" t="s">
        <v>264</v>
      </c>
      <c r="CD114" s="73" t="e">
        <f xml:space="preserve"> _xlfn.TEXTJOIN(" ", FALSE,#REF!)</f>
        <v>#REF!</v>
      </c>
      <c r="CE114" s="122"/>
      <c r="CF114" s="71" t="s">
        <v>265</v>
      </c>
      <c r="CG114" s="73" t="e">
        <f xml:space="preserve"> _xlfn.TEXTJOIN(" ", FALSE,#REF!)</f>
        <v>#REF!</v>
      </c>
      <c r="CH114" s="122"/>
      <c r="CI114" s="74" t="s">
        <v>278</v>
      </c>
      <c r="CJ114" s="73" t="e">
        <f xml:space="preserve"> _xlfn.TEXTJOIN(" ", FALSE,#REF!)</f>
        <v>#REF!</v>
      </c>
      <c r="CK114" s="65" t="s">
        <v>277</v>
      </c>
      <c r="CL114" s="70" t="e">
        <f t="shared" si="10"/>
        <v>#REF!</v>
      </c>
      <c r="CM114" s="64" t="s">
        <v>267</v>
      </c>
      <c r="CN114" s="122"/>
      <c r="CO114" s="71" t="s">
        <v>268</v>
      </c>
      <c r="CP114" s="73" t="e">
        <f xml:space="preserve"> _xlfn.TEXTJOIN(" ", FALSE,#REF!)</f>
        <v>#REF!</v>
      </c>
      <c r="CQ114" s="122"/>
      <c r="CR114" s="71" t="s">
        <v>269</v>
      </c>
      <c r="CS114" s="73" t="e">
        <f xml:space="preserve"> _xlfn.TEXTJOIN(" ", FALSE,#REF!)</f>
        <v>#REF!</v>
      </c>
      <c r="CT114" s="122"/>
      <c r="CU114" s="71" t="s">
        <v>270</v>
      </c>
      <c r="CV114" s="72" t="e">
        <f xml:space="preserve"> _xlfn.TEXTJOIN(" ", FALSE,#REF!)</f>
        <v>#REF!</v>
      </c>
      <c r="CW114" s="122"/>
      <c r="CX114" s="71" t="s">
        <v>271</v>
      </c>
      <c r="CY114" s="72" t="e">
        <f xml:space="preserve"> _xlfn.TEXTJOIN(" ", FALSE,#REF!)</f>
        <v>#REF!</v>
      </c>
      <c r="CZ114" s="122"/>
      <c r="DA114" s="71" t="s">
        <v>272</v>
      </c>
      <c r="DB114" s="73" t="e">
        <f xml:space="preserve"> _xlfn.TEXTJOIN(" ", FALSE,#REF!)</f>
        <v>#REF!</v>
      </c>
      <c r="DC114" s="65" t="s">
        <v>277</v>
      </c>
      <c r="DD114" s="70" t="e">
        <f t="shared" si="11"/>
        <v>#REF!</v>
      </c>
      <c r="DE114" s="64" t="s">
        <v>273</v>
      </c>
      <c r="DF114" s="122"/>
      <c r="DG114" s="71" t="s">
        <v>274</v>
      </c>
      <c r="DH114" s="72" t="e">
        <f xml:space="preserve"> _xlfn.TEXTJOIN(" ", FALSE,#REF!)</f>
        <v>#REF!</v>
      </c>
      <c r="DI114" s="122"/>
      <c r="DJ114" s="71" t="s">
        <v>275</v>
      </c>
      <c r="DK114" s="73" t="e">
        <f xml:space="preserve"> _xlfn.TEXTJOIN(" ", FALSE,#REF!)</f>
        <v>#REF!</v>
      </c>
      <c r="DL114" s="65" t="s">
        <v>277</v>
      </c>
      <c r="DM114" s="70" t="e">
        <f t="shared" si="12"/>
        <v>#REF!</v>
      </c>
      <c r="DN114" s="70" t="e">
        <f t="shared" si="13"/>
        <v>#REF!</v>
      </c>
    </row>
    <row r="115" spans="1:118" ht="108" customHeight="1">
      <c r="A115" s="122" t="e">
        <f>Summary!A115</f>
        <v>#REF!</v>
      </c>
      <c r="B115" s="64" t="s">
        <v>233</v>
      </c>
      <c r="C115" s="65" t="e">
        <f>Summary!B115</f>
        <v>#REF!</v>
      </c>
      <c r="D115" s="122"/>
      <c r="E115" s="64" t="s">
        <v>235</v>
      </c>
      <c r="F115" s="132" t="e">
        <f>Summary!C115</f>
        <v>#REF!</v>
      </c>
      <c r="G115" s="64" t="s">
        <v>236</v>
      </c>
      <c r="H115" s="132" t="e">
        <f>Summary!D115</f>
        <v>#REF!</v>
      </c>
      <c r="I115" s="64" t="s">
        <v>237</v>
      </c>
      <c r="J115" s="66">
        <f>Summary!E115</f>
        <v>7</v>
      </c>
      <c r="K115" s="64" t="s">
        <v>238</v>
      </c>
      <c r="L115" s="132" t="e">
        <f>Summary!F115</f>
        <v>#REF!</v>
      </c>
      <c r="M115" s="64" t="s">
        <v>239</v>
      </c>
      <c r="N115" s="132" t="e">
        <f>Summary!G115</f>
        <v>#REF!</v>
      </c>
      <c r="O115" s="64" t="s">
        <v>240</v>
      </c>
      <c r="P115" s="132" t="e">
        <f>Summary!H115</f>
        <v>#REF!</v>
      </c>
      <c r="Q115" s="65" t="s">
        <v>277</v>
      </c>
      <c r="R115" s="70" t="e">
        <f t="shared" si="7"/>
        <v>#REF!</v>
      </c>
      <c r="S115" s="64" t="s">
        <v>243</v>
      </c>
      <c r="T115" s="122"/>
      <c r="U115" s="71" t="s">
        <v>244</v>
      </c>
      <c r="V115" s="72" t="e">
        <f xml:space="preserve"> _xlfn.TEXTJOIN(" ", FALSE,#REF!)</f>
        <v>#REF!</v>
      </c>
      <c r="W115" s="122"/>
      <c r="X115" s="71" t="s">
        <v>245</v>
      </c>
      <c r="Y115" s="72" t="e">
        <f xml:space="preserve"> _xlfn.TEXTJOIN(" ", FALSE,#REF!)</f>
        <v>#REF!</v>
      </c>
      <c r="Z115" s="122"/>
      <c r="AA115" s="71" t="s">
        <v>246</v>
      </c>
      <c r="AB115" s="72" t="e">
        <f xml:space="preserve"> _xlfn.TEXTJOIN(" ", FALSE,#REF!)</f>
        <v>#REF!</v>
      </c>
      <c r="AC115" s="122"/>
      <c r="AD115" s="71" t="s">
        <v>247</v>
      </c>
      <c r="AE115" s="72" t="e">
        <f xml:space="preserve"> _xlfn.TEXTJOIN(" ", FALSE,#REF!)</f>
        <v>#REF!</v>
      </c>
      <c r="AF115" s="122"/>
      <c r="AG115" s="71" t="s">
        <v>248</v>
      </c>
      <c r="AH115" s="73" t="e">
        <f xml:space="preserve"> _xlfn.TEXTJOIN(" ", FALSE,#REF!)</f>
        <v>#REF!</v>
      </c>
      <c r="AI115" s="122"/>
      <c r="AJ115" s="71" t="s">
        <v>249</v>
      </c>
      <c r="AK115" s="73" t="e">
        <f xml:space="preserve"> _xlfn.TEXTJOIN(" ", FALSE,#REF!)</f>
        <v>#REF!</v>
      </c>
      <c r="AL115" s="122"/>
      <c r="AM115" s="71" t="s">
        <v>250</v>
      </c>
      <c r="AN115" s="73" t="e">
        <f xml:space="preserve"> _xlfn.TEXTJOIN(" ", FALSE,#REF!)</f>
        <v>#REF!</v>
      </c>
      <c r="AO115" s="122"/>
      <c r="AP115" s="71" t="s">
        <v>251</v>
      </c>
      <c r="AQ115" s="72" t="e">
        <f xml:space="preserve"> _xlfn.TEXTJOIN(" ", FALSE,#REF!)</f>
        <v>#REF!</v>
      </c>
      <c r="AR115" s="122"/>
      <c r="AS115" s="71" t="s">
        <v>252</v>
      </c>
      <c r="AT115" s="72" t="e">
        <f xml:space="preserve"> _xlfn.TEXTJOIN(" ", FALSE,#REF!)</f>
        <v>#REF!</v>
      </c>
      <c r="AU115" s="122"/>
      <c r="AV115" s="71" t="s">
        <v>253</v>
      </c>
      <c r="AW115" s="73" t="e">
        <f xml:space="preserve"> _xlfn.TEXTJOIN(" ", FALSE,#REF!)</f>
        <v>#REF!</v>
      </c>
      <c r="AX115" s="122"/>
      <c r="AY115" s="71" t="s">
        <v>254</v>
      </c>
      <c r="AZ115" s="72" t="e">
        <f xml:space="preserve"> _xlfn.TEXTJOIN(" ", FALSE,#REF!)</f>
        <v>#REF!</v>
      </c>
      <c r="BA115" s="122"/>
      <c r="BB115" s="71" t="s">
        <v>255</v>
      </c>
      <c r="BC115" s="72" t="e">
        <f xml:space="preserve"> _xlfn.TEXTJOIN(" ", FALSE,#REF!)</f>
        <v>#REF!</v>
      </c>
      <c r="BD115" s="122"/>
      <c r="BE115" s="71" t="s">
        <v>256</v>
      </c>
      <c r="BF115" s="72" t="e">
        <f xml:space="preserve"> _xlfn.TEXTJOIN(" ", FALSE,#REF!)</f>
        <v>#REF!</v>
      </c>
      <c r="BG115" s="65" t="s">
        <v>277</v>
      </c>
      <c r="BH115" s="70" t="e">
        <f t="shared" si="8"/>
        <v>#REF!</v>
      </c>
      <c r="BI115" s="64" t="s">
        <v>257</v>
      </c>
      <c r="BJ115" s="122"/>
      <c r="BK115" s="71" t="s">
        <v>258</v>
      </c>
      <c r="BL115" s="74" t="str">
        <f>_xlfn.TEXTJOIN(" ", FALSE, 'Task 2a - Mitigating the Proble'!U115:AC115)</f>
        <v xml:space="preserve">1 0 1 0 1 1 1 0 </v>
      </c>
      <c r="BM115" s="65" t="s">
        <v>277</v>
      </c>
      <c r="BN115" s="70" t="str">
        <f t="shared" si="9"/>
        <v>[Details for Task 2a:]  /Question 12: 1 0 1 0 1 1 1 0  .</v>
      </c>
      <c r="BO115" s="64" t="s">
        <v>259</v>
      </c>
      <c r="BP115" s="122"/>
      <c r="BQ115" s="71" t="s">
        <v>260</v>
      </c>
      <c r="BR115" s="73" t="e">
        <f xml:space="preserve"> _xlfn.TEXTJOIN(" ", FALSE,#REF!)</f>
        <v>#REF!</v>
      </c>
      <c r="BS115" s="122"/>
      <c r="BT115" s="71" t="s">
        <v>261</v>
      </c>
      <c r="BU115" s="73" t="e">
        <f xml:space="preserve"> _xlfn.TEXTJOIN(" ", FALSE,#REF!)</f>
        <v>#REF!</v>
      </c>
      <c r="BV115" s="122"/>
      <c r="BW115" s="71" t="s">
        <v>262</v>
      </c>
      <c r="BX115" s="73" t="e">
        <f xml:space="preserve"> _xlfn.TEXTJOIN(" ", FALSE,#REF!)</f>
        <v>#REF!</v>
      </c>
      <c r="BY115" s="122"/>
      <c r="BZ115" s="71" t="s">
        <v>263</v>
      </c>
      <c r="CA115" s="73" t="e">
        <f xml:space="preserve"> _xlfn.TEXTJOIN(" ", FALSE,#REF!)</f>
        <v>#REF!</v>
      </c>
      <c r="CB115" s="122"/>
      <c r="CC115" s="71" t="s">
        <v>264</v>
      </c>
      <c r="CD115" s="73" t="e">
        <f xml:space="preserve"> _xlfn.TEXTJOIN(" ", FALSE,#REF!)</f>
        <v>#REF!</v>
      </c>
      <c r="CE115" s="122"/>
      <c r="CF115" s="71" t="s">
        <v>265</v>
      </c>
      <c r="CG115" s="73" t="e">
        <f xml:space="preserve"> _xlfn.TEXTJOIN(" ", FALSE,#REF!)</f>
        <v>#REF!</v>
      </c>
      <c r="CH115" s="122"/>
      <c r="CI115" s="74" t="s">
        <v>278</v>
      </c>
      <c r="CJ115" s="73" t="e">
        <f xml:space="preserve"> _xlfn.TEXTJOIN(" ", FALSE,#REF!)</f>
        <v>#REF!</v>
      </c>
      <c r="CK115" s="65" t="s">
        <v>277</v>
      </c>
      <c r="CL115" s="70" t="e">
        <f t="shared" si="10"/>
        <v>#REF!</v>
      </c>
      <c r="CM115" s="64" t="s">
        <v>267</v>
      </c>
      <c r="CN115" s="122"/>
      <c r="CO115" s="71" t="s">
        <v>268</v>
      </c>
      <c r="CP115" s="73" t="e">
        <f xml:space="preserve"> _xlfn.TEXTJOIN(" ", FALSE,#REF!)</f>
        <v>#REF!</v>
      </c>
      <c r="CQ115" s="122"/>
      <c r="CR115" s="71" t="s">
        <v>269</v>
      </c>
      <c r="CS115" s="73" t="e">
        <f xml:space="preserve"> _xlfn.TEXTJOIN(" ", FALSE,#REF!)</f>
        <v>#REF!</v>
      </c>
      <c r="CT115" s="122"/>
      <c r="CU115" s="71" t="s">
        <v>270</v>
      </c>
      <c r="CV115" s="72" t="e">
        <f xml:space="preserve"> _xlfn.TEXTJOIN(" ", FALSE,#REF!)</f>
        <v>#REF!</v>
      </c>
      <c r="CW115" s="122"/>
      <c r="CX115" s="71" t="s">
        <v>271</v>
      </c>
      <c r="CY115" s="72" t="e">
        <f xml:space="preserve"> _xlfn.TEXTJOIN(" ", FALSE,#REF!)</f>
        <v>#REF!</v>
      </c>
      <c r="CZ115" s="122"/>
      <c r="DA115" s="71" t="s">
        <v>272</v>
      </c>
      <c r="DB115" s="73" t="e">
        <f xml:space="preserve"> _xlfn.TEXTJOIN(" ", FALSE,#REF!)</f>
        <v>#REF!</v>
      </c>
      <c r="DC115" s="65" t="s">
        <v>277</v>
      </c>
      <c r="DD115" s="70" t="e">
        <f t="shared" si="11"/>
        <v>#REF!</v>
      </c>
      <c r="DE115" s="64" t="s">
        <v>273</v>
      </c>
      <c r="DF115" s="122"/>
      <c r="DG115" s="71" t="s">
        <v>274</v>
      </c>
      <c r="DH115" s="72" t="e">
        <f xml:space="preserve"> _xlfn.TEXTJOIN(" ", FALSE,#REF!)</f>
        <v>#REF!</v>
      </c>
      <c r="DI115" s="122"/>
      <c r="DJ115" s="71" t="s">
        <v>275</v>
      </c>
      <c r="DK115" s="73" t="e">
        <f xml:space="preserve"> _xlfn.TEXTJOIN(" ", FALSE,#REF!)</f>
        <v>#REF!</v>
      </c>
      <c r="DL115" s="65" t="s">
        <v>277</v>
      </c>
      <c r="DM115" s="70" t="e">
        <f t="shared" si="12"/>
        <v>#REF!</v>
      </c>
      <c r="DN115" s="70" t="e">
        <f t="shared" si="13"/>
        <v>#REF!</v>
      </c>
    </row>
    <row r="116" spans="1:118" ht="108" customHeight="1">
      <c r="A116" s="122" t="e">
        <f>Summary!A116</f>
        <v>#REF!</v>
      </c>
      <c r="B116" s="64" t="s">
        <v>233</v>
      </c>
      <c r="C116" s="65" t="e">
        <f>Summary!B116</f>
        <v>#REF!</v>
      </c>
      <c r="D116" s="122"/>
      <c r="E116" s="64" t="s">
        <v>235</v>
      </c>
      <c r="F116" s="132" t="e">
        <f>Summary!C116</f>
        <v>#REF!</v>
      </c>
      <c r="G116" s="64" t="s">
        <v>236</v>
      </c>
      <c r="H116" s="132" t="e">
        <f>Summary!D116</f>
        <v>#REF!</v>
      </c>
      <c r="I116" s="64" t="s">
        <v>237</v>
      </c>
      <c r="J116" s="66">
        <f>Summary!E116</f>
        <v>7</v>
      </c>
      <c r="K116" s="64" t="s">
        <v>238</v>
      </c>
      <c r="L116" s="132" t="e">
        <f>Summary!F116</f>
        <v>#REF!</v>
      </c>
      <c r="M116" s="64" t="s">
        <v>239</v>
      </c>
      <c r="N116" s="132" t="e">
        <f>Summary!G116</f>
        <v>#REF!</v>
      </c>
      <c r="O116" s="64" t="s">
        <v>240</v>
      </c>
      <c r="P116" s="132" t="e">
        <f>Summary!H116</f>
        <v>#REF!</v>
      </c>
      <c r="Q116" s="65" t="s">
        <v>277</v>
      </c>
      <c r="R116" s="70" t="e">
        <f t="shared" si="7"/>
        <v>#REF!</v>
      </c>
      <c r="S116" s="64" t="s">
        <v>243</v>
      </c>
      <c r="T116" s="122"/>
      <c r="U116" s="71" t="s">
        <v>244</v>
      </c>
      <c r="V116" s="72" t="e">
        <f xml:space="preserve"> _xlfn.TEXTJOIN(" ", FALSE,#REF!)</f>
        <v>#REF!</v>
      </c>
      <c r="W116" s="122"/>
      <c r="X116" s="71" t="s">
        <v>245</v>
      </c>
      <c r="Y116" s="72" t="e">
        <f xml:space="preserve"> _xlfn.TEXTJOIN(" ", FALSE,#REF!)</f>
        <v>#REF!</v>
      </c>
      <c r="Z116" s="122"/>
      <c r="AA116" s="71" t="s">
        <v>246</v>
      </c>
      <c r="AB116" s="72" t="e">
        <f xml:space="preserve"> _xlfn.TEXTJOIN(" ", FALSE,#REF!)</f>
        <v>#REF!</v>
      </c>
      <c r="AC116" s="122"/>
      <c r="AD116" s="71" t="s">
        <v>247</v>
      </c>
      <c r="AE116" s="72" t="e">
        <f xml:space="preserve"> _xlfn.TEXTJOIN(" ", FALSE,#REF!)</f>
        <v>#REF!</v>
      </c>
      <c r="AF116" s="122"/>
      <c r="AG116" s="71" t="s">
        <v>248</v>
      </c>
      <c r="AH116" s="73" t="e">
        <f xml:space="preserve"> _xlfn.TEXTJOIN(" ", FALSE,#REF!)</f>
        <v>#REF!</v>
      </c>
      <c r="AI116" s="122"/>
      <c r="AJ116" s="71" t="s">
        <v>249</v>
      </c>
      <c r="AK116" s="73" t="e">
        <f xml:space="preserve"> _xlfn.TEXTJOIN(" ", FALSE,#REF!)</f>
        <v>#REF!</v>
      </c>
      <c r="AL116" s="122"/>
      <c r="AM116" s="71" t="s">
        <v>250</v>
      </c>
      <c r="AN116" s="73" t="e">
        <f xml:space="preserve"> _xlfn.TEXTJOIN(" ", FALSE,#REF!)</f>
        <v>#REF!</v>
      </c>
      <c r="AO116" s="122"/>
      <c r="AP116" s="71" t="s">
        <v>251</v>
      </c>
      <c r="AQ116" s="72" t="e">
        <f xml:space="preserve"> _xlfn.TEXTJOIN(" ", FALSE,#REF!)</f>
        <v>#REF!</v>
      </c>
      <c r="AR116" s="122"/>
      <c r="AS116" s="71" t="s">
        <v>252</v>
      </c>
      <c r="AT116" s="72" t="e">
        <f xml:space="preserve"> _xlfn.TEXTJOIN(" ", FALSE,#REF!)</f>
        <v>#REF!</v>
      </c>
      <c r="AU116" s="122"/>
      <c r="AV116" s="71" t="s">
        <v>253</v>
      </c>
      <c r="AW116" s="73" t="e">
        <f xml:space="preserve"> _xlfn.TEXTJOIN(" ", FALSE,#REF!)</f>
        <v>#REF!</v>
      </c>
      <c r="AX116" s="122"/>
      <c r="AY116" s="71" t="s">
        <v>254</v>
      </c>
      <c r="AZ116" s="72" t="e">
        <f xml:space="preserve"> _xlfn.TEXTJOIN(" ", FALSE,#REF!)</f>
        <v>#REF!</v>
      </c>
      <c r="BA116" s="122"/>
      <c r="BB116" s="71" t="s">
        <v>255</v>
      </c>
      <c r="BC116" s="72" t="e">
        <f xml:space="preserve"> _xlfn.TEXTJOIN(" ", FALSE,#REF!)</f>
        <v>#REF!</v>
      </c>
      <c r="BD116" s="122"/>
      <c r="BE116" s="71" t="s">
        <v>256</v>
      </c>
      <c r="BF116" s="72" t="e">
        <f xml:space="preserve"> _xlfn.TEXTJOIN(" ", FALSE,#REF!)</f>
        <v>#REF!</v>
      </c>
      <c r="BG116" s="65" t="s">
        <v>277</v>
      </c>
      <c r="BH116" s="70" t="e">
        <f t="shared" si="8"/>
        <v>#REF!</v>
      </c>
      <c r="BI116" s="64" t="s">
        <v>257</v>
      </c>
      <c r="BJ116" s="122"/>
      <c r="BK116" s="71" t="s">
        <v>258</v>
      </c>
      <c r="BL116" s="74" t="str">
        <f>_xlfn.TEXTJOIN(" ", FALSE, 'Task 2a - Mitigating the Proble'!U116:AC116)</f>
        <v xml:space="preserve">1 1 0 1 0 1 1 0 </v>
      </c>
      <c r="BM116" s="65" t="s">
        <v>277</v>
      </c>
      <c r="BN116" s="70" t="str">
        <f t="shared" si="9"/>
        <v>[Details for Task 2a:]  /Question 12: 1 1 0 1 0 1 1 0  .</v>
      </c>
      <c r="BO116" s="64" t="s">
        <v>259</v>
      </c>
      <c r="BP116" s="122"/>
      <c r="BQ116" s="71" t="s">
        <v>260</v>
      </c>
      <c r="BR116" s="73" t="e">
        <f xml:space="preserve"> _xlfn.TEXTJOIN(" ", FALSE,#REF!)</f>
        <v>#REF!</v>
      </c>
      <c r="BS116" s="122"/>
      <c r="BT116" s="71" t="s">
        <v>261</v>
      </c>
      <c r="BU116" s="73" t="e">
        <f xml:space="preserve"> _xlfn.TEXTJOIN(" ", FALSE,#REF!)</f>
        <v>#REF!</v>
      </c>
      <c r="BV116" s="122"/>
      <c r="BW116" s="71" t="s">
        <v>262</v>
      </c>
      <c r="BX116" s="73" t="e">
        <f xml:space="preserve"> _xlfn.TEXTJOIN(" ", FALSE,#REF!)</f>
        <v>#REF!</v>
      </c>
      <c r="BY116" s="122"/>
      <c r="BZ116" s="71" t="s">
        <v>263</v>
      </c>
      <c r="CA116" s="73" t="e">
        <f xml:space="preserve"> _xlfn.TEXTJOIN(" ", FALSE,#REF!)</f>
        <v>#REF!</v>
      </c>
      <c r="CB116" s="122"/>
      <c r="CC116" s="71" t="s">
        <v>264</v>
      </c>
      <c r="CD116" s="73" t="e">
        <f xml:space="preserve"> _xlfn.TEXTJOIN(" ", FALSE,#REF!)</f>
        <v>#REF!</v>
      </c>
      <c r="CE116" s="122"/>
      <c r="CF116" s="71" t="s">
        <v>265</v>
      </c>
      <c r="CG116" s="73" t="e">
        <f xml:space="preserve"> _xlfn.TEXTJOIN(" ", FALSE,#REF!)</f>
        <v>#REF!</v>
      </c>
      <c r="CH116" s="122"/>
      <c r="CI116" s="74" t="s">
        <v>278</v>
      </c>
      <c r="CJ116" s="73" t="e">
        <f xml:space="preserve"> _xlfn.TEXTJOIN(" ", FALSE,#REF!)</f>
        <v>#REF!</v>
      </c>
      <c r="CK116" s="65" t="s">
        <v>277</v>
      </c>
      <c r="CL116" s="70" t="e">
        <f t="shared" si="10"/>
        <v>#REF!</v>
      </c>
      <c r="CM116" s="64" t="s">
        <v>267</v>
      </c>
      <c r="CN116" s="122"/>
      <c r="CO116" s="71" t="s">
        <v>268</v>
      </c>
      <c r="CP116" s="73" t="e">
        <f xml:space="preserve"> _xlfn.TEXTJOIN(" ", FALSE,#REF!)</f>
        <v>#REF!</v>
      </c>
      <c r="CQ116" s="122"/>
      <c r="CR116" s="71" t="s">
        <v>269</v>
      </c>
      <c r="CS116" s="73" t="e">
        <f xml:space="preserve"> _xlfn.TEXTJOIN(" ", FALSE,#REF!)</f>
        <v>#REF!</v>
      </c>
      <c r="CT116" s="122"/>
      <c r="CU116" s="71" t="s">
        <v>270</v>
      </c>
      <c r="CV116" s="72" t="e">
        <f xml:space="preserve"> _xlfn.TEXTJOIN(" ", FALSE,#REF!)</f>
        <v>#REF!</v>
      </c>
      <c r="CW116" s="122"/>
      <c r="CX116" s="71" t="s">
        <v>271</v>
      </c>
      <c r="CY116" s="72" t="e">
        <f xml:space="preserve"> _xlfn.TEXTJOIN(" ", FALSE,#REF!)</f>
        <v>#REF!</v>
      </c>
      <c r="CZ116" s="122"/>
      <c r="DA116" s="71" t="s">
        <v>272</v>
      </c>
      <c r="DB116" s="73" t="e">
        <f xml:space="preserve"> _xlfn.TEXTJOIN(" ", FALSE,#REF!)</f>
        <v>#REF!</v>
      </c>
      <c r="DC116" s="65" t="s">
        <v>277</v>
      </c>
      <c r="DD116" s="70" t="e">
        <f t="shared" si="11"/>
        <v>#REF!</v>
      </c>
      <c r="DE116" s="64" t="s">
        <v>273</v>
      </c>
      <c r="DF116" s="122"/>
      <c r="DG116" s="71" t="s">
        <v>274</v>
      </c>
      <c r="DH116" s="72" t="e">
        <f xml:space="preserve"> _xlfn.TEXTJOIN(" ", FALSE,#REF!)</f>
        <v>#REF!</v>
      </c>
      <c r="DI116" s="122"/>
      <c r="DJ116" s="71" t="s">
        <v>275</v>
      </c>
      <c r="DK116" s="73" t="e">
        <f xml:space="preserve"> _xlfn.TEXTJOIN(" ", FALSE,#REF!)</f>
        <v>#REF!</v>
      </c>
      <c r="DL116" s="65" t="s">
        <v>277</v>
      </c>
      <c r="DM116" s="70" t="e">
        <f t="shared" si="12"/>
        <v>#REF!</v>
      </c>
      <c r="DN116" s="70" t="e">
        <f t="shared" si="13"/>
        <v>#REF!</v>
      </c>
    </row>
    <row r="117" spans="1:118" ht="108" customHeight="1">
      <c r="A117" s="122" t="e">
        <f>Summary!A117</f>
        <v>#REF!</v>
      </c>
      <c r="B117" s="64" t="s">
        <v>233</v>
      </c>
      <c r="C117" s="65" t="e">
        <f>Summary!B117</f>
        <v>#REF!</v>
      </c>
      <c r="D117" s="122"/>
      <c r="E117" s="64" t="s">
        <v>235</v>
      </c>
      <c r="F117" s="132" t="e">
        <f>Summary!C117</f>
        <v>#REF!</v>
      </c>
      <c r="G117" s="64" t="s">
        <v>236</v>
      </c>
      <c r="H117" s="132" t="e">
        <f>Summary!D117</f>
        <v>#REF!</v>
      </c>
      <c r="I117" s="64" t="s">
        <v>237</v>
      </c>
      <c r="J117" s="66">
        <f>Summary!E117</f>
        <v>7</v>
      </c>
      <c r="K117" s="64" t="s">
        <v>238</v>
      </c>
      <c r="L117" s="132" t="e">
        <f>Summary!F117</f>
        <v>#REF!</v>
      </c>
      <c r="M117" s="64" t="s">
        <v>239</v>
      </c>
      <c r="N117" s="132" t="e">
        <f>Summary!G117</f>
        <v>#REF!</v>
      </c>
      <c r="O117" s="64" t="s">
        <v>240</v>
      </c>
      <c r="P117" s="132" t="e">
        <f>Summary!H117</f>
        <v>#REF!</v>
      </c>
      <c r="Q117" s="65" t="s">
        <v>277</v>
      </c>
      <c r="R117" s="70" t="e">
        <f t="shared" si="7"/>
        <v>#REF!</v>
      </c>
      <c r="S117" s="64" t="s">
        <v>243</v>
      </c>
      <c r="T117" s="122"/>
      <c r="U117" s="71" t="s">
        <v>244</v>
      </c>
      <c r="V117" s="72" t="e">
        <f xml:space="preserve"> _xlfn.TEXTJOIN(" ", FALSE,#REF!)</f>
        <v>#REF!</v>
      </c>
      <c r="W117" s="122"/>
      <c r="X117" s="71" t="s">
        <v>245</v>
      </c>
      <c r="Y117" s="72" t="e">
        <f xml:space="preserve"> _xlfn.TEXTJOIN(" ", FALSE,#REF!)</f>
        <v>#REF!</v>
      </c>
      <c r="Z117" s="122"/>
      <c r="AA117" s="71" t="s">
        <v>246</v>
      </c>
      <c r="AB117" s="72" t="e">
        <f xml:space="preserve"> _xlfn.TEXTJOIN(" ", FALSE,#REF!)</f>
        <v>#REF!</v>
      </c>
      <c r="AC117" s="122"/>
      <c r="AD117" s="71" t="s">
        <v>247</v>
      </c>
      <c r="AE117" s="72" t="e">
        <f xml:space="preserve"> _xlfn.TEXTJOIN(" ", FALSE,#REF!)</f>
        <v>#REF!</v>
      </c>
      <c r="AF117" s="122"/>
      <c r="AG117" s="71" t="s">
        <v>248</v>
      </c>
      <c r="AH117" s="73" t="e">
        <f xml:space="preserve"> _xlfn.TEXTJOIN(" ", FALSE,#REF!)</f>
        <v>#REF!</v>
      </c>
      <c r="AI117" s="122"/>
      <c r="AJ117" s="71" t="s">
        <v>249</v>
      </c>
      <c r="AK117" s="73" t="e">
        <f xml:space="preserve"> _xlfn.TEXTJOIN(" ", FALSE,#REF!)</f>
        <v>#REF!</v>
      </c>
      <c r="AL117" s="122"/>
      <c r="AM117" s="71" t="s">
        <v>250</v>
      </c>
      <c r="AN117" s="73" t="e">
        <f xml:space="preserve"> _xlfn.TEXTJOIN(" ", FALSE,#REF!)</f>
        <v>#REF!</v>
      </c>
      <c r="AO117" s="122"/>
      <c r="AP117" s="71" t="s">
        <v>251</v>
      </c>
      <c r="AQ117" s="72" t="e">
        <f xml:space="preserve"> _xlfn.TEXTJOIN(" ", FALSE,#REF!)</f>
        <v>#REF!</v>
      </c>
      <c r="AR117" s="122"/>
      <c r="AS117" s="71" t="s">
        <v>252</v>
      </c>
      <c r="AT117" s="72" t="e">
        <f xml:space="preserve"> _xlfn.TEXTJOIN(" ", FALSE,#REF!)</f>
        <v>#REF!</v>
      </c>
      <c r="AU117" s="122"/>
      <c r="AV117" s="71" t="s">
        <v>253</v>
      </c>
      <c r="AW117" s="73" t="e">
        <f xml:space="preserve"> _xlfn.TEXTJOIN(" ", FALSE,#REF!)</f>
        <v>#REF!</v>
      </c>
      <c r="AX117" s="122"/>
      <c r="AY117" s="71" t="s">
        <v>254</v>
      </c>
      <c r="AZ117" s="72" t="e">
        <f xml:space="preserve"> _xlfn.TEXTJOIN(" ", FALSE,#REF!)</f>
        <v>#REF!</v>
      </c>
      <c r="BA117" s="122"/>
      <c r="BB117" s="71" t="s">
        <v>255</v>
      </c>
      <c r="BC117" s="72" t="e">
        <f xml:space="preserve"> _xlfn.TEXTJOIN(" ", FALSE,#REF!)</f>
        <v>#REF!</v>
      </c>
      <c r="BD117" s="122"/>
      <c r="BE117" s="71" t="s">
        <v>256</v>
      </c>
      <c r="BF117" s="72" t="e">
        <f xml:space="preserve"> _xlfn.TEXTJOIN(" ", FALSE,#REF!)</f>
        <v>#REF!</v>
      </c>
      <c r="BG117" s="65" t="s">
        <v>277</v>
      </c>
      <c r="BH117" s="70" t="e">
        <f t="shared" si="8"/>
        <v>#REF!</v>
      </c>
      <c r="BI117" s="64" t="s">
        <v>257</v>
      </c>
      <c r="BJ117" s="122"/>
      <c r="BK117" s="71" t="s">
        <v>258</v>
      </c>
      <c r="BL117" s="74" t="str">
        <f>_xlfn.TEXTJOIN(" ", FALSE, 'Task 2a - Mitigating the Proble'!U117:AC117)</f>
        <v xml:space="preserve">1 1 0 1 1 0 1 0 </v>
      </c>
      <c r="BM117" s="65" t="s">
        <v>277</v>
      </c>
      <c r="BN117" s="70" t="str">
        <f t="shared" si="9"/>
        <v>[Details for Task 2a:]  /Question 12: 1 1 0 1 1 0 1 0  .</v>
      </c>
      <c r="BO117" s="64" t="s">
        <v>259</v>
      </c>
      <c r="BP117" s="122"/>
      <c r="BQ117" s="71" t="s">
        <v>260</v>
      </c>
      <c r="BR117" s="73" t="e">
        <f xml:space="preserve"> _xlfn.TEXTJOIN(" ", FALSE,#REF!)</f>
        <v>#REF!</v>
      </c>
      <c r="BS117" s="122"/>
      <c r="BT117" s="71" t="s">
        <v>261</v>
      </c>
      <c r="BU117" s="73" t="e">
        <f xml:space="preserve"> _xlfn.TEXTJOIN(" ", FALSE,#REF!)</f>
        <v>#REF!</v>
      </c>
      <c r="BV117" s="122"/>
      <c r="BW117" s="71" t="s">
        <v>262</v>
      </c>
      <c r="BX117" s="73" t="e">
        <f xml:space="preserve"> _xlfn.TEXTJOIN(" ", FALSE,#REF!)</f>
        <v>#REF!</v>
      </c>
      <c r="BY117" s="122"/>
      <c r="BZ117" s="71" t="s">
        <v>263</v>
      </c>
      <c r="CA117" s="73" t="e">
        <f xml:space="preserve"> _xlfn.TEXTJOIN(" ", FALSE,#REF!)</f>
        <v>#REF!</v>
      </c>
      <c r="CB117" s="122"/>
      <c r="CC117" s="71" t="s">
        <v>264</v>
      </c>
      <c r="CD117" s="73" t="e">
        <f xml:space="preserve"> _xlfn.TEXTJOIN(" ", FALSE,#REF!)</f>
        <v>#REF!</v>
      </c>
      <c r="CE117" s="122"/>
      <c r="CF117" s="71" t="s">
        <v>265</v>
      </c>
      <c r="CG117" s="73" t="e">
        <f xml:space="preserve"> _xlfn.TEXTJOIN(" ", FALSE,#REF!)</f>
        <v>#REF!</v>
      </c>
      <c r="CH117" s="122"/>
      <c r="CI117" s="74" t="s">
        <v>278</v>
      </c>
      <c r="CJ117" s="73" t="e">
        <f xml:space="preserve"> _xlfn.TEXTJOIN(" ", FALSE,#REF!)</f>
        <v>#REF!</v>
      </c>
      <c r="CK117" s="65" t="s">
        <v>277</v>
      </c>
      <c r="CL117" s="70" t="e">
        <f t="shared" si="10"/>
        <v>#REF!</v>
      </c>
      <c r="CM117" s="64" t="s">
        <v>267</v>
      </c>
      <c r="CN117" s="122"/>
      <c r="CO117" s="71" t="s">
        <v>268</v>
      </c>
      <c r="CP117" s="73" t="e">
        <f xml:space="preserve"> _xlfn.TEXTJOIN(" ", FALSE,#REF!)</f>
        <v>#REF!</v>
      </c>
      <c r="CQ117" s="122"/>
      <c r="CR117" s="71" t="s">
        <v>269</v>
      </c>
      <c r="CS117" s="73" t="e">
        <f xml:space="preserve"> _xlfn.TEXTJOIN(" ", FALSE,#REF!)</f>
        <v>#REF!</v>
      </c>
      <c r="CT117" s="122"/>
      <c r="CU117" s="71" t="s">
        <v>270</v>
      </c>
      <c r="CV117" s="72" t="e">
        <f xml:space="preserve"> _xlfn.TEXTJOIN(" ", FALSE,#REF!)</f>
        <v>#REF!</v>
      </c>
      <c r="CW117" s="122"/>
      <c r="CX117" s="71" t="s">
        <v>271</v>
      </c>
      <c r="CY117" s="72" t="e">
        <f xml:space="preserve"> _xlfn.TEXTJOIN(" ", FALSE,#REF!)</f>
        <v>#REF!</v>
      </c>
      <c r="CZ117" s="122"/>
      <c r="DA117" s="71" t="s">
        <v>272</v>
      </c>
      <c r="DB117" s="73" t="e">
        <f xml:space="preserve"> _xlfn.TEXTJOIN(" ", FALSE,#REF!)</f>
        <v>#REF!</v>
      </c>
      <c r="DC117" s="65" t="s">
        <v>277</v>
      </c>
      <c r="DD117" s="70" t="e">
        <f t="shared" si="11"/>
        <v>#REF!</v>
      </c>
      <c r="DE117" s="64" t="s">
        <v>273</v>
      </c>
      <c r="DF117" s="122"/>
      <c r="DG117" s="71" t="s">
        <v>274</v>
      </c>
      <c r="DH117" s="72" t="e">
        <f xml:space="preserve"> _xlfn.TEXTJOIN(" ", FALSE,#REF!)</f>
        <v>#REF!</v>
      </c>
      <c r="DI117" s="122"/>
      <c r="DJ117" s="71" t="s">
        <v>275</v>
      </c>
      <c r="DK117" s="73" t="e">
        <f xml:space="preserve"> _xlfn.TEXTJOIN(" ", FALSE,#REF!)</f>
        <v>#REF!</v>
      </c>
      <c r="DL117" s="65" t="s">
        <v>277</v>
      </c>
      <c r="DM117" s="70" t="e">
        <f t="shared" si="12"/>
        <v>#REF!</v>
      </c>
      <c r="DN117" s="70" t="e">
        <f t="shared" si="13"/>
        <v>#REF!</v>
      </c>
    </row>
    <row r="118" spans="1:118" ht="108" customHeight="1">
      <c r="A118" s="122" t="e">
        <f>Summary!A118</f>
        <v>#REF!</v>
      </c>
      <c r="B118" s="64" t="s">
        <v>233</v>
      </c>
      <c r="C118" s="65" t="e">
        <f>Summary!B118</f>
        <v>#REF!</v>
      </c>
      <c r="D118" s="122"/>
      <c r="E118" s="64" t="s">
        <v>235</v>
      </c>
      <c r="F118" s="132" t="e">
        <f>Summary!C118</f>
        <v>#REF!</v>
      </c>
      <c r="G118" s="64" t="s">
        <v>236</v>
      </c>
      <c r="H118" s="132" t="e">
        <f>Summary!D118</f>
        <v>#REF!</v>
      </c>
      <c r="I118" s="64" t="s">
        <v>237</v>
      </c>
      <c r="J118" s="66">
        <f>Summary!E118</f>
        <v>8</v>
      </c>
      <c r="K118" s="64" t="s">
        <v>238</v>
      </c>
      <c r="L118" s="132" t="e">
        <f>Summary!F118</f>
        <v>#REF!</v>
      </c>
      <c r="M118" s="64" t="s">
        <v>239</v>
      </c>
      <c r="N118" s="132" t="e">
        <f>Summary!G118</f>
        <v>#REF!</v>
      </c>
      <c r="O118" s="64" t="s">
        <v>240</v>
      </c>
      <c r="P118" s="132" t="e">
        <f>Summary!H118</f>
        <v>#REF!</v>
      </c>
      <c r="Q118" s="65" t="s">
        <v>277</v>
      </c>
      <c r="R118" s="70" t="e">
        <f t="shared" si="7"/>
        <v>#REF!</v>
      </c>
      <c r="S118" s="64" t="s">
        <v>243</v>
      </c>
      <c r="T118" s="122"/>
      <c r="U118" s="71" t="s">
        <v>244</v>
      </c>
      <c r="V118" s="72" t="e">
        <f xml:space="preserve"> _xlfn.TEXTJOIN(" ", FALSE,#REF!)</f>
        <v>#REF!</v>
      </c>
      <c r="W118" s="122"/>
      <c r="X118" s="71" t="s">
        <v>245</v>
      </c>
      <c r="Y118" s="72" t="e">
        <f xml:space="preserve"> _xlfn.TEXTJOIN(" ", FALSE,#REF!)</f>
        <v>#REF!</v>
      </c>
      <c r="Z118" s="122"/>
      <c r="AA118" s="71" t="s">
        <v>246</v>
      </c>
      <c r="AB118" s="72" t="e">
        <f xml:space="preserve"> _xlfn.TEXTJOIN(" ", FALSE,#REF!)</f>
        <v>#REF!</v>
      </c>
      <c r="AC118" s="122"/>
      <c r="AD118" s="71" t="s">
        <v>247</v>
      </c>
      <c r="AE118" s="72" t="e">
        <f xml:space="preserve"> _xlfn.TEXTJOIN(" ", FALSE,#REF!)</f>
        <v>#REF!</v>
      </c>
      <c r="AF118" s="122"/>
      <c r="AG118" s="71" t="s">
        <v>248</v>
      </c>
      <c r="AH118" s="73" t="e">
        <f xml:space="preserve"> _xlfn.TEXTJOIN(" ", FALSE,#REF!)</f>
        <v>#REF!</v>
      </c>
      <c r="AI118" s="122"/>
      <c r="AJ118" s="71" t="s">
        <v>249</v>
      </c>
      <c r="AK118" s="73" t="e">
        <f xml:space="preserve"> _xlfn.TEXTJOIN(" ", FALSE,#REF!)</f>
        <v>#REF!</v>
      </c>
      <c r="AL118" s="122"/>
      <c r="AM118" s="71" t="s">
        <v>250</v>
      </c>
      <c r="AN118" s="73" t="e">
        <f xml:space="preserve"> _xlfn.TEXTJOIN(" ", FALSE,#REF!)</f>
        <v>#REF!</v>
      </c>
      <c r="AO118" s="122"/>
      <c r="AP118" s="71" t="s">
        <v>251</v>
      </c>
      <c r="AQ118" s="72" t="e">
        <f xml:space="preserve"> _xlfn.TEXTJOIN(" ", FALSE,#REF!)</f>
        <v>#REF!</v>
      </c>
      <c r="AR118" s="122"/>
      <c r="AS118" s="71" t="s">
        <v>252</v>
      </c>
      <c r="AT118" s="72" t="e">
        <f xml:space="preserve"> _xlfn.TEXTJOIN(" ", FALSE,#REF!)</f>
        <v>#REF!</v>
      </c>
      <c r="AU118" s="122"/>
      <c r="AV118" s="71" t="s">
        <v>253</v>
      </c>
      <c r="AW118" s="73" t="e">
        <f xml:space="preserve"> _xlfn.TEXTJOIN(" ", FALSE,#REF!)</f>
        <v>#REF!</v>
      </c>
      <c r="AX118" s="122"/>
      <c r="AY118" s="71" t="s">
        <v>254</v>
      </c>
      <c r="AZ118" s="72" t="e">
        <f xml:space="preserve"> _xlfn.TEXTJOIN(" ", FALSE,#REF!)</f>
        <v>#REF!</v>
      </c>
      <c r="BA118" s="122"/>
      <c r="BB118" s="71" t="s">
        <v>255</v>
      </c>
      <c r="BC118" s="72" t="e">
        <f xml:space="preserve"> _xlfn.TEXTJOIN(" ", FALSE,#REF!)</f>
        <v>#REF!</v>
      </c>
      <c r="BD118" s="122"/>
      <c r="BE118" s="71" t="s">
        <v>256</v>
      </c>
      <c r="BF118" s="72" t="e">
        <f xml:space="preserve"> _xlfn.TEXTJOIN(" ", FALSE,#REF!)</f>
        <v>#REF!</v>
      </c>
      <c r="BG118" s="65" t="s">
        <v>277</v>
      </c>
      <c r="BH118" s="70" t="e">
        <f t="shared" si="8"/>
        <v>#REF!</v>
      </c>
      <c r="BI118" s="64" t="s">
        <v>257</v>
      </c>
      <c r="BJ118" s="122"/>
      <c r="BK118" s="71" t="s">
        <v>258</v>
      </c>
      <c r="BL118" s="74" t="str">
        <f>_xlfn.TEXTJOIN(" ", FALSE, 'Task 2a - Mitigating the Proble'!U118:AC118)</f>
        <v xml:space="preserve">1 1 1 1 1 0 1 0 </v>
      </c>
      <c r="BM118" s="65" t="s">
        <v>277</v>
      </c>
      <c r="BN118" s="70" t="str">
        <f t="shared" si="9"/>
        <v>[Details for Task 2a:]  /Question 12: 1 1 1 1 1 0 1 0  .</v>
      </c>
      <c r="BO118" s="64" t="s">
        <v>259</v>
      </c>
      <c r="BP118" s="122"/>
      <c r="BQ118" s="71" t="s">
        <v>260</v>
      </c>
      <c r="BR118" s="73" t="e">
        <f xml:space="preserve"> _xlfn.TEXTJOIN(" ", FALSE,#REF!)</f>
        <v>#REF!</v>
      </c>
      <c r="BS118" s="122"/>
      <c r="BT118" s="71" t="s">
        <v>261</v>
      </c>
      <c r="BU118" s="73" t="e">
        <f xml:space="preserve"> _xlfn.TEXTJOIN(" ", FALSE,#REF!)</f>
        <v>#REF!</v>
      </c>
      <c r="BV118" s="122"/>
      <c r="BW118" s="71" t="s">
        <v>262</v>
      </c>
      <c r="BX118" s="73" t="e">
        <f xml:space="preserve"> _xlfn.TEXTJOIN(" ", FALSE,#REF!)</f>
        <v>#REF!</v>
      </c>
      <c r="BY118" s="122"/>
      <c r="BZ118" s="71" t="s">
        <v>263</v>
      </c>
      <c r="CA118" s="73" t="e">
        <f xml:space="preserve"> _xlfn.TEXTJOIN(" ", FALSE,#REF!)</f>
        <v>#REF!</v>
      </c>
      <c r="CB118" s="122"/>
      <c r="CC118" s="71" t="s">
        <v>264</v>
      </c>
      <c r="CD118" s="73" t="e">
        <f xml:space="preserve"> _xlfn.TEXTJOIN(" ", FALSE,#REF!)</f>
        <v>#REF!</v>
      </c>
      <c r="CE118" s="122"/>
      <c r="CF118" s="71" t="s">
        <v>265</v>
      </c>
      <c r="CG118" s="73" t="e">
        <f xml:space="preserve"> _xlfn.TEXTJOIN(" ", FALSE,#REF!)</f>
        <v>#REF!</v>
      </c>
      <c r="CH118" s="122"/>
      <c r="CI118" s="74" t="s">
        <v>278</v>
      </c>
      <c r="CJ118" s="73" t="e">
        <f xml:space="preserve"> _xlfn.TEXTJOIN(" ", FALSE,#REF!)</f>
        <v>#REF!</v>
      </c>
      <c r="CK118" s="65" t="s">
        <v>277</v>
      </c>
      <c r="CL118" s="70" t="e">
        <f t="shared" si="10"/>
        <v>#REF!</v>
      </c>
      <c r="CM118" s="64" t="s">
        <v>267</v>
      </c>
      <c r="CN118" s="122"/>
      <c r="CO118" s="71" t="s">
        <v>268</v>
      </c>
      <c r="CP118" s="73" t="e">
        <f xml:space="preserve"> _xlfn.TEXTJOIN(" ", FALSE,#REF!)</f>
        <v>#REF!</v>
      </c>
      <c r="CQ118" s="122"/>
      <c r="CR118" s="71" t="s">
        <v>269</v>
      </c>
      <c r="CS118" s="73" t="e">
        <f xml:space="preserve"> _xlfn.TEXTJOIN(" ", FALSE,#REF!)</f>
        <v>#REF!</v>
      </c>
      <c r="CT118" s="122"/>
      <c r="CU118" s="71" t="s">
        <v>270</v>
      </c>
      <c r="CV118" s="72" t="e">
        <f xml:space="preserve"> _xlfn.TEXTJOIN(" ", FALSE,#REF!)</f>
        <v>#REF!</v>
      </c>
      <c r="CW118" s="122"/>
      <c r="CX118" s="71" t="s">
        <v>271</v>
      </c>
      <c r="CY118" s="72" t="e">
        <f xml:space="preserve"> _xlfn.TEXTJOIN(" ", FALSE,#REF!)</f>
        <v>#REF!</v>
      </c>
      <c r="CZ118" s="122"/>
      <c r="DA118" s="71" t="s">
        <v>272</v>
      </c>
      <c r="DB118" s="73" t="e">
        <f xml:space="preserve"> _xlfn.TEXTJOIN(" ", FALSE,#REF!)</f>
        <v>#REF!</v>
      </c>
      <c r="DC118" s="65" t="s">
        <v>277</v>
      </c>
      <c r="DD118" s="70" t="e">
        <f t="shared" si="11"/>
        <v>#REF!</v>
      </c>
      <c r="DE118" s="64" t="s">
        <v>273</v>
      </c>
      <c r="DF118" s="122"/>
      <c r="DG118" s="71" t="s">
        <v>274</v>
      </c>
      <c r="DH118" s="72" t="e">
        <f xml:space="preserve"> _xlfn.TEXTJOIN(" ", FALSE,#REF!)</f>
        <v>#REF!</v>
      </c>
      <c r="DI118" s="122"/>
      <c r="DJ118" s="71" t="s">
        <v>275</v>
      </c>
      <c r="DK118" s="73" t="e">
        <f xml:space="preserve"> _xlfn.TEXTJOIN(" ", FALSE,#REF!)</f>
        <v>#REF!</v>
      </c>
      <c r="DL118" s="65" t="s">
        <v>277</v>
      </c>
      <c r="DM118" s="70" t="e">
        <f t="shared" si="12"/>
        <v>#REF!</v>
      </c>
      <c r="DN118" s="70" t="e">
        <f t="shared" si="13"/>
        <v>#REF!</v>
      </c>
    </row>
    <row r="119" spans="1:118" ht="108" customHeight="1">
      <c r="A119" s="122" t="e">
        <f>Summary!A119</f>
        <v>#REF!</v>
      </c>
      <c r="B119" s="64" t="s">
        <v>233</v>
      </c>
      <c r="C119" s="65" t="e">
        <f>Summary!B119</f>
        <v>#REF!</v>
      </c>
      <c r="D119" s="122"/>
      <c r="E119" s="64" t="s">
        <v>235</v>
      </c>
      <c r="F119" s="132" t="e">
        <f>Summary!C119</f>
        <v>#REF!</v>
      </c>
      <c r="G119" s="64" t="s">
        <v>236</v>
      </c>
      <c r="H119" s="132" t="e">
        <f>Summary!D119</f>
        <v>#REF!</v>
      </c>
      <c r="I119" s="64" t="s">
        <v>237</v>
      </c>
      <c r="J119" s="66">
        <f>Summary!E119</f>
        <v>7</v>
      </c>
      <c r="K119" s="64" t="s">
        <v>238</v>
      </c>
      <c r="L119" s="132" t="e">
        <f>Summary!F119</f>
        <v>#REF!</v>
      </c>
      <c r="M119" s="64" t="s">
        <v>239</v>
      </c>
      <c r="N119" s="132" t="e">
        <f>Summary!G119</f>
        <v>#REF!</v>
      </c>
      <c r="O119" s="64" t="s">
        <v>240</v>
      </c>
      <c r="P119" s="132" t="e">
        <f>Summary!H119</f>
        <v>#REF!</v>
      </c>
      <c r="Q119" s="65" t="s">
        <v>277</v>
      </c>
      <c r="R119" s="70" t="e">
        <f t="shared" si="7"/>
        <v>#REF!</v>
      </c>
      <c r="S119" s="64" t="s">
        <v>243</v>
      </c>
      <c r="T119" s="122"/>
      <c r="U119" s="71" t="s">
        <v>244</v>
      </c>
      <c r="V119" s="72" t="e">
        <f xml:space="preserve"> _xlfn.TEXTJOIN(" ", FALSE,#REF!)</f>
        <v>#REF!</v>
      </c>
      <c r="W119" s="122"/>
      <c r="X119" s="71" t="s">
        <v>245</v>
      </c>
      <c r="Y119" s="72" t="e">
        <f xml:space="preserve"> _xlfn.TEXTJOIN(" ", FALSE,#REF!)</f>
        <v>#REF!</v>
      </c>
      <c r="Z119" s="122"/>
      <c r="AA119" s="71" t="s">
        <v>246</v>
      </c>
      <c r="AB119" s="72" t="e">
        <f xml:space="preserve"> _xlfn.TEXTJOIN(" ", FALSE,#REF!)</f>
        <v>#REF!</v>
      </c>
      <c r="AC119" s="122"/>
      <c r="AD119" s="71" t="s">
        <v>247</v>
      </c>
      <c r="AE119" s="72" t="e">
        <f xml:space="preserve"> _xlfn.TEXTJOIN(" ", FALSE,#REF!)</f>
        <v>#REF!</v>
      </c>
      <c r="AF119" s="122"/>
      <c r="AG119" s="71" t="s">
        <v>248</v>
      </c>
      <c r="AH119" s="73" t="e">
        <f xml:space="preserve"> _xlfn.TEXTJOIN(" ", FALSE,#REF!)</f>
        <v>#REF!</v>
      </c>
      <c r="AI119" s="122"/>
      <c r="AJ119" s="71" t="s">
        <v>249</v>
      </c>
      <c r="AK119" s="73" t="e">
        <f xml:space="preserve"> _xlfn.TEXTJOIN(" ", FALSE,#REF!)</f>
        <v>#REF!</v>
      </c>
      <c r="AL119" s="122"/>
      <c r="AM119" s="71" t="s">
        <v>250</v>
      </c>
      <c r="AN119" s="73" t="e">
        <f xml:space="preserve"> _xlfn.TEXTJOIN(" ", FALSE,#REF!)</f>
        <v>#REF!</v>
      </c>
      <c r="AO119" s="122"/>
      <c r="AP119" s="71" t="s">
        <v>251</v>
      </c>
      <c r="AQ119" s="72" t="e">
        <f xml:space="preserve"> _xlfn.TEXTJOIN(" ", FALSE,#REF!)</f>
        <v>#REF!</v>
      </c>
      <c r="AR119" s="122"/>
      <c r="AS119" s="71" t="s">
        <v>252</v>
      </c>
      <c r="AT119" s="72" t="e">
        <f xml:space="preserve"> _xlfn.TEXTJOIN(" ", FALSE,#REF!)</f>
        <v>#REF!</v>
      </c>
      <c r="AU119" s="122"/>
      <c r="AV119" s="71" t="s">
        <v>253</v>
      </c>
      <c r="AW119" s="73" t="e">
        <f xml:space="preserve"> _xlfn.TEXTJOIN(" ", FALSE,#REF!)</f>
        <v>#REF!</v>
      </c>
      <c r="AX119" s="122"/>
      <c r="AY119" s="71" t="s">
        <v>254</v>
      </c>
      <c r="AZ119" s="72" t="e">
        <f xml:space="preserve"> _xlfn.TEXTJOIN(" ", FALSE,#REF!)</f>
        <v>#REF!</v>
      </c>
      <c r="BA119" s="122"/>
      <c r="BB119" s="71" t="s">
        <v>255</v>
      </c>
      <c r="BC119" s="72" t="e">
        <f xml:space="preserve"> _xlfn.TEXTJOIN(" ", FALSE,#REF!)</f>
        <v>#REF!</v>
      </c>
      <c r="BD119" s="122"/>
      <c r="BE119" s="71" t="s">
        <v>256</v>
      </c>
      <c r="BF119" s="72" t="e">
        <f xml:space="preserve"> _xlfn.TEXTJOIN(" ", FALSE,#REF!)</f>
        <v>#REF!</v>
      </c>
      <c r="BG119" s="65" t="s">
        <v>277</v>
      </c>
      <c r="BH119" s="70" t="e">
        <f t="shared" si="8"/>
        <v>#REF!</v>
      </c>
      <c r="BI119" s="64" t="s">
        <v>257</v>
      </c>
      <c r="BJ119" s="122"/>
      <c r="BK119" s="71" t="s">
        <v>258</v>
      </c>
      <c r="BL119" s="74" t="str">
        <f>_xlfn.TEXTJOIN(" ", FALSE, 'Task 2a - Mitigating the Proble'!U119:AC119)</f>
        <v xml:space="preserve">1 0 1 1 0 1 1 0 </v>
      </c>
      <c r="BM119" s="65" t="s">
        <v>277</v>
      </c>
      <c r="BN119" s="70" t="str">
        <f t="shared" si="9"/>
        <v>[Details for Task 2a:]  /Question 12: 1 0 1 1 0 1 1 0  .</v>
      </c>
      <c r="BO119" s="64" t="s">
        <v>259</v>
      </c>
      <c r="BP119" s="122"/>
      <c r="BQ119" s="71" t="s">
        <v>260</v>
      </c>
      <c r="BR119" s="73" t="e">
        <f xml:space="preserve"> _xlfn.TEXTJOIN(" ", FALSE,#REF!)</f>
        <v>#REF!</v>
      </c>
      <c r="BS119" s="122"/>
      <c r="BT119" s="71" t="s">
        <v>261</v>
      </c>
      <c r="BU119" s="73" t="e">
        <f xml:space="preserve"> _xlfn.TEXTJOIN(" ", FALSE,#REF!)</f>
        <v>#REF!</v>
      </c>
      <c r="BV119" s="122"/>
      <c r="BW119" s="71" t="s">
        <v>262</v>
      </c>
      <c r="BX119" s="73" t="e">
        <f xml:space="preserve"> _xlfn.TEXTJOIN(" ", FALSE,#REF!)</f>
        <v>#REF!</v>
      </c>
      <c r="BY119" s="122"/>
      <c r="BZ119" s="71" t="s">
        <v>263</v>
      </c>
      <c r="CA119" s="73" t="e">
        <f xml:space="preserve"> _xlfn.TEXTJOIN(" ", FALSE,#REF!)</f>
        <v>#REF!</v>
      </c>
      <c r="CB119" s="122"/>
      <c r="CC119" s="71" t="s">
        <v>264</v>
      </c>
      <c r="CD119" s="73" t="e">
        <f xml:space="preserve"> _xlfn.TEXTJOIN(" ", FALSE,#REF!)</f>
        <v>#REF!</v>
      </c>
      <c r="CE119" s="122"/>
      <c r="CF119" s="71" t="s">
        <v>265</v>
      </c>
      <c r="CG119" s="73" t="e">
        <f xml:space="preserve"> _xlfn.TEXTJOIN(" ", FALSE,#REF!)</f>
        <v>#REF!</v>
      </c>
      <c r="CH119" s="122"/>
      <c r="CI119" s="74" t="s">
        <v>278</v>
      </c>
      <c r="CJ119" s="73" t="e">
        <f xml:space="preserve"> _xlfn.TEXTJOIN(" ", FALSE,#REF!)</f>
        <v>#REF!</v>
      </c>
      <c r="CK119" s="65" t="s">
        <v>277</v>
      </c>
      <c r="CL119" s="70" t="e">
        <f t="shared" si="10"/>
        <v>#REF!</v>
      </c>
      <c r="CM119" s="64" t="s">
        <v>267</v>
      </c>
      <c r="CN119" s="122"/>
      <c r="CO119" s="71" t="s">
        <v>268</v>
      </c>
      <c r="CP119" s="73" t="e">
        <f xml:space="preserve"> _xlfn.TEXTJOIN(" ", FALSE,#REF!)</f>
        <v>#REF!</v>
      </c>
      <c r="CQ119" s="122"/>
      <c r="CR119" s="71" t="s">
        <v>269</v>
      </c>
      <c r="CS119" s="73" t="e">
        <f xml:space="preserve"> _xlfn.TEXTJOIN(" ", FALSE,#REF!)</f>
        <v>#REF!</v>
      </c>
      <c r="CT119" s="122"/>
      <c r="CU119" s="71" t="s">
        <v>270</v>
      </c>
      <c r="CV119" s="72" t="e">
        <f xml:space="preserve"> _xlfn.TEXTJOIN(" ", FALSE,#REF!)</f>
        <v>#REF!</v>
      </c>
      <c r="CW119" s="122"/>
      <c r="CX119" s="71" t="s">
        <v>271</v>
      </c>
      <c r="CY119" s="72" t="e">
        <f xml:space="preserve"> _xlfn.TEXTJOIN(" ", FALSE,#REF!)</f>
        <v>#REF!</v>
      </c>
      <c r="CZ119" s="122"/>
      <c r="DA119" s="71" t="s">
        <v>272</v>
      </c>
      <c r="DB119" s="73" t="e">
        <f xml:space="preserve"> _xlfn.TEXTJOIN(" ", FALSE,#REF!)</f>
        <v>#REF!</v>
      </c>
      <c r="DC119" s="65" t="s">
        <v>277</v>
      </c>
      <c r="DD119" s="70" t="e">
        <f t="shared" si="11"/>
        <v>#REF!</v>
      </c>
      <c r="DE119" s="64" t="s">
        <v>273</v>
      </c>
      <c r="DF119" s="122"/>
      <c r="DG119" s="71" t="s">
        <v>274</v>
      </c>
      <c r="DH119" s="72" t="e">
        <f xml:space="preserve"> _xlfn.TEXTJOIN(" ", FALSE,#REF!)</f>
        <v>#REF!</v>
      </c>
      <c r="DI119" s="122"/>
      <c r="DJ119" s="71" t="s">
        <v>275</v>
      </c>
      <c r="DK119" s="73" t="e">
        <f xml:space="preserve"> _xlfn.TEXTJOIN(" ", FALSE,#REF!)</f>
        <v>#REF!</v>
      </c>
      <c r="DL119" s="65" t="s">
        <v>277</v>
      </c>
      <c r="DM119" s="70" t="e">
        <f t="shared" si="12"/>
        <v>#REF!</v>
      </c>
      <c r="DN119" s="70" t="e">
        <f t="shared" si="13"/>
        <v>#REF!</v>
      </c>
    </row>
    <row r="120" spans="1:118" ht="108" customHeight="1">
      <c r="A120" s="122" t="e">
        <f>Summary!A120</f>
        <v>#REF!</v>
      </c>
      <c r="B120" s="64" t="s">
        <v>233</v>
      </c>
      <c r="C120" s="65" t="e">
        <f>Summary!B120</f>
        <v>#REF!</v>
      </c>
      <c r="D120" s="122"/>
      <c r="E120" s="64" t="s">
        <v>235</v>
      </c>
      <c r="F120" s="132" t="e">
        <f>Summary!C120</f>
        <v>#REF!</v>
      </c>
      <c r="G120" s="64" t="s">
        <v>236</v>
      </c>
      <c r="H120" s="132" t="e">
        <f>Summary!D120</f>
        <v>#REF!</v>
      </c>
      <c r="I120" s="64" t="s">
        <v>237</v>
      </c>
      <c r="J120" s="66">
        <f>Summary!E120</f>
        <v>9</v>
      </c>
      <c r="K120" s="64" t="s">
        <v>238</v>
      </c>
      <c r="L120" s="132" t="e">
        <f>Summary!F120</f>
        <v>#REF!</v>
      </c>
      <c r="M120" s="64" t="s">
        <v>239</v>
      </c>
      <c r="N120" s="132" t="e">
        <f>Summary!G120</f>
        <v>#REF!</v>
      </c>
      <c r="O120" s="64" t="s">
        <v>240</v>
      </c>
      <c r="P120" s="132" t="e">
        <f>Summary!H120</f>
        <v>#REF!</v>
      </c>
      <c r="Q120" s="65" t="s">
        <v>277</v>
      </c>
      <c r="R120" s="70" t="e">
        <f t="shared" si="7"/>
        <v>#REF!</v>
      </c>
      <c r="S120" s="64" t="s">
        <v>243</v>
      </c>
      <c r="T120" s="122"/>
      <c r="U120" s="71" t="s">
        <v>244</v>
      </c>
      <c r="V120" s="72" t="e">
        <f xml:space="preserve"> _xlfn.TEXTJOIN(" ", FALSE,#REF!)</f>
        <v>#REF!</v>
      </c>
      <c r="W120" s="122"/>
      <c r="X120" s="71" t="s">
        <v>245</v>
      </c>
      <c r="Y120" s="72" t="e">
        <f xml:space="preserve"> _xlfn.TEXTJOIN(" ", FALSE,#REF!)</f>
        <v>#REF!</v>
      </c>
      <c r="Z120" s="122"/>
      <c r="AA120" s="71" t="s">
        <v>246</v>
      </c>
      <c r="AB120" s="72" t="e">
        <f xml:space="preserve"> _xlfn.TEXTJOIN(" ", FALSE,#REF!)</f>
        <v>#REF!</v>
      </c>
      <c r="AC120" s="122"/>
      <c r="AD120" s="71" t="s">
        <v>247</v>
      </c>
      <c r="AE120" s="72" t="e">
        <f xml:space="preserve"> _xlfn.TEXTJOIN(" ", FALSE,#REF!)</f>
        <v>#REF!</v>
      </c>
      <c r="AF120" s="122"/>
      <c r="AG120" s="71" t="s">
        <v>248</v>
      </c>
      <c r="AH120" s="73" t="e">
        <f xml:space="preserve"> _xlfn.TEXTJOIN(" ", FALSE,#REF!)</f>
        <v>#REF!</v>
      </c>
      <c r="AI120" s="122"/>
      <c r="AJ120" s="71" t="s">
        <v>249</v>
      </c>
      <c r="AK120" s="73" t="e">
        <f xml:space="preserve"> _xlfn.TEXTJOIN(" ", FALSE,#REF!)</f>
        <v>#REF!</v>
      </c>
      <c r="AL120" s="122"/>
      <c r="AM120" s="71" t="s">
        <v>250</v>
      </c>
      <c r="AN120" s="73" t="e">
        <f xml:space="preserve"> _xlfn.TEXTJOIN(" ", FALSE,#REF!)</f>
        <v>#REF!</v>
      </c>
      <c r="AO120" s="122"/>
      <c r="AP120" s="71" t="s">
        <v>251</v>
      </c>
      <c r="AQ120" s="72" t="e">
        <f xml:space="preserve"> _xlfn.TEXTJOIN(" ", FALSE,#REF!)</f>
        <v>#REF!</v>
      </c>
      <c r="AR120" s="122"/>
      <c r="AS120" s="71" t="s">
        <v>252</v>
      </c>
      <c r="AT120" s="72" t="e">
        <f xml:space="preserve"> _xlfn.TEXTJOIN(" ", FALSE,#REF!)</f>
        <v>#REF!</v>
      </c>
      <c r="AU120" s="122"/>
      <c r="AV120" s="71" t="s">
        <v>253</v>
      </c>
      <c r="AW120" s="73" t="e">
        <f xml:space="preserve"> _xlfn.TEXTJOIN(" ", FALSE,#REF!)</f>
        <v>#REF!</v>
      </c>
      <c r="AX120" s="122"/>
      <c r="AY120" s="71" t="s">
        <v>254</v>
      </c>
      <c r="AZ120" s="72" t="e">
        <f xml:space="preserve"> _xlfn.TEXTJOIN(" ", FALSE,#REF!)</f>
        <v>#REF!</v>
      </c>
      <c r="BA120" s="122"/>
      <c r="BB120" s="71" t="s">
        <v>255</v>
      </c>
      <c r="BC120" s="72" t="e">
        <f xml:space="preserve"> _xlfn.TEXTJOIN(" ", FALSE,#REF!)</f>
        <v>#REF!</v>
      </c>
      <c r="BD120" s="122"/>
      <c r="BE120" s="71" t="s">
        <v>256</v>
      </c>
      <c r="BF120" s="72" t="e">
        <f xml:space="preserve"> _xlfn.TEXTJOIN(" ", FALSE,#REF!)</f>
        <v>#REF!</v>
      </c>
      <c r="BG120" s="65" t="s">
        <v>277</v>
      </c>
      <c r="BH120" s="70" t="e">
        <f t="shared" si="8"/>
        <v>#REF!</v>
      </c>
      <c r="BI120" s="64" t="s">
        <v>257</v>
      </c>
      <c r="BJ120" s="122"/>
      <c r="BK120" s="71" t="s">
        <v>258</v>
      </c>
      <c r="BL120" s="74" t="str">
        <f>_xlfn.TEXTJOIN(" ", FALSE, 'Task 2a - Mitigating the Proble'!U120:AC120)</f>
        <v>1 1 1 1 1 0 1 1 Good discussion on how L1 and L2 are special cases of the new setup.</v>
      </c>
      <c r="BM120" s="65" t="s">
        <v>277</v>
      </c>
      <c r="BN120" s="70" t="str">
        <f t="shared" si="9"/>
        <v>[Details for Task 2a:]  /Question 12: 1 1 1 1 1 0 1 1 Good discussion on how L1 and L2 are special cases of the new setup. .</v>
      </c>
      <c r="BO120" s="64" t="s">
        <v>259</v>
      </c>
      <c r="BP120" s="122"/>
      <c r="BQ120" s="71" t="s">
        <v>260</v>
      </c>
      <c r="BR120" s="73" t="e">
        <f xml:space="preserve"> _xlfn.TEXTJOIN(" ", FALSE,#REF!)</f>
        <v>#REF!</v>
      </c>
      <c r="BS120" s="122"/>
      <c r="BT120" s="71" t="s">
        <v>261</v>
      </c>
      <c r="BU120" s="73" t="e">
        <f xml:space="preserve"> _xlfn.TEXTJOIN(" ", FALSE,#REF!)</f>
        <v>#REF!</v>
      </c>
      <c r="BV120" s="122"/>
      <c r="BW120" s="71" t="s">
        <v>262</v>
      </c>
      <c r="BX120" s="73" t="e">
        <f xml:space="preserve"> _xlfn.TEXTJOIN(" ", FALSE,#REF!)</f>
        <v>#REF!</v>
      </c>
      <c r="BY120" s="122"/>
      <c r="BZ120" s="71" t="s">
        <v>263</v>
      </c>
      <c r="CA120" s="73" t="e">
        <f xml:space="preserve"> _xlfn.TEXTJOIN(" ", FALSE,#REF!)</f>
        <v>#REF!</v>
      </c>
      <c r="CB120" s="122"/>
      <c r="CC120" s="71" t="s">
        <v>264</v>
      </c>
      <c r="CD120" s="73" t="e">
        <f xml:space="preserve"> _xlfn.TEXTJOIN(" ", FALSE,#REF!)</f>
        <v>#REF!</v>
      </c>
      <c r="CE120" s="122"/>
      <c r="CF120" s="71" t="s">
        <v>265</v>
      </c>
      <c r="CG120" s="73" t="e">
        <f xml:space="preserve"> _xlfn.TEXTJOIN(" ", FALSE,#REF!)</f>
        <v>#REF!</v>
      </c>
      <c r="CH120" s="122"/>
      <c r="CI120" s="74" t="s">
        <v>278</v>
      </c>
      <c r="CJ120" s="73" t="e">
        <f xml:space="preserve"> _xlfn.TEXTJOIN(" ", FALSE,#REF!)</f>
        <v>#REF!</v>
      </c>
      <c r="CK120" s="65" t="s">
        <v>277</v>
      </c>
      <c r="CL120" s="70" t="e">
        <f t="shared" si="10"/>
        <v>#REF!</v>
      </c>
      <c r="CM120" s="64" t="s">
        <v>267</v>
      </c>
      <c r="CN120" s="122"/>
      <c r="CO120" s="71" t="s">
        <v>268</v>
      </c>
      <c r="CP120" s="73" t="e">
        <f xml:space="preserve"> _xlfn.TEXTJOIN(" ", FALSE,#REF!)</f>
        <v>#REF!</v>
      </c>
      <c r="CQ120" s="122"/>
      <c r="CR120" s="71" t="s">
        <v>269</v>
      </c>
      <c r="CS120" s="73" t="e">
        <f xml:space="preserve"> _xlfn.TEXTJOIN(" ", FALSE,#REF!)</f>
        <v>#REF!</v>
      </c>
      <c r="CT120" s="122"/>
      <c r="CU120" s="71" t="s">
        <v>270</v>
      </c>
      <c r="CV120" s="72" t="e">
        <f xml:space="preserve"> _xlfn.TEXTJOIN(" ", FALSE,#REF!)</f>
        <v>#REF!</v>
      </c>
      <c r="CW120" s="122"/>
      <c r="CX120" s="71" t="s">
        <v>271</v>
      </c>
      <c r="CY120" s="72" t="e">
        <f xml:space="preserve"> _xlfn.TEXTJOIN(" ", FALSE,#REF!)</f>
        <v>#REF!</v>
      </c>
      <c r="CZ120" s="122"/>
      <c r="DA120" s="71" t="s">
        <v>272</v>
      </c>
      <c r="DB120" s="73" t="e">
        <f xml:space="preserve"> _xlfn.TEXTJOIN(" ", FALSE,#REF!)</f>
        <v>#REF!</v>
      </c>
      <c r="DC120" s="65" t="s">
        <v>277</v>
      </c>
      <c r="DD120" s="70" t="e">
        <f t="shared" si="11"/>
        <v>#REF!</v>
      </c>
      <c r="DE120" s="64" t="s">
        <v>273</v>
      </c>
      <c r="DF120" s="122"/>
      <c r="DG120" s="71" t="s">
        <v>274</v>
      </c>
      <c r="DH120" s="72" t="e">
        <f xml:space="preserve"> _xlfn.TEXTJOIN(" ", FALSE,#REF!)</f>
        <v>#REF!</v>
      </c>
      <c r="DI120" s="122"/>
      <c r="DJ120" s="71" t="s">
        <v>275</v>
      </c>
      <c r="DK120" s="73" t="e">
        <f xml:space="preserve"> _xlfn.TEXTJOIN(" ", FALSE,#REF!)</f>
        <v>#REF!</v>
      </c>
      <c r="DL120" s="65" t="s">
        <v>277</v>
      </c>
      <c r="DM120" s="70" t="e">
        <f t="shared" si="12"/>
        <v>#REF!</v>
      </c>
      <c r="DN120" s="70" t="e">
        <f t="shared" si="13"/>
        <v>#REF!</v>
      </c>
    </row>
    <row r="121" spans="1:118" ht="108" customHeight="1">
      <c r="A121" s="122" t="e">
        <f>Summary!A121</f>
        <v>#REF!</v>
      </c>
      <c r="B121" s="64" t="s">
        <v>233</v>
      </c>
      <c r="C121" s="65" t="e">
        <f>Summary!B121</f>
        <v>#REF!</v>
      </c>
      <c r="D121" s="122"/>
      <c r="E121" s="64" t="s">
        <v>235</v>
      </c>
      <c r="F121" s="132" t="e">
        <f>Summary!C121</f>
        <v>#REF!</v>
      </c>
      <c r="G121" s="64" t="s">
        <v>236</v>
      </c>
      <c r="H121" s="132" t="e">
        <f>Summary!D121</f>
        <v>#REF!</v>
      </c>
      <c r="I121" s="64" t="s">
        <v>237</v>
      </c>
      <c r="J121" s="66">
        <f>Summary!E121</f>
        <v>7</v>
      </c>
      <c r="K121" s="64" t="s">
        <v>238</v>
      </c>
      <c r="L121" s="132" t="e">
        <f>Summary!F121</f>
        <v>#REF!</v>
      </c>
      <c r="M121" s="64" t="s">
        <v>239</v>
      </c>
      <c r="N121" s="132" t="e">
        <f>Summary!G121</f>
        <v>#REF!</v>
      </c>
      <c r="O121" s="64" t="s">
        <v>240</v>
      </c>
      <c r="P121" s="132" t="e">
        <f>Summary!H121</f>
        <v>#REF!</v>
      </c>
      <c r="Q121" s="65" t="s">
        <v>277</v>
      </c>
      <c r="R121" s="70" t="e">
        <f t="shared" si="7"/>
        <v>#REF!</v>
      </c>
      <c r="S121" s="64" t="s">
        <v>243</v>
      </c>
      <c r="T121" s="122"/>
      <c r="U121" s="71" t="s">
        <v>244</v>
      </c>
      <c r="V121" s="72" t="e">
        <f xml:space="preserve"> _xlfn.TEXTJOIN(" ", FALSE,#REF!)</f>
        <v>#REF!</v>
      </c>
      <c r="W121" s="122"/>
      <c r="X121" s="71" t="s">
        <v>245</v>
      </c>
      <c r="Y121" s="72" t="e">
        <f xml:space="preserve"> _xlfn.TEXTJOIN(" ", FALSE,#REF!)</f>
        <v>#REF!</v>
      </c>
      <c r="Z121" s="122"/>
      <c r="AA121" s="71" t="s">
        <v>246</v>
      </c>
      <c r="AB121" s="72" t="e">
        <f xml:space="preserve"> _xlfn.TEXTJOIN(" ", FALSE,#REF!)</f>
        <v>#REF!</v>
      </c>
      <c r="AC121" s="122"/>
      <c r="AD121" s="71" t="s">
        <v>247</v>
      </c>
      <c r="AE121" s="72" t="e">
        <f xml:space="preserve"> _xlfn.TEXTJOIN(" ", FALSE,#REF!)</f>
        <v>#REF!</v>
      </c>
      <c r="AF121" s="122"/>
      <c r="AG121" s="71" t="s">
        <v>248</v>
      </c>
      <c r="AH121" s="73" t="e">
        <f xml:space="preserve"> _xlfn.TEXTJOIN(" ", FALSE,#REF!)</f>
        <v>#REF!</v>
      </c>
      <c r="AI121" s="122"/>
      <c r="AJ121" s="71" t="s">
        <v>249</v>
      </c>
      <c r="AK121" s="73" t="e">
        <f xml:space="preserve"> _xlfn.TEXTJOIN(" ", FALSE,#REF!)</f>
        <v>#REF!</v>
      </c>
      <c r="AL121" s="122"/>
      <c r="AM121" s="71" t="s">
        <v>250</v>
      </c>
      <c r="AN121" s="73" t="e">
        <f xml:space="preserve"> _xlfn.TEXTJOIN(" ", FALSE,#REF!)</f>
        <v>#REF!</v>
      </c>
      <c r="AO121" s="122"/>
      <c r="AP121" s="71" t="s">
        <v>251</v>
      </c>
      <c r="AQ121" s="72" t="e">
        <f xml:space="preserve"> _xlfn.TEXTJOIN(" ", FALSE,#REF!)</f>
        <v>#REF!</v>
      </c>
      <c r="AR121" s="122"/>
      <c r="AS121" s="71" t="s">
        <v>252</v>
      </c>
      <c r="AT121" s="72" t="e">
        <f xml:space="preserve"> _xlfn.TEXTJOIN(" ", FALSE,#REF!)</f>
        <v>#REF!</v>
      </c>
      <c r="AU121" s="122"/>
      <c r="AV121" s="71" t="s">
        <v>253</v>
      </c>
      <c r="AW121" s="73" t="e">
        <f xml:space="preserve"> _xlfn.TEXTJOIN(" ", FALSE,#REF!)</f>
        <v>#REF!</v>
      </c>
      <c r="AX121" s="122"/>
      <c r="AY121" s="71" t="s">
        <v>254</v>
      </c>
      <c r="AZ121" s="72" t="e">
        <f xml:space="preserve"> _xlfn.TEXTJOIN(" ", FALSE,#REF!)</f>
        <v>#REF!</v>
      </c>
      <c r="BA121" s="122"/>
      <c r="BB121" s="71" t="s">
        <v>255</v>
      </c>
      <c r="BC121" s="72" t="e">
        <f xml:space="preserve"> _xlfn.TEXTJOIN(" ", FALSE,#REF!)</f>
        <v>#REF!</v>
      </c>
      <c r="BD121" s="122"/>
      <c r="BE121" s="71" t="s">
        <v>256</v>
      </c>
      <c r="BF121" s="72" t="e">
        <f xml:space="preserve"> _xlfn.TEXTJOIN(" ", FALSE,#REF!)</f>
        <v>#REF!</v>
      </c>
      <c r="BG121" s="65" t="s">
        <v>277</v>
      </c>
      <c r="BH121" s="70" t="e">
        <f t="shared" si="8"/>
        <v>#REF!</v>
      </c>
      <c r="BI121" s="64" t="s">
        <v>257</v>
      </c>
      <c r="BJ121" s="122"/>
      <c r="BK121" s="71" t="s">
        <v>258</v>
      </c>
      <c r="BL121" s="74" t="str">
        <f>_xlfn.TEXTJOIN(" ", FALSE, 'Task 2a - Mitigating the Proble'!U121:AC121)</f>
        <v xml:space="preserve">1 0 1 1 0 1 1 0 </v>
      </c>
      <c r="BM121" s="65" t="s">
        <v>277</v>
      </c>
      <c r="BN121" s="70" t="str">
        <f t="shared" si="9"/>
        <v>[Details for Task 2a:]  /Question 12: 1 0 1 1 0 1 1 0  .</v>
      </c>
      <c r="BO121" s="64" t="s">
        <v>259</v>
      </c>
      <c r="BP121" s="122"/>
      <c r="BQ121" s="71" t="s">
        <v>260</v>
      </c>
      <c r="BR121" s="73" t="e">
        <f xml:space="preserve"> _xlfn.TEXTJOIN(" ", FALSE,#REF!)</f>
        <v>#REF!</v>
      </c>
      <c r="BS121" s="122"/>
      <c r="BT121" s="71" t="s">
        <v>261</v>
      </c>
      <c r="BU121" s="73" t="e">
        <f xml:space="preserve"> _xlfn.TEXTJOIN(" ", FALSE,#REF!)</f>
        <v>#REF!</v>
      </c>
      <c r="BV121" s="122"/>
      <c r="BW121" s="71" t="s">
        <v>262</v>
      </c>
      <c r="BX121" s="73" t="e">
        <f xml:space="preserve"> _xlfn.TEXTJOIN(" ", FALSE,#REF!)</f>
        <v>#REF!</v>
      </c>
      <c r="BY121" s="122"/>
      <c r="BZ121" s="71" t="s">
        <v>263</v>
      </c>
      <c r="CA121" s="73" t="e">
        <f xml:space="preserve"> _xlfn.TEXTJOIN(" ", FALSE,#REF!)</f>
        <v>#REF!</v>
      </c>
      <c r="CB121" s="122"/>
      <c r="CC121" s="71" t="s">
        <v>264</v>
      </c>
      <c r="CD121" s="73" t="e">
        <f xml:space="preserve"> _xlfn.TEXTJOIN(" ", FALSE,#REF!)</f>
        <v>#REF!</v>
      </c>
      <c r="CE121" s="122"/>
      <c r="CF121" s="71" t="s">
        <v>265</v>
      </c>
      <c r="CG121" s="73" t="e">
        <f xml:space="preserve"> _xlfn.TEXTJOIN(" ", FALSE,#REF!)</f>
        <v>#REF!</v>
      </c>
      <c r="CH121" s="122"/>
      <c r="CI121" s="74" t="s">
        <v>278</v>
      </c>
      <c r="CJ121" s="73" t="e">
        <f xml:space="preserve"> _xlfn.TEXTJOIN(" ", FALSE,#REF!)</f>
        <v>#REF!</v>
      </c>
      <c r="CK121" s="65" t="s">
        <v>277</v>
      </c>
      <c r="CL121" s="70" t="e">
        <f t="shared" si="10"/>
        <v>#REF!</v>
      </c>
      <c r="CM121" s="64" t="s">
        <v>267</v>
      </c>
      <c r="CN121" s="122"/>
      <c r="CO121" s="71" t="s">
        <v>268</v>
      </c>
      <c r="CP121" s="73" t="e">
        <f xml:space="preserve"> _xlfn.TEXTJOIN(" ", FALSE,#REF!)</f>
        <v>#REF!</v>
      </c>
      <c r="CQ121" s="122"/>
      <c r="CR121" s="71" t="s">
        <v>269</v>
      </c>
      <c r="CS121" s="73" t="e">
        <f xml:space="preserve"> _xlfn.TEXTJOIN(" ", FALSE,#REF!)</f>
        <v>#REF!</v>
      </c>
      <c r="CT121" s="122"/>
      <c r="CU121" s="71" t="s">
        <v>270</v>
      </c>
      <c r="CV121" s="72" t="e">
        <f xml:space="preserve"> _xlfn.TEXTJOIN(" ", FALSE,#REF!)</f>
        <v>#REF!</v>
      </c>
      <c r="CW121" s="122"/>
      <c r="CX121" s="71" t="s">
        <v>271</v>
      </c>
      <c r="CY121" s="72" t="e">
        <f xml:space="preserve"> _xlfn.TEXTJOIN(" ", FALSE,#REF!)</f>
        <v>#REF!</v>
      </c>
      <c r="CZ121" s="122"/>
      <c r="DA121" s="71" t="s">
        <v>272</v>
      </c>
      <c r="DB121" s="73" t="e">
        <f xml:space="preserve"> _xlfn.TEXTJOIN(" ", FALSE,#REF!)</f>
        <v>#REF!</v>
      </c>
      <c r="DC121" s="65" t="s">
        <v>277</v>
      </c>
      <c r="DD121" s="70" t="e">
        <f t="shared" si="11"/>
        <v>#REF!</v>
      </c>
      <c r="DE121" s="64" t="s">
        <v>273</v>
      </c>
      <c r="DF121" s="122"/>
      <c r="DG121" s="71" t="s">
        <v>274</v>
      </c>
      <c r="DH121" s="72" t="e">
        <f xml:space="preserve"> _xlfn.TEXTJOIN(" ", FALSE,#REF!)</f>
        <v>#REF!</v>
      </c>
      <c r="DI121" s="122"/>
      <c r="DJ121" s="71" t="s">
        <v>275</v>
      </c>
      <c r="DK121" s="73" t="e">
        <f xml:space="preserve"> _xlfn.TEXTJOIN(" ", FALSE,#REF!)</f>
        <v>#REF!</v>
      </c>
      <c r="DL121" s="65" t="s">
        <v>277</v>
      </c>
      <c r="DM121" s="70" t="e">
        <f t="shared" si="12"/>
        <v>#REF!</v>
      </c>
      <c r="DN121" s="70" t="e">
        <f t="shared" si="13"/>
        <v>#REF!</v>
      </c>
    </row>
    <row r="122" spans="1:118" ht="108" customHeight="1">
      <c r="A122" s="122" t="e">
        <f>Summary!A122</f>
        <v>#REF!</v>
      </c>
      <c r="B122" s="64" t="s">
        <v>233</v>
      </c>
      <c r="C122" s="65" t="e">
        <f>Summary!B122</f>
        <v>#REF!</v>
      </c>
      <c r="D122" s="122"/>
      <c r="E122" s="64" t="s">
        <v>235</v>
      </c>
      <c r="F122" s="132" t="e">
        <f>Summary!C122</f>
        <v>#REF!</v>
      </c>
      <c r="G122" s="64" t="s">
        <v>236</v>
      </c>
      <c r="H122" s="132" t="e">
        <f>Summary!D122</f>
        <v>#REF!</v>
      </c>
      <c r="I122" s="64" t="s">
        <v>237</v>
      </c>
      <c r="J122" s="66">
        <f>Summary!E122</f>
        <v>5</v>
      </c>
      <c r="K122" s="64" t="s">
        <v>238</v>
      </c>
      <c r="L122" s="132" t="e">
        <f>Summary!F122</f>
        <v>#REF!</v>
      </c>
      <c r="M122" s="64" t="s">
        <v>239</v>
      </c>
      <c r="N122" s="132" t="e">
        <f>Summary!G122</f>
        <v>#REF!</v>
      </c>
      <c r="O122" s="64" t="s">
        <v>240</v>
      </c>
      <c r="P122" s="132" t="e">
        <f>Summary!H122</f>
        <v>#REF!</v>
      </c>
      <c r="Q122" s="65" t="s">
        <v>277</v>
      </c>
      <c r="R122" s="70" t="e">
        <f t="shared" si="7"/>
        <v>#REF!</v>
      </c>
      <c r="S122" s="64" t="s">
        <v>243</v>
      </c>
      <c r="T122" s="122"/>
      <c r="U122" s="71" t="s">
        <v>244</v>
      </c>
      <c r="V122" s="72" t="e">
        <f xml:space="preserve"> _xlfn.TEXTJOIN(" ", FALSE,#REF!)</f>
        <v>#REF!</v>
      </c>
      <c r="W122" s="122"/>
      <c r="X122" s="71" t="s">
        <v>245</v>
      </c>
      <c r="Y122" s="72" t="e">
        <f xml:space="preserve"> _xlfn.TEXTJOIN(" ", FALSE,#REF!)</f>
        <v>#REF!</v>
      </c>
      <c r="Z122" s="122"/>
      <c r="AA122" s="71" t="s">
        <v>246</v>
      </c>
      <c r="AB122" s="72" t="e">
        <f xml:space="preserve"> _xlfn.TEXTJOIN(" ", FALSE,#REF!)</f>
        <v>#REF!</v>
      </c>
      <c r="AC122" s="122"/>
      <c r="AD122" s="71" t="s">
        <v>247</v>
      </c>
      <c r="AE122" s="72" t="e">
        <f xml:space="preserve"> _xlfn.TEXTJOIN(" ", FALSE,#REF!)</f>
        <v>#REF!</v>
      </c>
      <c r="AF122" s="122"/>
      <c r="AG122" s="71" t="s">
        <v>248</v>
      </c>
      <c r="AH122" s="73" t="e">
        <f xml:space="preserve"> _xlfn.TEXTJOIN(" ", FALSE,#REF!)</f>
        <v>#REF!</v>
      </c>
      <c r="AI122" s="122"/>
      <c r="AJ122" s="71" t="s">
        <v>249</v>
      </c>
      <c r="AK122" s="73" t="e">
        <f xml:space="preserve"> _xlfn.TEXTJOIN(" ", FALSE,#REF!)</f>
        <v>#REF!</v>
      </c>
      <c r="AL122" s="122"/>
      <c r="AM122" s="71" t="s">
        <v>250</v>
      </c>
      <c r="AN122" s="73" t="e">
        <f xml:space="preserve"> _xlfn.TEXTJOIN(" ", FALSE,#REF!)</f>
        <v>#REF!</v>
      </c>
      <c r="AO122" s="122"/>
      <c r="AP122" s="71" t="s">
        <v>251</v>
      </c>
      <c r="AQ122" s="72" t="e">
        <f xml:space="preserve"> _xlfn.TEXTJOIN(" ", FALSE,#REF!)</f>
        <v>#REF!</v>
      </c>
      <c r="AR122" s="122"/>
      <c r="AS122" s="71" t="s">
        <v>252</v>
      </c>
      <c r="AT122" s="72" t="e">
        <f xml:space="preserve"> _xlfn.TEXTJOIN(" ", FALSE,#REF!)</f>
        <v>#REF!</v>
      </c>
      <c r="AU122" s="122"/>
      <c r="AV122" s="71" t="s">
        <v>253</v>
      </c>
      <c r="AW122" s="73" t="e">
        <f xml:space="preserve"> _xlfn.TEXTJOIN(" ", FALSE,#REF!)</f>
        <v>#REF!</v>
      </c>
      <c r="AX122" s="122"/>
      <c r="AY122" s="71" t="s">
        <v>254</v>
      </c>
      <c r="AZ122" s="72" t="e">
        <f xml:space="preserve"> _xlfn.TEXTJOIN(" ", FALSE,#REF!)</f>
        <v>#REF!</v>
      </c>
      <c r="BA122" s="122"/>
      <c r="BB122" s="71" t="s">
        <v>255</v>
      </c>
      <c r="BC122" s="72" t="e">
        <f xml:space="preserve"> _xlfn.TEXTJOIN(" ", FALSE,#REF!)</f>
        <v>#REF!</v>
      </c>
      <c r="BD122" s="122"/>
      <c r="BE122" s="71" t="s">
        <v>256</v>
      </c>
      <c r="BF122" s="72" t="e">
        <f xml:space="preserve"> _xlfn.TEXTJOIN(" ", FALSE,#REF!)</f>
        <v>#REF!</v>
      </c>
      <c r="BG122" s="65" t="s">
        <v>277</v>
      </c>
      <c r="BH122" s="70" t="e">
        <f t="shared" si="8"/>
        <v>#REF!</v>
      </c>
      <c r="BI122" s="64" t="s">
        <v>257</v>
      </c>
      <c r="BJ122" s="122"/>
      <c r="BK122" s="71" t="s">
        <v>258</v>
      </c>
      <c r="BL122" s="74" t="str">
        <f>_xlfn.TEXTJOIN(" ", FALSE, 'Task 2a - Mitigating the Proble'!U122:AC122)</f>
        <v xml:space="preserve">1 0 1 0 1 0 1 0 </v>
      </c>
      <c r="BM122" s="65" t="s">
        <v>277</v>
      </c>
      <c r="BN122" s="70" t="str">
        <f t="shared" si="9"/>
        <v>[Details for Task 2a:]  /Question 12: 1 0 1 0 1 0 1 0  .</v>
      </c>
      <c r="BO122" s="64" t="s">
        <v>259</v>
      </c>
      <c r="BP122" s="122"/>
      <c r="BQ122" s="71" t="s">
        <v>260</v>
      </c>
      <c r="BR122" s="73" t="e">
        <f xml:space="preserve"> _xlfn.TEXTJOIN(" ", FALSE,#REF!)</f>
        <v>#REF!</v>
      </c>
      <c r="BS122" s="122"/>
      <c r="BT122" s="71" t="s">
        <v>261</v>
      </c>
      <c r="BU122" s="73" t="e">
        <f xml:space="preserve"> _xlfn.TEXTJOIN(" ", FALSE,#REF!)</f>
        <v>#REF!</v>
      </c>
      <c r="BV122" s="122"/>
      <c r="BW122" s="71" t="s">
        <v>262</v>
      </c>
      <c r="BX122" s="73" t="e">
        <f xml:space="preserve"> _xlfn.TEXTJOIN(" ", FALSE,#REF!)</f>
        <v>#REF!</v>
      </c>
      <c r="BY122" s="122"/>
      <c r="BZ122" s="71" t="s">
        <v>263</v>
      </c>
      <c r="CA122" s="73" t="e">
        <f xml:space="preserve"> _xlfn.TEXTJOIN(" ", FALSE,#REF!)</f>
        <v>#REF!</v>
      </c>
      <c r="CB122" s="122"/>
      <c r="CC122" s="71" t="s">
        <v>264</v>
      </c>
      <c r="CD122" s="73" t="e">
        <f xml:space="preserve"> _xlfn.TEXTJOIN(" ", FALSE,#REF!)</f>
        <v>#REF!</v>
      </c>
      <c r="CE122" s="122"/>
      <c r="CF122" s="71" t="s">
        <v>265</v>
      </c>
      <c r="CG122" s="73" t="e">
        <f xml:space="preserve"> _xlfn.TEXTJOIN(" ", FALSE,#REF!)</f>
        <v>#REF!</v>
      </c>
      <c r="CH122" s="122"/>
      <c r="CI122" s="74" t="s">
        <v>278</v>
      </c>
      <c r="CJ122" s="73" t="e">
        <f xml:space="preserve"> _xlfn.TEXTJOIN(" ", FALSE,#REF!)</f>
        <v>#REF!</v>
      </c>
      <c r="CK122" s="65" t="s">
        <v>277</v>
      </c>
      <c r="CL122" s="70" t="e">
        <f t="shared" si="10"/>
        <v>#REF!</v>
      </c>
      <c r="CM122" s="64" t="s">
        <v>267</v>
      </c>
      <c r="CN122" s="122"/>
      <c r="CO122" s="71" t="s">
        <v>268</v>
      </c>
      <c r="CP122" s="73" t="e">
        <f xml:space="preserve"> _xlfn.TEXTJOIN(" ", FALSE,#REF!)</f>
        <v>#REF!</v>
      </c>
      <c r="CQ122" s="122"/>
      <c r="CR122" s="71" t="s">
        <v>269</v>
      </c>
      <c r="CS122" s="73" t="e">
        <f xml:space="preserve"> _xlfn.TEXTJOIN(" ", FALSE,#REF!)</f>
        <v>#REF!</v>
      </c>
      <c r="CT122" s="122"/>
      <c r="CU122" s="71" t="s">
        <v>270</v>
      </c>
      <c r="CV122" s="72" t="e">
        <f xml:space="preserve"> _xlfn.TEXTJOIN(" ", FALSE,#REF!)</f>
        <v>#REF!</v>
      </c>
      <c r="CW122" s="122"/>
      <c r="CX122" s="71" t="s">
        <v>271</v>
      </c>
      <c r="CY122" s="72" t="e">
        <f xml:space="preserve"> _xlfn.TEXTJOIN(" ", FALSE,#REF!)</f>
        <v>#REF!</v>
      </c>
      <c r="CZ122" s="122"/>
      <c r="DA122" s="71" t="s">
        <v>272</v>
      </c>
      <c r="DB122" s="73" t="e">
        <f xml:space="preserve"> _xlfn.TEXTJOIN(" ", FALSE,#REF!)</f>
        <v>#REF!</v>
      </c>
      <c r="DC122" s="65" t="s">
        <v>277</v>
      </c>
      <c r="DD122" s="70" t="e">
        <f t="shared" si="11"/>
        <v>#REF!</v>
      </c>
      <c r="DE122" s="64" t="s">
        <v>273</v>
      </c>
      <c r="DF122" s="122"/>
      <c r="DG122" s="71" t="s">
        <v>274</v>
      </c>
      <c r="DH122" s="72" t="e">
        <f xml:space="preserve"> _xlfn.TEXTJOIN(" ", FALSE,#REF!)</f>
        <v>#REF!</v>
      </c>
      <c r="DI122" s="122"/>
      <c r="DJ122" s="71" t="s">
        <v>275</v>
      </c>
      <c r="DK122" s="73" t="e">
        <f xml:space="preserve"> _xlfn.TEXTJOIN(" ", FALSE,#REF!)</f>
        <v>#REF!</v>
      </c>
      <c r="DL122" s="65" t="s">
        <v>277</v>
      </c>
      <c r="DM122" s="70" t="e">
        <f t="shared" si="12"/>
        <v>#REF!</v>
      </c>
      <c r="DN122" s="70" t="e">
        <f t="shared" si="13"/>
        <v>#REF!</v>
      </c>
    </row>
    <row r="123" spans="1:118" ht="108" customHeight="1">
      <c r="A123" s="122" t="e">
        <f>Summary!A123</f>
        <v>#REF!</v>
      </c>
      <c r="B123" s="64" t="s">
        <v>233</v>
      </c>
      <c r="C123" s="65" t="e">
        <f>Summary!B123</f>
        <v>#REF!</v>
      </c>
      <c r="D123" s="122"/>
      <c r="E123" s="64" t="s">
        <v>235</v>
      </c>
      <c r="F123" s="132" t="e">
        <f>Summary!C123</f>
        <v>#REF!</v>
      </c>
      <c r="G123" s="64" t="s">
        <v>236</v>
      </c>
      <c r="H123" s="132" t="e">
        <f>Summary!D123</f>
        <v>#REF!</v>
      </c>
      <c r="I123" s="64" t="s">
        <v>237</v>
      </c>
      <c r="J123" s="66">
        <f>Summary!E123</f>
        <v>7</v>
      </c>
      <c r="K123" s="64" t="s">
        <v>238</v>
      </c>
      <c r="L123" s="132" t="e">
        <f>Summary!F123</f>
        <v>#REF!</v>
      </c>
      <c r="M123" s="64" t="s">
        <v>239</v>
      </c>
      <c r="N123" s="132" t="e">
        <f>Summary!G123</f>
        <v>#REF!</v>
      </c>
      <c r="O123" s="64" t="s">
        <v>240</v>
      </c>
      <c r="P123" s="132" t="e">
        <f>Summary!H123</f>
        <v>#REF!</v>
      </c>
      <c r="Q123" s="65" t="s">
        <v>277</v>
      </c>
      <c r="R123" s="70" t="e">
        <f t="shared" si="7"/>
        <v>#REF!</v>
      </c>
      <c r="S123" s="64" t="s">
        <v>243</v>
      </c>
      <c r="T123" s="122"/>
      <c r="U123" s="71" t="s">
        <v>244</v>
      </c>
      <c r="V123" s="72" t="e">
        <f xml:space="preserve"> _xlfn.TEXTJOIN(" ", FALSE,#REF!)</f>
        <v>#REF!</v>
      </c>
      <c r="W123" s="122"/>
      <c r="X123" s="71" t="s">
        <v>245</v>
      </c>
      <c r="Y123" s="72" t="e">
        <f xml:space="preserve"> _xlfn.TEXTJOIN(" ", FALSE,#REF!)</f>
        <v>#REF!</v>
      </c>
      <c r="Z123" s="122"/>
      <c r="AA123" s="71" t="s">
        <v>246</v>
      </c>
      <c r="AB123" s="72" t="e">
        <f xml:space="preserve"> _xlfn.TEXTJOIN(" ", FALSE,#REF!)</f>
        <v>#REF!</v>
      </c>
      <c r="AC123" s="122"/>
      <c r="AD123" s="71" t="s">
        <v>247</v>
      </c>
      <c r="AE123" s="72" t="e">
        <f xml:space="preserve"> _xlfn.TEXTJOIN(" ", FALSE,#REF!)</f>
        <v>#REF!</v>
      </c>
      <c r="AF123" s="122"/>
      <c r="AG123" s="71" t="s">
        <v>248</v>
      </c>
      <c r="AH123" s="73" t="e">
        <f xml:space="preserve"> _xlfn.TEXTJOIN(" ", FALSE,#REF!)</f>
        <v>#REF!</v>
      </c>
      <c r="AI123" s="122"/>
      <c r="AJ123" s="71" t="s">
        <v>249</v>
      </c>
      <c r="AK123" s="73" t="e">
        <f xml:space="preserve"> _xlfn.TEXTJOIN(" ", FALSE,#REF!)</f>
        <v>#REF!</v>
      </c>
      <c r="AL123" s="122"/>
      <c r="AM123" s="71" t="s">
        <v>250</v>
      </c>
      <c r="AN123" s="73" t="e">
        <f xml:space="preserve"> _xlfn.TEXTJOIN(" ", FALSE,#REF!)</f>
        <v>#REF!</v>
      </c>
      <c r="AO123" s="122"/>
      <c r="AP123" s="71" t="s">
        <v>251</v>
      </c>
      <c r="AQ123" s="72" t="e">
        <f xml:space="preserve"> _xlfn.TEXTJOIN(" ", FALSE,#REF!)</f>
        <v>#REF!</v>
      </c>
      <c r="AR123" s="122"/>
      <c r="AS123" s="71" t="s">
        <v>252</v>
      </c>
      <c r="AT123" s="72" t="e">
        <f xml:space="preserve"> _xlfn.TEXTJOIN(" ", FALSE,#REF!)</f>
        <v>#REF!</v>
      </c>
      <c r="AU123" s="122"/>
      <c r="AV123" s="71" t="s">
        <v>253</v>
      </c>
      <c r="AW123" s="73" t="e">
        <f xml:space="preserve"> _xlfn.TEXTJOIN(" ", FALSE,#REF!)</f>
        <v>#REF!</v>
      </c>
      <c r="AX123" s="122"/>
      <c r="AY123" s="71" t="s">
        <v>254</v>
      </c>
      <c r="AZ123" s="72" t="e">
        <f xml:space="preserve"> _xlfn.TEXTJOIN(" ", FALSE,#REF!)</f>
        <v>#REF!</v>
      </c>
      <c r="BA123" s="122"/>
      <c r="BB123" s="71" t="s">
        <v>255</v>
      </c>
      <c r="BC123" s="72" t="e">
        <f xml:space="preserve"> _xlfn.TEXTJOIN(" ", FALSE,#REF!)</f>
        <v>#REF!</v>
      </c>
      <c r="BD123" s="122"/>
      <c r="BE123" s="71" t="s">
        <v>256</v>
      </c>
      <c r="BF123" s="72" t="e">
        <f xml:space="preserve"> _xlfn.TEXTJOIN(" ", FALSE,#REF!)</f>
        <v>#REF!</v>
      </c>
      <c r="BG123" s="65" t="s">
        <v>277</v>
      </c>
      <c r="BH123" s="70" t="e">
        <f t="shared" si="8"/>
        <v>#REF!</v>
      </c>
      <c r="BI123" s="64" t="s">
        <v>257</v>
      </c>
      <c r="BJ123" s="122"/>
      <c r="BK123" s="71" t="s">
        <v>258</v>
      </c>
      <c r="BL123" s="74" t="str">
        <f>_xlfn.TEXTJOIN(" ", FALSE, 'Task 2a - Mitigating the Proble'!U123:AC123)</f>
        <v xml:space="preserve">1 0 1 1 0 1 1 0 </v>
      </c>
      <c r="BM123" s="65" t="s">
        <v>277</v>
      </c>
      <c r="BN123" s="70" t="str">
        <f t="shared" si="9"/>
        <v>[Details for Task 2a:]  /Question 12: 1 0 1 1 0 1 1 0  .</v>
      </c>
      <c r="BO123" s="64" t="s">
        <v>259</v>
      </c>
      <c r="BP123" s="122"/>
      <c r="BQ123" s="71" t="s">
        <v>260</v>
      </c>
      <c r="BR123" s="73" t="e">
        <f xml:space="preserve"> _xlfn.TEXTJOIN(" ", FALSE,#REF!)</f>
        <v>#REF!</v>
      </c>
      <c r="BS123" s="122"/>
      <c r="BT123" s="71" t="s">
        <v>261</v>
      </c>
      <c r="BU123" s="73" t="e">
        <f xml:space="preserve"> _xlfn.TEXTJOIN(" ", FALSE,#REF!)</f>
        <v>#REF!</v>
      </c>
      <c r="BV123" s="122"/>
      <c r="BW123" s="71" t="s">
        <v>262</v>
      </c>
      <c r="BX123" s="73" t="e">
        <f xml:space="preserve"> _xlfn.TEXTJOIN(" ", FALSE,#REF!)</f>
        <v>#REF!</v>
      </c>
      <c r="BY123" s="122"/>
      <c r="BZ123" s="71" t="s">
        <v>263</v>
      </c>
      <c r="CA123" s="73" t="e">
        <f xml:space="preserve"> _xlfn.TEXTJOIN(" ", FALSE,#REF!)</f>
        <v>#REF!</v>
      </c>
      <c r="CB123" s="122"/>
      <c r="CC123" s="71" t="s">
        <v>264</v>
      </c>
      <c r="CD123" s="73" t="e">
        <f xml:space="preserve"> _xlfn.TEXTJOIN(" ", FALSE,#REF!)</f>
        <v>#REF!</v>
      </c>
      <c r="CE123" s="122"/>
      <c r="CF123" s="71" t="s">
        <v>265</v>
      </c>
      <c r="CG123" s="73" t="e">
        <f xml:space="preserve"> _xlfn.TEXTJOIN(" ", FALSE,#REF!)</f>
        <v>#REF!</v>
      </c>
      <c r="CH123" s="122"/>
      <c r="CI123" s="74" t="s">
        <v>278</v>
      </c>
      <c r="CJ123" s="73" t="e">
        <f xml:space="preserve"> _xlfn.TEXTJOIN(" ", FALSE,#REF!)</f>
        <v>#REF!</v>
      </c>
      <c r="CK123" s="65" t="s">
        <v>277</v>
      </c>
      <c r="CL123" s="70" t="e">
        <f t="shared" si="10"/>
        <v>#REF!</v>
      </c>
      <c r="CM123" s="64" t="s">
        <v>267</v>
      </c>
      <c r="CN123" s="122"/>
      <c r="CO123" s="71" t="s">
        <v>268</v>
      </c>
      <c r="CP123" s="73" t="e">
        <f xml:space="preserve"> _xlfn.TEXTJOIN(" ", FALSE,#REF!)</f>
        <v>#REF!</v>
      </c>
      <c r="CQ123" s="122"/>
      <c r="CR123" s="71" t="s">
        <v>269</v>
      </c>
      <c r="CS123" s="73" t="e">
        <f xml:space="preserve"> _xlfn.TEXTJOIN(" ", FALSE,#REF!)</f>
        <v>#REF!</v>
      </c>
      <c r="CT123" s="122"/>
      <c r="CU123" s="71" t="s">
        <v>270</v>
      </c>
      <c r="CV123" s="72" t="e">
        <f xml:space="preserve"> _xlfn.TEXTJOIN(" ", FALSE,#REF!)</f>
        <v>#REF!</v>
      </c>
      <c r="CW123" s="122"/>
      <c r="CX123" s="71" t="s">
        <v>271</v>
      </c>
      <c r="CY123" s="72" t="e">
        <f xml:space="preserve"> _xlfn.TEXTJOIN(" ", FALSE,#REF!)</f>
        <v>#REF!</v>
      </c>
      <c r="CZ123" s="122"/>
      <c r="DA123" s="71" t="s">
        <v>272</v>
      </c>
      <c r="DB123" s="73" t="e">
        <f xml:space="preserve"> _xlfn.TEXTJOIN(" ", FALSE,#REF!)</f>
        <v>#REF!</v>
      </c>
      <c r="DC123" s="65" t="s">
        <v>277</v>
      </c>
      <c r="DD123" s="70" t="e">
        <f t="shared" si="11"/>
        <v>#REF!</v>
      </c>
      <c r="DE123" s="64" t="s">
        <v>273</v>
      </c>
      <c r="DF123" s="122"/>
      <c r="DG123" s="71" t="s">
        <v>274</v>
      </c>
      <c r="DH123" s="72" t="e">
        <f xml:space="preserve"> _xlfn.TEXTJOIN(" ", FALSE,#REF!)</f>
        <v>#REF!</v>
      </c>
      <c r="DI123" s="122"/>
      <c r="DJ123" s="71" t="s">
        <v>275</v>
      </c>
      <c r="DK123" s="73" t="e">
        <f xml:space="preserve"> _xlfn.TEXTJOIN(" ", FALSE,#REF!)</f>
        <v>#REF!</v>
      </c>
      <c r="DL123" s="65" t="s">
        <v>277</v>
      </c>
      <c r="DM123" s="70" t="e">
        <f t="shared" si="12"/>
        <v>#REF!</v>
      </c>
      <c r="DN123" s="70" t="e">
        <f t="shared" si="13"/>
        <v>#REF!</v>
      </c>
    </row>
    <row r="124" spans="1:118" ht="108" customHeight="1">
      <c r="A124" s="122" t="e">
        <f>Summary!A124</f>
        <v>#REF!</v>
      </c>
      <c r="B124" s="64" t="s">
        <v>233</v>
      </c>
      <c r="C124" s="65" t="e">
        <f>Summary!B124</f>
        <v>#REF!</v>
      </c>
      <c r="D124" s="122"/>
      <c r="E124" s="64" t="s">
        <v>235</v>
      </c>
      <c r="F124" s="132" t="e">
        <f>Summary!C124</f>
        <v>#REF!</v>
      </c>
      <c r="G124" s="64" t="s">
        <v>236</v>
      </c>
      <c r="H124" s="132" t="e">
        <f>Summary!D124</f>
        <v>#REF!</v>
      </c>
      <c r="I124" s="64" t="s">
        <v>237</v>
      </c>
      <c r="J124" s="66">
        <f>Summary!E124</f>
        <v>5</v>
      </c>
      <c r="K124" s="64" t="s">
        <v>238</v>
      </c>
      <c r="L124" s="132" t="e">
        <f>Summary!F124</f>
        <v>#REF!</v>
      </c>
      <c r="M124" s="64" t="s">
        <v>239</v>
      </c>
      <c r="N124" s="132" t="e">
        <f>Summary!G124</f>
        <v>#REF!</v>
      </c>
      <c r="O124" s="64" t="s">
        <v>240</v>
      </c>
      <c r="P124" s="132" t="e">
        <f>Summary!H124</f>
        <v>#REF!</v>
      </c>
      <c r="Q124" s="65" t="s">
        <v>277</v>
      </c>
      <c r="R124" s="70" t="e">
        <f t="shared" si="7"/>
        <v>#REF!</v>
      </c>
      <c r="S124" s="64" t="s">
        <v>243</v>
      </c>
      <c r="T124" s="122"/>
      <c r="U124" s="71" t="s">
        <v>244</v>
      </c>
      <c r="V124" s="72" t="e">
        <f xml:space="preserve"> _xlfn.TEXTJOIN(" ", FALSE,#REF!)</f>
        <v>#REF!</v>
      </c>
      <c r="W124" s="122"/>
      <c r="X124" s="71" t="s">
        <v>245</v>
      </c>
      <c r="Y124" s="72" t="e">
        <f xml:space="preserve"> _xlfn.TEXTJOIN(" ", FALSE,#REF!)</f>
        <v>#REF!</v>
      </c>
      <c r="Z124" s="122"/>
      <c r="AA124" s="71" t="s">
        <v>246</v>
      </c>
      <c r="AB124" s="72" t="e">
        <f xml:space="preserve"> _xlfn.TEXTJOIN(" ", FALSE,#REF!)</f>
        <v>#REF!</v>
      </c>
      <c r="AC124" s="122"/>
      <c r="AD124" s="71" t="s">
        <v>247</v>
      </c>
      <c r="AE124" s="72" t="e">
        <f xml:space="preserve"> _xlfn.TEXTJOIN(" ", FALSE,#REF!)</f>
        <v>#REF!</v>
      </c>
      <c r="AF124" s="122"/>
      <c r="AG124" s="71" t="s">
        <v>248</v>
      </c>
      <c r="AH124" s="73" t="e">
        <f xml:space="preserve"> _xlfn.TEXTJOIN(" ", FALSE,#REF!)</f>
        <v>#REF!</v>
      </c>
      <c r="AI124" s="122"/>
      <c r="AJ124" s="71" t="s">
        <v>249</v>
      </c>
      <c r="AK124" s="73" t="e">
        <f xml:space="preserve"> _xlfn.TEXTJOIN(" ", FALSE,#REF!)</f>
        <v>#REF!</v>
      </c>
      <c r="AL124" s="122"/>
      <c r="AM124" s="71" t="s">
        <v>250</v>
      </c>
      <c r="AN124" s="73" t="e">
        <f xml:space="preserve"> _xlfn.TEXTJOIN(" ", FALSE,#REF!)</f>
        <v>#REF!</v>
      </c>
      <c r="AO124" s="122"/>
      <c r="AP124" s="71" t="s">
        <v>251</v>
      </c>
      <c r="AQ124" s="72" t="e">
        <f xml:space="preserve"> _xlfn.TEXTJOIN(" ", FALSE,#REF!)</f>
        <v>#REF!</v>
      </c>
      <c r="AR124" s="122"/>
      <c r="AS124" s="71" t="s">
        <v>252</v>
      </c>
      <c r="AT124" s="72" t="e">
        <f xml:space="preserve"> _xlfn.TEXTJOIN(" ", FALSE,#REF!)</f>
        <v>#REF!</v>
      </c>
      <c r="AU124" s="122"/>
      <c r="AV124" s="71" t="s">
        <v>253</v>
      </c>
      <c r="AW124" s="73" t="e">
        <f xml:space="preserve"> _xlfn.TEXTJOIN(" ", FALSE,#REF!)</f>
        <v>#REF!</v>
      </c>
      <c r="AX124" s="122"/>
      <c r="AY124" s="71" t="s">
        <v>254</v>
      </c>
      <c r="AZ124" s="72" t="e">
        <f xml:space="preserve"> _xlfn.TEXTJOIN(" ", FALSE,#REF!)</f>
        <v>#REF!</v>
      </c>
      <c r="BA124" s="122"/>
      <c r="BB124" s="71" t="s">
        <v>255</v>
      </c>
      <c r="BC124" s="72" t="e">
        <f xml:space="preserve"> _xlfn.TEXTJOIN(" ", FALSE,#REF!)</f>
        <v>#REF!</v>
      </c>
      <c r="BD124" s="122"/>
      <c r="BE124" s="71" t="s">
        <v>256</v>
      </c>
      <c r="BF124" s="72" t="e">
        <f xml:space="preserve"> _xlfn.TEXTJOIN(" ", FALSE,#REF!)</f>
        <v>#REF!</v>
      </c>
      <c r="BG124" s="65" t="s">
        <v>277</v>
      </c>
      <c r="BH124" s="70" t="e">
        <f t="shared" si="8"/>
        <v>#REF!</v>
      </c>
      <c r="BI124" s="64" t="s">
        <v>257</v>
      </c>
      <c r="BJ124" s="122"/>
      <c r="BK124" s="71" t="s">
        <v>258</v>
      </c>
      <c r="BL124" s="74" t="str">
        <f>_xlfn.TEXTJOIN(" ", FALSE, 'Task 2a - Mitigating the Proble'!U124:AC124)</f>
        <v xml:space="preserve">1 0 1 0 0 0 1 0 </v>
      </c>
      <c r="BM124" s="65" t="s">
        <v>277</v>
      </c>
      <c r="BN124" s="70" t="str">
        <f t="shared" si="9"/>
        <v>[Details for Task 2a:]  /Question 12: 1 0 1 0 0 0 1 0  .</v>
      </c>
      <c r="BO124" s="64" t="s">
        <v>259</v>
      </c>
      <c r="BP124" s="122"/>
      <c r="BQ124" s="71" t="s">
        <v>260</v>
      </c>
      <c r="BR124" s="73" t="e">
        <f xml:space="preserve"> _xlfn.TEXTJOIN(" ", FALSE,#REF!)</f>
        <v>#REF!</v>
      </c>
      <c r="BS124" s="122"/>
      <c r="BT124" s="71" t="s">
        <v>261</v>
      </c>
      <c r="BU124" s="73" t="e">
        <f xml:space="preserve"> _xlfn.TEXTJOIN(" ", FALSE,#REF!)</f>
        <v>#REF!</v>
      </c>
      <c r="BV124" s="122"/>
      <c r="BW124" s="71" t="s">
        <v>262</v>
      </c>
      <c r="BX124" s="73" t="e">
        <f xml:space="preserve"> _xlfn.TEXTJOIN(" ", FALSE,#REF!)</f>
        <v>#REF!</v>
      </c>
      <c r="BY124" s="122"/>
      <c r="BZ124" s="71" t="s">
        <v>263</v>
      </c>
      <c r="CA124" s="73" t="e">
        <f xml:space="preserve"> _xlfn.TEXTJOIN(" ", FALSE,#REF!)</f>
        <v>#REF!</v>
      </c>
      <c r="CB124" s="122"/>
      <c r="CC124" s="71" t="s">
        <v>264</v>
      </c>
      <c r="CD124" s="73" t="e">
        <f xml:space="preserve"> _xlfn.TEXTJOIN(" ", FALSE,#REF!)</f>
        <v>#REF!</v>
      </c>
      <c r="CE124" s="122"/>
      <c r="CF124" s="71" t="s">
        <v>265</v>
      </c>
      <c r="CG124" s="73" t="e">
        <f xml:space="preserve"> _xlfn.TEXTJOIN(" ", FALSE,#REF!)</f>
        <v>#REF!</v>
      </c>
      <c r="CH124" s="122"/>
      <c r="CI124" s="74" t="s">
        <v>278</v>
      </c>
      <c r="CJ124" s="73" t="e">
        <f xml:space="preserve"> _xlfn.TEXTJOIN(" ", FALSE,#REF!)</f>
        <v>#REF!</v>
      </c>
      <c r="CK124" s="65" t="s">
        <v>277</v>
      </c>
      <c r="CL124" s="70" t="e">
        <f t="shared" si="10"/>
        <v>#REF!</v>
      </c>
      <c r="CM124" s="64" t="s">
        <v>267</v>
      </c>
      <c r="CN124" s="122"/>
      <c r="CO124" s="71" t="s">
        <v>268</v>
      </c>
      <c r="CP124" s="73" t="e">
        <f xml:space="preserve"> _xlfn.TEXTJOIN(" ", FALSE,#REF!)</f>
        <v>#REF!</v>
      </c>
      <c r="CQ124" s="122"/>
      <c r="CR124" s="71" t="s">
        <v>269</v>
      </c>
      <c r="CS124" s="73" t="e">
        <f xml:space="preserve"> _xlfn.TEXTJOIN(" ", FALSE,#REF!)</f>
        <v>#REF!</v>
      </c>
      <c r="CT124" s="122"/>
      <c r="CU124" s="71" t="s">
        <v>270</v>
      </c>
      <c r="CV124" s="72" t="e">
        <f xml:space="preserve"> _xlfn.TEXTJOIN(" ", FALSE,#REF!)</f>
        <v>#REF!</v>
      </c>
      <c r="CW124" s="122"/>
      <c r="CX124" s="71" t="s">
        <v>271</v>
      </c>
      <c r="CY124" s="72" t="e">
        <f xml:space="preserve"> _xlfn.TEXTJOIN(" ", FALSE,#REF!)</f>
        <v>#REF!</v>
      </c>
      <c r="CZ124" s="122"/>
      <c r="DA124" s="71" t="s">
        <v>272</v>
      </c>
      <c r="DB124" s="73" t="e">
        <f xml:space="preserve"> _xlfn.TEXTJOIN(" ", FALSE,#REF!)</f>
        <v>#REF!</v>
      </c>
      <c r="DC124" s="65" t="s">
        <v>277</v>
      </c>
      <c r="DD124" s="70" t="e">
        <f t="shared" si="11"/>
        <v>#REF!</v>
      </c>
      <c r="DE124" s="64" t="s">
        <v>273</v>
      </c>
      <c r="DF124" s="122"/>
      <c r="DG124" s="71" t="s">
        <v>274</v>
      </c>
      <c r="DH124" s="72" t="e">
        <f xml:space="preserve"> _xlfn.TEXTJOIN(" ", FALSE,#REF!)</f>
        <v>#REF!</v>
      </c>
      <c r="DI124" s="122"/>
      <c r="DJ124" s="71" t="s">
        <v>275</v>
      </c>
      <c r="DK124" s="73" t="e">
        <f xml:space="preserve"> _xlfn.TEXTJOIN(" ", FALSE,#REF!)</f>
        <v>#REF!</v>
      </c>
      <c r="DL124" s="65" t="s">
        <v>277</v>
      </c>
      <c r="DM124" s="70" t="e">
        <f t="shared" si="12"/>
        <v>#REF!</v>
      </c>
      <c r="DN124" s="70" t="e">
        <f t="shared" si="13"/>
        <v>#REF!</v>
      </c>
    </row>
    <row r="125" spans="1:118" ht="108" customHeight="1">
      <c r="A125" s="122" t="e">
        <f>Summary!A125</f>
        <v>#REF!</v>
      </c>
      <c r="B125" s="64" t="s">
        <v>233</v>
      </c>
      <c r="C125" s="65" t="e">
        <f>Summary!B125</f>
        <v>#REF!</v>
      </c>
      <c r="D125" s="122"/>
      <c r="E125" s="64" t="s">
        <v>235</v>
      </c>
      <c r="F125" s="132" t="e">
        <f>Summary!C125</f>
        <v>#REF!</v>
      </c>
      <c r="G125" s="64" t="s">
        <v>236</v>
      </c>
      <c r="H125" s="132" t="e">
        <f>Summary!D125</f>
        <v>#REF!</v>
      </c>
      <c r="I125" s="64" t="s">
        <v>237</v>
      </c>
      <c r="J125" s="66">
        <f>Summary!E125</f>
        <v>7</v>
      </c>
      <c r="K125" s="64" t="s">
        <v>238</v>
      </c>
      <c r="L125" s="132" t="e">
        <f>Summary!F125</f>
        <v>#REF!</v>
      </c>
      <c r="M125" s="64" t="s">
        <v>239</v>
      </c>
      <c r="N125" s="132" t="e">
        <f>Summary!G125</f>
        <v>#REF!</v>
      </c>
      <c r="O125" s="64" t="s">
        <v>240</v>
      </c>
      <c r="P125" s="132" t="e">
        <f>Summary!H125</f>
        <v>#REF!</v>
      </c>
      <c r="Q125" s="65" t="s">
        <v>277</v>
      </c>
      <c r="R125" s="70" t="e">
        <f t="shared" si="7"/>
        <v>#REF!</v>
      </c>
      <c r="S125" s="64" t="s">
        <v>243</v>
      </c>
      <c r="T125" s="122"/>
      <c r="U125" s="71" t="s">
        <v>244</v>
      </c>
      <c r="V125" s="72" t="e">
        <f xml:space="preserve"> _xlfn.TEXTJOIN(" ", FALSE,#REF!)</f>
        <v>#REF!</v>
      </c>
      <c r="W125" s="122"/>
      <c r="X125" s="71" t="s">
        <v>245</v>
      </c>
      <c r="Y125" s="72" t="e">
        <f xml:space="preserve"> _xlfn.TEXTJOIN(" ", FALSE,#REF!)</f>
        <v>#REF!</v>
      </c>
      <c r="Z125" s="122"/>
      <c r="AA125" s="71" t="s">
        <v>246</v>
      </c>
      <c r="AB125" s="72" t="e">
        <f xml:space="preserve"> _xlfn.TEXTJOIN(" ", FALSE,#REF!)</f>
        <v>#REF!</v>
      </c>
      <c r="AC125" s="122"/>
      <c r="AD125" s="71" t="s">
        <v>247</v>
      </c>
      <c r="AE125" s="72" t="e">
        <f xml:space="preserve"> _xlfn.TEXTJOIN(" ", FALSE,#REF!)</f>
        <v>#REF!</v>
      </c>
      <c r="AF125" s="122"/>
      <c r="AG125" s="71" t="s">
        <v>248</v>
      </c>
      <c r="AH125" s="73" t="e">
        <f xml:space="preserve"> _xlfn.TEXTJOIN(" ", FALSE,#REF!)</f>
        <v>#REF!</v>
      </c>
      <c r="AI125" s="122"/>
      <c r="AJ125" s="71" t="s">
        <v>249</v>
      </c>
      <c r="AK125" s="73" t="e">
        <f xml:space="preserve"> _xlfn.TEXTJOIN(" ", FALSE,#REF!)</f>
        <v>#REF!</v>
      </c>
      <c r="AL125" s="122"/>
      <c r="AM125" s="71" t="s">
        <v>250</v>
      </c>
      <c r="AN125" s="73" t="e">
        <f xml:space="preserve"> _xlfn.TEXTJOIN(" ", FALSE,#REF!)</f>
        <v>#REF!</v>
      </c>
      <c r="AO125" s="122"/>
      <c r="AP125" s="71" t="s">
        <v>251</v>
      </c>
      <c r="AQ125" s="72" t="e">
        <f xml:space="preserve"> _xlfn.TEXTJOIN(" ", FALSE,#REF!)</f>
        <v>#REF!</v>
      </c>
      <c r="AR125" s="122"/>
      <c r="AS125" s="71" t="s">
        <v>252</v>
      </c>
      <c r="AT125" s="72" t="e">
        <f xml:space="preserve"> _xlfn.TEXTJOIN(" ", FALSE,#REF!)</f>
        <v>#REF!</v>
      </c>
      <c r="AU125" s="122"/>
      <c r="AV125" s="71" t="s">
        <v>253</v>
      </c>
      <c r="AW125" s="73" t="e">
        <f xml:space="preserve"> _xlfn.TEXTJOIN(" ", FALSE,#REF!)</f>
        <v>#REF!</v>
      </c>
      <c r="AX125" s="122"/>
      <c r="AY125" s="71" t="s">
        <v>254</v>
      </c>
      <c r="AZ125" s="72" t="e">
        <f xml:space="preserve"> _xlfn.TEXTJOIN(" ", FALSE,#REF!)</f>
        <v>#REF!</v>
      </c>
      <c r="BA125" s="122"/>
      <c r="BB125" s="71" t="s">
        <v>255</v>
      </c>
      <c r="BC125" s="72" t="e">
        <f xml:space="preserve"> _xlfn.TEXTJOIN(" ", FALSE,#REF!)</f>
        <v>#REF!</v>
      </c>
      <c r="BD125" s="122"/>
      <c r="BE125" s="71" t="s">
        <v>256</v>
      </c>
      <c r="BF125" s="72" t="e">
        <f xml:space="preserve"> _xlfn.TEXTJOIN(" ", FALSE,#REF!)</f>
        <v>#REF!</v>
      </c>
      <c r="BG125" s="65" t="s">
        <v>277</v>
      </c>
      <c r="BH125" s="70" t="e">
        <f t="shared" si="8"/>
        <v>#REF!</v>
      </c>
      <c r="BI125" s="64" t="s">
        <v>257</v>
      </c>
      <c r="BJ125" s="122"/>
      <c r="BK125" s="71" t="s">
        <v>258</v>
      </c>
      <c r="BL125" s="74" t="str">
        <f>_xlfn.TEXTJOIN(" ", FALSE, 'Task 2a - Mitigating the Proble'!U125:AC125)</f>
        <v xml:space="preserve">1 1 1 1 0 0 1 0 </v>
      </c>
      <c r="BM125" s="65" t="s">
        <v>277</v>
      </c>
      <c r="BN125" s="70" t="str">
        <f t="shared" si="9"/>
        <v>[Details for Task 2a:]  /Question 12: 1 1 1 1 0 0 1 0  .</v>
      </c>
      <c r="BO125" s="64" t="s">
        <v>259</v>
      </c>
      <c r="BP125" s="122"/>
      <c r="BQ125" s="71" t="s">
        <v>260</v>
      </c>
      <c r="BR125" s="73" t="e">
        <f xml:space="preserve"> _xlfn.TEXTJOIN(" ", FALSE,#REF!)</f>
        <v>#REF!</v>
      </c>
      <c r="BS125" s="122"/>
      <c r="BT125" s="71" t="s">
        <v>261</v>
      </c>
      <c r="BU125" s="73" t="e">
        <f xml:space="preserve"> _xlfn.TEXTJOIN(" ", FALSE,#REF!)</f>
        <v>#REF!</v>
      </c>
      <c r="BV125" s="122"/>
      <c r="BW125" s="71" t="s">
        <v>262</v>
      </c>
      <c r="BX125" s="73" t="e">
        <f xml:space="preserve"> _xlfn.TEXTJOIN(" ", FALSE,#REF!)</f>
        <v>#REF!</v>
      </c>
      <c r="BY125" s="122"/>
      <c r="BZ125" s="71" t="s">
        <v>263</v>
      </c>
      <c r="CA125" s="73" t="e">
        <f xml:space="preserve"> _xlfn.TEXTJOIN(" ", FALSE,#REF!)</f>
        <v>#REF!</v>
      </c>
      <c r="CB125" s="122"/>
      <c r="CC125" s="71" t="s">
        <v>264</v>
      </c>
      <c r="CD125" s="73" t="e">
        <f xml:space="preserve"> _xlfn.TEXTJOIN(" ", FALSE,#REF!)</f>
        <v>#REF!</v>
      </c>
      <c r="CE125" s="122"/>
      <c r="CF125" s="71" t="s">
        <v>265</v>
      </c>
      <c r="CG125" s="73" t="e">
        <f xml:space="preserve"> _xlfn.TEXTJOIN(" ", FALSE,#REF!)</f>
        <v>#REF!</v>
      </c>
      <c r="CH125" s="122"/>
      <c r="CI125" s="74" t="s">
        <v>278</v>
      </c>
      <c r="CJ125" s="73" t="e">
        <f xml:space="preserve"> _xlfn.TEXTJOIN(" ", FALSE,#REF!)</f>
        <v>#REF!</v>
      </c>
      <c r="CK125" s="65" t="s">
        <v>277</v>
      </c>
      <c r="CL125" s="70" t="e">
        <f t="shared" si="10"/>
        <v>#REF!</v>
      </c>
      <c r="CM125" s="64" t="s">
        <v>267</v>
      </c>
      <c r="CN125" s="122"/>
      <c r="CO125" s="71" t="s">
        <v>268</v>
      </c>
      <c r="CP125" s="73" t="e">
        <f xml:space="preserve"> _xlfn.TEXTJOIN(" ", FALSE,#REF!)</f>
        <v>#REF!</v>
      </c>
      <c r="CQ125" s="122"/>
      <c r="CR125" s="71" t="s">
        <v>269</v>
      </c>
      <c r="CS125" s="73" t="e">
        <f xml:space="preserve"> _xlfn.TEXTJOIN(" ", FALSE,#REF!)</f>
        <v>#REF!</v>
      </c>
      <c r="CT125" s="122"/>
      <c r="CU125" s="71" t="s">
        <v>270</v>
      </c>
      <c r="CV125" s="72" t="e">
        <f xml:space="preserve"> _xlfn.TEXTJOIN(" ", FALSE,#REF!)</f>
        <v>#REF!</v>
      </c>
      <c r="CW125" s="122"/>
      <c r="CX125" s="71" t="s">
        <v>271</v>
      </c>
      <c r="CY125" s="72" t="e">
        <f xml:space="preserve"> _xlfn.TEXTJOIN(" ", FALSE,#REF!)</f>
        <v>#REF!</v>
      </c>
      <c r="CZ125" s="122"/>
      <c r="DA125" s="71" t="s">
        <v>272</v>
      </c>
      <c r="DB125" s="73" t="e">
        <f xml:space="preserve"> _xlfn.TEXTJOIN(" ", FALSE,#REF!)</f>
        <v>#REF!</v>
      </c>
      <c r="DC125" s="65" t="s">
        <v>277</v>
      </c>
      <c r="DD125" s="70" t="e">
        <f t="shared" si="11"/>
        <v>#REF!</v>
      </c>
      <c r="DE125" s="64" t="s">
        <v>273</v>
      </c>
      <c r="DF125" s="122"/>
      <c r="DG125" s="71" t="s">
        <v>274</v>
      </c>
      <c r="DH125" s="72" t="e">
        <f xml:space="preserve"> _xlfn.TEXTJOIN(" ", FALSE,#REF!)</f>
        <v>#REF!</v>
      </c>
      <c r="DI125" s="122"/>
      <c r="DJ125" s="71" t="s">
        <v>275</v>
      </c>
      <c r="DK125" s="73" t="e">
        <f xml:space="preserve"> _xlfn.TEXTJOIN(" ", FALSE,#REF!)</f>
        <v>#REF!</v>
      </c>
      <c r="DL125" s="65" t="s">
        <v>277</v>
      </c>
      <c r="DM125" s="70" t="e">
        <f t="shared" si="12"/>
        <v>#REF!</v>
      </c>
      <c r="DN125" s="70" t="e">
        <f t="shared" si="13"/>
        <v>#REF!</v>
      </c>
    </row>
    <row r="126" spans="1:118" ht="108" customHeight="1">
      <c r="A126" s="122" t="e">
        <f>Summary!A126</f>
        <v>#REF!</v>
      </c>
      <c r="B126" s="64" t="s">
        <v>233</v>
      </c>
      <c r="C126" s="65" t="e">
        <f>Summary!B126</f>
        <v>#REF!</v>
      </c>
      <c r="D126" s="122"/>
      <c r="E126" s="64" t="s">
        <v>235</v>
      </c>
      <c r="F126" s="132" t="e">
        <f>Summary!C126</f>
        <v>#REF!</v>
      </c>
      <c r="G126" s="64" t="s">
        <v>236</v>
      </c>
      <c r="H126" s="132" t="e">
        <f>Summary!D126</f>
        <v>#REF!</v>
      </c>
      <c r="I126" s="64" t="s">
        <v>237</v>
      </c>
      <c r="J126" s="66">
        <f>Summary!E126</f>
        <v>6</v>
      </c>
      <c r="K126" s="64" t="s">
        <v>238</v>
      </c>
      <c r="L126" s="132" t="e">
        <f>Summary!F126</f>
        <v>#REF!</v>
      </c>
      <c r="M126" s="64" t="s">
        <v>239</v>
      </c>
      <c r="N126" s="132" t="e">
        <f>Summary!G126</f>
        <v>#REF!</v>
      </c>
      <c r="O126" s="64" t="s">
        <v>240</v>
      </c>
      <c r="P126" s="132" t="e">
        <f>Summary!H126</f>
        <v>#REF!</v>
      </c>
      <c r="Q126" s="65" t="s">
        <v>277</v>
      </c>
      <c r="R126" s="70" t="e">
        <f t="shared" si="7"/>
        <v>#REF!</v>
      </c>
      <c r="S126" s="64" t="s">
        <v>243</v>
      </c>
      <c r="T126" s="122"/>
      <c r="U126" s="71" t="s">
        <v>244</v>
      </c>
      <c r="V126" s="72" t="e">
        <f xml:space="preserve"> _xlfn.TEXTJOIN(" ", FALSE,#REF!)</f>
        <v>#REF!</v>
      </c>
      <c r="W126" s="122"/>
      <c r="X126" s="71" t="s">
        <v>245</v>
      </c>
      <c r="Y126" s="72" t="e">
        <f xml:space="preserve"> _xlfn.TEXTJOIN(" ", FALSE,#REF!)</f>
        <v>#REF!</v>
      </c>
      <c r="Z126" s="122"/>
      <c r="AA126" s="71" t="s">
        <v>246</v>
      </c>
      <c r="AB126" s="72" t="e">
        <f xml:space="preserve"> _xlfn.TEXTJOIN(" ", FALSE,#REF!)</f>
        <v>#REF!</v>
      </c>
      <c r="AC126" s="122"/>
      <c r="AD126" s="71" t="s">
        <v>247</v>
      </c>
      <c r="AE126" s="72" t="e">
        <f xml:space="preserve"> _xlfn.TEXTJOIN(" ", FALSE,#REF!)</f>
        <v>#REF!</v>
      </c>
      <c r="AF126" s="122"/>
      <c r="AG126" s="71" t="s">
        <v>248</v>
      </c>
      <c r="AH126" s="73" t="e">
        <f xml:space="preserve"> _xlfn.TEXTJOIN(" ", FALSE,#REF!)</f>
        <v>#REF!</v>
      </c>
      <c r="AI126" s="122"/>
      <c r="AJ126" s="71" t="s">
        <v>249</v>
      </c>
      <c r="AK126" s="73" t="e">
        <f xml:space="preserve"> _xlfn.TEXTJOIN(" ", FALSE,#REF!)</f>
        <v>#REF!</v>
      </c>
      <c r="AL126" s="122"/>
      <c r="AM126" s="71" t="s">
        <v>250</v>
      </c>
      <c r="AN126" s="73" t="e">
        <f xml:space="preserve"> _xlfn.TEXTJOIN(" ", FALSE,#REF!)</f>
        <v>#REF!</v>
      </c>
      <c r="AO126" s="122"/>
      <c r="AP126" s="71" t="s">
        <v>251</v>
      </c>
      <c r="AQ126" s="72" t="e">
        <f xml:space="preserve"> _xlfn.TEXTJOIN(" ", FALSE,#REF!)</f>
        <v>#REF!</v>
      </c>
      <c r="AR126" s="122"/>
      <c r="AS126" s="71" t="s">
        <v>252</v>
      </c>
      <c r="AT126" s="72" t="e">
        <f xml:space="preserve"> _xlfn.TEXTJOIN(" ", FALSE,#REF!)</f>
        <v>#REF!</v>
      </c>
      <c r="AU126" s="122"/>
      <c r="AV126" s="71" t="s">
        <v>253</v>
      </c>
      <c r="AW126" s="73" t="e">
        <f xml:space="preserve"> _xlfn.TEXTJOIN(" ", FALSE,#REF!)</f>
        <v>#REF!</v>
      </c>
      <c r="AX126" s="122"/>
      <c r="AY126" s="71" t="s">
        <v>254</v>
      </c>
      <c r="AZ126" s="72" t="e">
        <f xml:space="preserve"> _xlfn.TEXTJOIN(" ", FALSE,#REF!)</f>
        <v>#REF!</v>
      </c>
      <c r="BA126" s="122"/>
      <c r="BB126" s="71" t="s">
        <v>255</v>
      </c>
      <c r="BC126" s="72" t="e">
        <f xml:space="preserve"> _xlfn.TEXTJOIN(" ", FALSE,#REF!)</f>
        <v>#REF!</v>
      </c>
      <c r="BD126" s="122"/>
      <c r="BE126" s="71" t="s">
        <v>256</v>
      </c>
      <c r="BF126" s="72" t="e">
        <f xml:space="preserve"> _xlfn.TEXTJOIN(" ", FALSE,#REF!)</f>
        <v>#REF!</v>
      </c>
      <c r="BG126" s="65" t="s">
        <v>277</v>
      </c>
      <c r="BH126" s="70" t="e">
        <f t="shared" si="8"/>
        <v>#REF!</v>
      </c>
      <c r="BI126" s="64" t="s">
        <v>257</v>
      </c>
      <c r="BJ126" s="122"/>
      <c r="BK126" s="71" t="s">
        <v>258</v>
      </c>
      <c r="BL126" s="74" t="str">
        <f>_xlfn.TEXTJOIN(" ", FALSE, 'Task 2a - Mitigating the Proble'!U126:AC126)</f>
        <v xml:space="preserve">1 1 0 0 1 1 0 0 </v>
      </c>
      <c r="BM126" s="65" t="s">
        <v>277</v>
      </c>
      <c r="BN126" s="70" t="str">
        <f t="shared" si="9"/>
        <v>[Details for Task 2a:]  /Question 12: 1 1 0 0 1 1 0 0  .</v>
      </c>
      <c r="BO126" s="64" t="s">
        <v>259</v>
      </c>
      <c r="BP126" s="122"/>
      <c r="BQ126" s="71" t="s">
        <v>260</v>
      </c>
      <c r="BR126" s="73" t="e">
        <f xml:space="preserve"> _xlfn.TEXTJOIN(" ", FALSE,#REF!)</f>
        <v>#REF!</v>
      </c>
      <c r="BS126" s="122"/>
      <c r="BT126" s="71" t="s">
        <v>261</v>
      </c>
      <c r="BU126" s="73" t="e">
        <f xml:space="preserve"> _xlfn.TEXTJOIN(" ", FALSE,#REF!)</f>
        <v>#REF!</v>
      </c>
      <c r="BV126" s="122"/>
      <c r="BW126" s="71" t="s">
        <v>262</v>
      </c>
      <c r="BX126" s="73" t="e">
        <f xml:space="preserve"> _xlfn.TEXTJOIN(" ", FALSE,#REF!)</f>
        <v>#REF!</v>
      </c>
      <c r="BY126" s="122"/>
      <c r="BZ126" s="71" t="s">
        <v>263</v>
      </c>
      <c r="CA126" s="73" t="e">
        <f xml:space="preserve"> _xlfn.TEXTJOIN(" ", FALSE,#REF!)</f>
        <v>#REF!</v>
      </c>
      <c r="CB126" s="122"/>
      <c r="CC126" s="71" t="s">
        <v>264</v>
      </c>
      <c r="CD126" s="73" t="e">
        <f xml:space="preserve"> _xlfn.TEXTJOIN(" ", FALSE,#REF!)</f>
        <v>#REF!</v>
      </c>
      <c r="CE126" s="122"/>
      <c r="CF126" s="71" t="s">
        <v>265</v>
      </c>
      <c r="CG126" s="73" t="e">
        <f xml:space="preserve"> _xlfn.TEXTJOIN(" ", FALSE,#REF!)</f>
        <v>#REF!</v>
      </c>
      <c r="CH126" s="122"/>
      <c r="CI126" s="74" t="s">
        <v>278</v>
      </c>
      <c r="CJ126" s="73" t="e">
        <f xml:space="preserve"> _xlfn.TEXTJOIN(" ", FALSE,#REF!)</f>
        <v>#REF!</v>
      </c>
      <c r="CK126" s="65" t="s">
        <v>277</v>
      </c>
      <c r="CL126" s="70" t="e">
        <f t="shared" si="10"/>
        <v>#REF!</v>
      </c>
      <c r="CM126" s="64" t="s">
        <v>267</v>
      </c>
      <c r="CN126" s="122"/>
      <c r="CO126" s="71" t="s">
        <v>268</v>
      </c>
      <c r="CP126" s="73" t="e">
        <f xml:space="preserve"> _xlfn.TEXTJOIN(" ", FALSE,#REF!)</f>
        <v>#REF!</v>
      </c>
      <c r="CQ126" s="122"/>
      <c r="CR126" s="71" t="s">
        <v>269</v>
      </c>
      <c r="CS126" s="73" t="e">
        <f xml:space="preserve"> _xlfn.TEXTJOIN(" ", FALSE,#REF!)</f>
        <v>#REF!</v>
      </c>
      <c r="CT126" s="122"/>
      <c r="CU126" s="71" t="s">
        <v>270</v>
      </c>
      <c r="CV126" s="72" t="e">
        <f xml:space="preserve"> _xlfn.TEXTJOIN(" ", FALSE,#REF!)</f>
        <v>#REF!</v>
      </c>
      <c r="CW126" s="122"/>
      <c r="CX126" s="71" t="s">
        <v>271</v>
      </c>
      <c r="CY126" s="72" t="e">
        <f xml:space="preserve"> _xlfn.TEXTJOIN(" ", FALSE,#REF!)</f>
        <v>#REF!</v>
      </c>
      <c r="CZ126" s="122"/>
      <c r="DA126" s="71" t="s">
        <v>272</v>
      </c>
      <c r="DB126" s="73" t="e">
        <f xml:space="preserve"> _xlfn.TEXTJOIN(" ", FALSE,#REF!)</f>
        <v>#REF!</v>
      </c>
      <c r="DC126" s="65" t="s">
        <v>277</v>
      </c>
      <c r="DD126" s="70" t="e">
        <f t="shared" si="11"/>
        <v>#REF!</v>
      </c>
      <c r="DE126" s="64" t="s">
        <v>273</v>
      </c>
      <c r="DF126" s="122"/>
      <c r="DG126" s="71" t="s">
        <v>274</v>
      </c>
      <c r="DH126" s="72" t="e">
        <f xml:space="preserve"> _xlfn.TEXTJOIN(" ", FALSE,#REF!)</f>
        <v>#REF!</v>
      </c>
      <c r="DI126" s="122"/>
      <c r="DJ126" s="71" t="s">
        <v>275</v>
      </c>
      <c r="DK126" s="73" t="e">
        <f xml:space="preserve"> _xlfn.TEXTJOIN(" ", FALSE,#REF!)</f>
        <v>#REF!</v>
      </c>
      <c r="DL126" s="65" t="s">
        <v>277</v>
      </c>
      <c r="DM126" s="70" t="e">
        <f t="shared" si="12"/>
        <v>#REF!</v>
      </c>
      <c r="DN126" s="70" t="e">
        <f t="shared" si="13"/>
        <v>#REF!</v>
      </c>
    </row>
    <row r="127" spans="1:118" ht="108" customHeight="1">
      <c r="A127" s="122" t="e">
        <f>Summary!A127</f>
        <v>#REF!</v>
      </c>
      <c r="B127" s="64" t="s">
        <v>233</v>
      </c>
      <c r="C127" s="65" t="e">
        <f>Summary!B127</f>
        <v>#REF!</v>
      </c>
      <c r="D127" s="122"/>
      <c r="E127" s="64" t="s">
        <v>235</v>
      </c>
      <c r="F127" s="132" t="e">
        <f>Summary!C127</f>
        <v>#REF!</v>
      </c>
      <c r="G127" s="64" t="s">
        <v>236</v>
      </c>
      <c r="H127" s="132" t="e">
        <f>Summary!D127</f>
        <v>#REF!</v>
      </c>
      <c r="I127" s="64" t="s">
        <v>237</v>
      </c>
      <c r="J127" s="66">
        <f>Summary!E127</f>
        <v>6</v>
      </c>
      <c r="K127" s="64" t="s">
        <v>238</v>
      </c>
      <c r="L127" s="132" t="e">
        <f>Summary!F127</f>
        <v>#REF!</v>
      </c>
      <c r="M127" s="64" t="s">
        <v>239</v>
      </c>
      <c r="N127" s="132" t="e">
        <f>Summary!G127</f>
        <v>#REF!</v>
      </c>
      <c r="O127" s="64" t="s">
        <v>240</v>
      </c>
      <c r="P127" s="132" t="e">
        <f>Summary!H127</f>
        <v>#REF!</v>
      </c>
      <c r="Q127" s="65" t="s">
        <v>277</v>
      </c>
      <c r="R127" s="70" t="e">
        <f t="shared" si="7"/>
        <v>#REF!</v>
      </c>
      <c r="S127" s="64" t="s">
        <v>243</v>
      </c>
      <c r="T127" s="122"/>
      <c r="U127" s="71" t="s">
        <v>244</v>
      </c>
      <c r="V127" s="72" t="e">
        <f xml:space="preserve"> _xlfn.TEXTJOIN(" ", FALSE,#REF!)</f>
        <v>#REF!</v>
      </c>
      <c r="W127" s="122"/>
      <c r="X127" s="71" t="s">
        <v>245</v>
      </c>
      <c r="Y127" s="72" t="e">
        <f xml:space="preserve"> _xlfn.TEXTJOIN(" ", FALSE,#REF!)</f>
        <v>#REF!</v>
      </c>
      <c r="Z127" s="122"/>
      <c r="AA127" s="71" t="s">
        <v>246</v>
      </c>
      <c r="AB127" s="72" t="e">
        <f xml:space="preserve"> _xlfn.TEXTJOIN(" ", FALSE,#REF!)</f>
        <v>#REF!</v>
      </c>
      <c r="AC127" s="122"/>
      <c r="AD127" s="71" t="s">
        <v>247</v>
      </c>
      <c r="AE127" s="72" t="e">
        <f xml:space="preserve"> _xlfn.TEXTJOIN(" ", FALSE,#REF!)</f>
        <v>#REF!</v>
      </c>
      <c r="AF127" s="122"/>
      <c r="AG127" s="71" t="s">
        <v>248</v>
      </c>
      <c r="AH127" s="73" t="e">
        <f xml:space="preserve"> _xlfn.TEXTJOIN(" ", FALSE,#REF!)</f>
        <v>#REF!</v>
      </c>
      <c r="AI127" s="122"/>
      <c r="AJ127" s="71" t="s">
        <v>249</v>
      </c>
      <c r="AK127" s="73" t="e">
        <f xml:space="preserve"> _xlfn.TEXTJOIN(" ", FALSE,#REF!)</f>
        <v>#REF!</v>
      </c>
      <c r="AL127" s="122"/>
      <c r="AM127" s="71" t="s">
        <v>250</v>
      </c>
      <c r="AN127" s="73" t="e">
        <f xml:space="preserve"> _xlfn.TEXTJOIN(" ", FALSE,#REF!)</f>
        <v>#REF!</v>
      </c>
      <c r="AO127" s="122"/>
      <c r="AP127" s="71" t="s">
        <v>251</v>
      </c>
      <c r="AQ127" s="72" t="e">
        <f xml:space="preserve"> _xlfn.TEXTJOIN(" ", FALSE,#REF!)</f>
        <v>#REF!</v>
      </c>
      <c r="AR127" s="122"/>
      <c r="AS127" s="71" t="s">
        <v>252</v>
      </c>
      <c r="AT127" s="72" t="e">
        <f xml:space="preserve"> _xlfn.TEXTJOIN(" ", FALSE,#REF!)</f>
        <v>#REF!</v>
      </c>
      <c r="AU127" s="122"/>
      <c r="AV127" s="71" t="s">
        <v>253</v>
      </c>
      <c r="AW127" s="73" t="e">
        <f xml:space="preserve"> _xlfn.TEXTJOIN(" ", FALSE,#REF!)</f>
        <v>#REF!</v>
      </c>
      <c r="AX127" s="122"/>
      <c r="AY127" s="71" t="s">
        <v>254</v>
      </c>
      <c r="AZ127" s="72" t="e">
        <f xml:space="preserve"> _xlfn.TEXTJOIN(" ", FALSE,#REF!)</f>
        <v>#REF!</v>
      </c>
      <c r="BA127" s="122"/>
      <c r="BB127" s="71" t="s">
        <v>255</v>
      </c>
      <c r="BC127" s="72" t="e">
        <f xml:space="preserve"> _xlfn.TEXTJOIN(" ", FALSE,#REF!)</f>
        <v>#REF!</v>
      </c>
      <c r="BD127" s="122"/>
      <c r="BE127" s="71" t="s">
        <v>256</v>
      </c>
      <c r="BF127" s="72" t="e">
        <f xml:space="preserve"> _xlfn.TEXTJOIN(" ", FALSE,#REF!)</f>
        <v>#REF!</v>
      </c>
      <c r="BG127" s="65" t="s">
        <v>277</v>
      </c>
      <c r="BH127" s="70" t="e">
        <f t="shared" si="8"/>
        <v>#REF!</v>
      </c>
      <c r="BI127" s="64" t="s">
        <v>257</v>
      </c>
      <c r="BJ127" s="122"/>
      <c r="BK127" s="71" t="s">
        <v>258</v>
      </c>
      <c r="BL127" s="74" t="str">
        <f>_xlfn.TEXTJOIN(" ", FALSE, 'Task 2a - Mitigating the Proble'!U127:AC127)</f>
        <v xml:space="preserve">1 0 0 1 0 1 1 0 </v>
      </c>
      <c r="BM127" s="65" t="s">
        <v>277</v>
      </c>
      <c r="BN127" s="70" t="str">
        <f t="shared" si="9"/>
        <v>[Details for Task 2a:]  /Question 12: 1 0 0 1 0 1 1 0  .</v>
      </c>
      <c r="BO127" s="64" t="s">
        <v>259</v>
      </c>
      <c r="BP127" s="122"/>
      <c r="BQ127" s="71" t="s">
        <v>260</v>
      </c>
      <c r="BR127" s="73" t="e">
        <f xml:space="preserve"> _xlfn.TEXTJOIN(" ", FALSE,#REF!)</f>
        <v>#REF!</v>
      </c>
      <c r="BS127" s="122"/>
      <c r="BT127" s="71" t="s">
        <v>261</v>
      </c>
      <c r="BU127" s="73" t="e">
        <f xml:space="preserve"> _xlfn.TEXTJOIN(" ", FALSE,#REF!)</f>
        <v>#REF!</v>
      </c>
      <c r="BV127" s="122"/>
      <c r="BW127" s="71" t="s">
        <v>262</v>
      </c>
      <c r="BX127" s="73" t="e">
        <f xml:space="preserve"> _xlfn.TEXTJOIN(" ", FALSE,#REF!)</f>
        <v>#REF!</v>
      </c>
      <c r="BY127" s="122"/>
      <c r="BZ127" s="71" t="s">
        <v>263</v>
      </c>
      <c r="CA127" s="73" t="e">
        <f xml:space="preserve"> _xlfn.TEXTJOIN(" ", FALSE,#REF!)</f>
        <v>#REF!</v>
      </c>
      <c r="CB127" s="122"/>
      <c r="CC127" s="71" t="s">
        <v>264</v>
      </c>
      <c r="CD127" s="73" t="e">
        <f xml:space="preserve"> _xlfn.TEXTJOIN(" ", FALSE,#REF!)</f>
        <v>#REF!</v>
      </c>
      <c r="CE127" s="122"/>
      <c r="CF127" s="71" t="s">
        <v>265</v>
      </c>
      <c r="CG127" s="73" t="e">
        <f xml:space="preserve"> _xlfn.TEXTJOIN(" ", FALSE,#REF!)</f>
        <v>#REF!</v>
      </c>
      <c r="CH127" s="122"/>
      <c r="CI127" s="74" t="s">
        <v>278</v>
      </c>
      <c r="CJ127" s="73" t="e">
        <f xml:space="preserve"> _xlfn.TEXTJOIN(" ", FALSE,#REF!)</f>
        <v>#REF!</v>
      </c>
      <c r="CK127" s="65" t="s">
        <v>277</v>
      </c>
      <c r="CL127" s="70" t="e">
        <f t="shared" si="10"/>
        <v>#REF!</v>
      </c>
      <c r="CM127" s="64" t="s">
        <v>267</v>
      </c>
      <c r="CN127" s="122"/>
      <c r="CO127" s="71" t="s">
        <v>268</v>
      </c>
      <c r="CP127" s="73" t="e">
        <f xml:space="preserve"> _xlfn.TEXTJOIN(" ", FALSE,#REF!)</f>
        <v>#REF!</v>
      </c>
      <c r="CQ127" s="122"/>
      <c r="CR127" s="71" t="s">
        <v>269</v>
      </c>
      <c r="CS127" s="73" t="e">
        <f xml:space="preserve"> _xlfn.TEXTJOIN(" ", FALSE,#REF!)</f>
        <v>#REF!</v>
      </c>
      <c r="CT127" s="122"/>
      <c r="CU127" s="71" t="s">
        <v>270</v>
      </c>
      <c r="CV127" s="72" t="e">
        <f xml:space="preserve"> _xlfn.TEXTJOIN(" ", FALSE,#REF!)</f>
        <v>#REF!</v>
      </c>
      <c r="CW127" s="122"/>
      <c r="CX127" s="71" t="s">
        <v>271</v>
      </c>
      <c r="CY127" s="72" t="e">
        <f xml:space="preserve"> _xlfn.TEXTJOIN(" ", FALSE,#REF!)</f>
        <v>#REF!</v>
      </c>
      <c r="CZ127" s="122"/>
      <c r="DA127" s="71" t="s">
        <v>272</v>
      </c>
      <c r="DB127" s="73" t="e">
        <f xml:space="preserve"> _xlfn.TEXTJOIN(" ", FALSE,#REF!)</f>
        <v>#REF!</v>
      </c>
      <c r="DC127" s="65" t="s">
        <v>277</v>
      </c>
      <c r="DD127" s="70" t="e">
        <f t="shared" si="11"/>
        <v>#REF!</v>
      </c>
      <c r="DE127" s="64" t="s">
        <v>273</v>
      </c>
      <c r="DF127" s="122"/>
      <c r="DG127" s="71" t="s">
        <v>274</v>
      </c>
      <c r="DH127" s="72" t="e">
        <f xml:space="preserve"> _xlfn.TEXTJOIN(" ", FALSE,#REF!)</f>
        <v>#REF!</v>
      </c>
      <c r="DI127" s="122"/>
      <c r="DJ127" s="71" t="s">
        <v>275</v>
      </c>
      <c r="DK127" s="73" t="e">
        <f xml:space="preserve"> _xlfn.TEXTJOIN(" ", FALSE,#REF!)</f>
        <v>#REF!</v>
      </c>
      <c r="DL127" s="65" t="s">
        <v>277</v>
      </c>
      <c r="DM127" s="70" t="e">
        <f t="shared" si="12"/>
        <v>#REF!</v>
      </c>
      <c r="DN127" s="70" t="e">
        <f t="shared" si="13"/>
        <v>#REF!</v>
      </c>
    </row>
    <row r="128" spans="1:118" ht="108" customHeight="1">
      <c r="A128" s="122" t="e">
        <f>Summary!A128</f>
        <v>#REF!</v>
      </c>
      <c r="B128" s="64" t="s">
        <v>233</v>
      </c>
      <c r="C128" s="65" t="e">
        <f>Summary!B128</f>
        <v>#REF!</v>
      </c>
      <c r="D128" s="122"/>
      <c r="E128" s="64" t="s">
        <v>235</v>
      </c>
      <c r="F128" s="132" t="e">
        <f>Summary!C128</f>
        <v>#REF!</v>
      </c>
      <c r="G128" s="64" t="s">
        <v>236</v>
      </c>
      <c r="H128" s="132" t="e">
        <f>Summary!D128</f>
        <v>#REF!</v>
      </c>
      <c r="I128" s="64" t="s">
        <v>237</v>
      </c>
      <c r="J128" s="66">
        <f>Summary!E128</f>
        <v>8</v>
      </c>
      <c r="K128" s="64" t="s">
        <v>238</v>
      </c>
      <c r="L128" s="132" t="e">
        <f>Summary!F128</f>
        <v>#REF!</v>
      </c>
      <c r="M128" s="64" t="s">
        <v>239</v>
      </c>
      <c r="N128" s="132" t="e">
        <f>Summary!G128</f>
        <v>#REF!</v>
      </c>
      <c r="O128" s="64" t="s">
        <v>240</v>
      </c>
      <c r="P128" s="132" t="e">
        <f>Summary!H128</f>
        <v>#REF!</v>
      </c>
      <c r="Q128" s="65" t="s">
        <v>277</v>
      </c>
      <c r="R128" s="70" t="e">
        <f t="shared" si="7"/>
        <v>#REF!</v>
      </c>
      <c r="S128" s="64" t="s">
        <v>243</v>
      </c>
      <c r="T128" s="122"/>
      <c r="U128" s="71" t="s">
        <v>244</v>
      </c>
      <c r="V128" s="72" t="e">
        <f xml:space="preserve"> _xlfn.TEXTJOIN(" ", FALSE,#REF!)</f>
        <v>#REF!</v>
      </c>
      <c r="W128" s="122"/>
      <c r="X128" s="71" t="s">
        <v>245</v>
      </c>
      <c r="Y128" s="72" t="e">
        <f xml:space="preserve"> _xlfn.TEXTJOIN(" ", FALSE,#REF!)</f>
        <v>#REF!</v>
      </c>
      <c r="Z128" s="122"/>
      <c r="AA128" s="71" t="s">
        <v>246</v>
      </c>
      <c r="AB128" s="72" t="e">
        <f xml:space="preserve"> _xlfn.TEXTJOIN(" ", FALSE,#REF!)</f>
        <v>#REF!</v>
      </c>
      <c r="AC128" s="122"/>
      <c r="AD128" s="71" t="s">
        <v>247</v>
      </c>
      <c r="AE128" s="72" t="e">
        <f xml:space="preserve"> _xlfn.TEXTJOIN(" ", FALSE,#REF!)</f>
        <v>#REF!</v>
      </c>
      <c r="AF128" s="122"/>
      <c r="AG128" s="71" t="s">
        <v>248</v>
      </c>
      <c r="AH128" s="73" t="e">
        <f xml:space="preserve"> _xlfn.TEXTJOIN(" ", FALSE,#REF!)</f>
        <v>#REF!</v>
      </c>
      <c r="AI128" s="122"/>
      <c r="AJ128" s="71" t="s">
        <v>249</v>
      </c>
      <c r="AK128" s="73" t="e">
        <f xml:space="preserve"> _xlfn.TEXTJOIN(" ", FALSE,#REF!)</f>
        <v>#REF!</v>
      </c>
      <c r="AL128" s="122"/>
      <c r="AM128" s="71" t="s">
        <v>250</v>
      </c>
      <c r="AN128" s="73" t="e">
        <f xml:space="preserve"> _xlfn.TEXTJOIN(" ", FALSE,#REF!)</f>
        <v>#REF!</v>
      </c>
      <c r="AO128" s="122"/>
      <c r="AP128" s="71" t="s">
        <v>251</v>
      </c>
      <c r="AQ128" s="72" t="e">
        <f xml:space="preserve"> _xlfn.TEXTJOIN(" ", FALSE,#REF!)</f>
        <v>#REF!</v>
      </c>
      <c r="AR128" s="122"/>
      <c r="AS128" s="71" t="s">
        <v>252</v>
      </c>
      <c r="AT128" s="72" t="e">
        <f xml:space="preserve"> _xlfn.TEXTJOIN(" ", FALSE,#REF!)</f>
        <v>#REF!</v>
      </c>
      <c r="AU128" s="122"/>
      <c r="AV128" s="71" t="s">
        <v>253</v>
      </c>
      <c r="AW128" s="73" t="e">
        <f xml:space="preserve"> _xlfn.TEXTJOIN(" ", FALSE,#REF!)</f>
        <v>#REF!</v>
      </c>
      <c r="AX128" s="122"/>
      <c r="AY128" s="71" t="s">
        <v>254</v>
      </c>
      <c r="AZ128" s="72" t="e">
        <f xml:space="preserve"> _xlfn.TEXTJOIN(" ", FALSE,#REF!)</f>
        <v>#REF!</v>
      </c>
      <c r="BA128" s="122"/>
      <c r="BB128" s="71" t="s">
        <v>255</v>
      </c>
      <c r="BC128" s="72" t="e">
        <f xml:space="preserve"> _xlfn.TEXTJOIN(" ", FALSE,#REF!)</f>
        <v>#REF!</v>
      </c>
      <c r="BD128" s="122"/>
      <c r="BE128" s="71" t="s">
        <v>256</v>
      </c>
      <c r="BF128" s="72" t="e">
        <f xml:space="preserve"> _xlfn.TEXTJOIN(" ", FALSE,#REF!)</f>
        <v>#REF!</v>
      </c>
      <c r="BG128" s="65" t="s">
        <v>277</v>
      </c>
      <c r="BH128" s="70" t="e">
        <f t="shared" si="8"/>
        <v>#REF!</v>
      </c>
      <c r="BI128" s="64" t="s">
        <v>257</v>
      </c>
      <c r="BJ128" s="122"/>
      <c r="BK128" s="71" t="s">
        <v>258</v>
      </c>
      <c r="BL128" s="74" t="str">
        <f>_xlfn.TEXTJOIN(" ", FALSE, 'Task 2a - Mitigating the Proble'!U128:AC128)</f>
        <v xml:space="preserve">1 1 1 0 1 1 1 0 </v>
      </c>
      <c r="BM128" s="65" t="s">
        <v>277</v>
      </c>
      <c r="BN128" s="70" t="str">
        <f t="shared" si="9"/>
        <v>[Details for Task 2a:]  /Question 12: 1 1 1 0 1 1 1 0  .</v>
      </c>
      <c r="BO128" s="64" t="s">
        <v>259</v>
      </c>
      <c r="BP128" s="122"/>
      <c r="BQ128" s="71" t="s">
        <v>260</v>
      </c>
      <c r="BR128" s="73" t="e">
        <f xml:space="preserve"> _xlfn.TEXTJOIN(" ", FALSE,#REF!)</f>
        <v>#REF!</v>
      </c>
      <c r="BS128" s="122"/>
      <c r="BT128" s="71" t="s">
        <v>261</v>
      </c>
      <c r="BU128" s="73" t="e">
        <f xml:space="preserve"> _xlfn.TEXTJOIN(" ", FALSE,#REF!)</f>
        <v>#REF!</v>
      </c>
      <c r="BV128" s="122"/>
      <c r="BW128" s="71" t="s">
        <v>262</v>
      </c>
      <c r="BX128" s="73" t="e">
        <f xml:space="preserve"> _xlfn.TEXTJOIN(" ", FALSE,#REF!)</f>
        <v>#REF!</v>
      </c>
      <c r="BY128" s="122"/>
      <c r="BZ128" s="71" t="s">
        <v>263</v>
      </c>
      <c r="CA128" s="73" t="e">
        <f xml:space="preserve"> _xlfn.TEXTJOIN(" ", FALSE,#REF!)</f>
        <v>#REF!</v>
      </c>
      <c r="CB128" s="122"/>
      <c r="CC128" s="71" t="s">
        <v>264</v>
      </c>
      <c r="CD128" s="73" t="e">
        <f xml:space="preserve"> _xlfn.TEXTJOIN(" ", FALSE,#REF!)</f>
        <v>#REF!</v>
      </c>
      <c r="CE128" s="122"/>
      <c r="CF128" s="71" t="s">
        <v>265</v>
      </c>
      <c r="CG128" s="73" t="e">
        <f xml:space="preserve"> _xlfn.TEXTJOIN(" ", FALSE,#REF!)</f>
        <v>#REF!</v>
      </c>
      <c r="CH128" s="122"/>
      <c r="CI128" s="74" t="s">
        <v>278</v>
      </c>
      <c r="CJ128" s="73" t="e">
        <f xml:space="preserve"> _xlfn.TEXTJOIN(" ", FALSE,#REF!)</f>
        <v>#REF!</v>
      </c>
      <c r="CK128" s="65" t="s">
        <v>277</v>
      </c>
      <c r="CL128" s="70" t="e">
        <f t="shared" si="10"/>
        <v>#REF!</v>
      </c>
      <c r="CM128" s="64" t="s">
        <v>267</v>
      </c>
      <c r="CN128" s="122"/>
      <c r="CO128" s="71" t="s">
        <v>268</v>
      </c>
      <c r="CP128" s="73" t="e">
        <f xml:space="preserve"> _xlfn.TEXTJOIN(" ", FALSE,#REF!)</f>
        <v>#REF!</v>
      </c>
      <c r="CQ128" s="122"/>
      <c r="CR128" s="71" t="s">
        <v>269</v>
      </c>
      <c r="CS128" s="73" t="e">
        <f xml:space="preserve"> _xlfn.TEXTJOIN(" ", FALSE,#REF!)</f>
        <v>#REF!</v>
      </c>
      <c r="CT128" s="122"/>
      <c r="CU128" s="71" t="s">
        <v>270</v>
      </c>
      <c r="CV128" s="72" t="e">
        <f xml:space="preserve"> _xlfn.TEXTJOIN(" ", FALSE,#REF!)</f>
        <v>#REF!</v>
      </c>
      <c r="CW128" s="122"/>
      <c r="CX128" s="71" t="s">
        <v>271</v>
      </c>
      <c r="CY128" s="72" t="e">
        <f xml:space="preserve"> _xlfn.TEXTJOIN(" ", FALSE,#REF!)</f>
        <v>#REF!</v>
      </c>
      <c r="CZ128" s="122"/>
      <c r="DA128" s="71" t="s">
        <v>272</v>
      </c>
      <c r="DB128" s="73" t="e">
        <f xml:space="preserve"> _xlfn.TEXTJOIN(" ", FALSE,#REF!)</f>
        <v>#REF!</v>
      </c>
      <c r="DC128" s="65" t="s">
        <v>277</v>
      </c>
      <c r="DD128" s="70" t="e">
        <f t="shared" si="11"/>
        <v>#REF!</v>
      </c>
      <c r="DE128" s="64" t="s">
        <v>273</v>
      </c>
      <c r="DF128" s="122"/>
      <c r="DG128" s="71" t="s">
        <v>274</v>
      </c>
      <c r="DH128" s="72" t="e">
        <f xml:space="preserve"> _xlfn.TEXTJOIN(" ", FALSE,#REF!)</f>
        <v>#REF!</v>
      </c>
      <c r="DI128" s="122"/>
      <c r="DJ128" s="71" t="s">
        <v>275</v>
      </c>
      <c r="DK128" s="73" t="e">
        <f xml:space="preserve"> _xlfn.TEXTJOIN(" ", FALSE,#REF!)</f>
        <v>#REF!</v>
      </c>
      <c r="DL128" s="65" t="s">
        <v>277</v>
      </c>
      <c r="DM128" s="70" t="e">
        <f t="shared" si="12"/>
        <v>#REF!</v>
      </c>
      <c r="DN128" s="70" t="e">
        <f t="shared" si="13"/>
        <v>#REF!</v>
      </c>
    </row>
    <row r="129" spans="1:118" ht="108" customHeight="1">
      <c r="A129" s="122" t="e">
        <f>Summary!A129</f>
        <v>#REF!</v>
      </c>
      <c r="B129" s="64" t="s">
        <v>233</v>
      </c>
      <c r="C129" s="65" t="e">
        <f>Summary!B129</f>
        <v>#REF!</v>
      </c>
      <c r="D129" s="122"/>
      <c r="E129" s="64" t="s">
        <v>235</v>
      </c>
      <c r="F129" s="132" t="e">
        <f>Summary!C129</f>
        <v>#REF!</v>
      </c>
      <c r="G129" s="64" t="s">
        <v>236</v>
      </c>
      <c r="H129" s="132" t="e">
        <f>Summary!D129</f>
        <v>#REF!</v>
      </c>
      <c r="I129" s="64" t="s">
        <v>237</v>
      </c>
      <c r="J129" s="66">
        <f>Summary!E129</f>
        <v>7</v>
      </c>
      <c r="K129" s="64" t="s">
        <v>238</v>
      </c>
      <c r="L129" s="132" t="e">
        <f>Summary!F129</f>
        <v>#REF!</v>
      </c>
      <c r="M129" s="64" t="s">
        <v>239</v>
      </c>
      <c r="N129" s="132" t="e">
        <f>Summary!G129</f>
        <v>#REF!</v>
      </c>
      <c r="O129" s="64" t="s">
        <v>240</v>
      </c>
      <c r="P129" s="132" t="e">
        <f>Summary!H129</f>
        <v>#REF!</v>
      </c>
      <c r="Q129" s="65" t="s">
        <v>277</v>
      </c>
      <c r="R129" s="70" t="e">
        <f t="shared" si="7"/>
        <v>#REF!</v>
      </c>
      <c r="S129" s="64" t="s">
        <v>243</v>
      </c>
      <c r="T129" s="122"/>
      <c r="U129" s="71" t="s">
        <v>244</v>
      </c>
      <c r="V129" s="72" t="e">
        <f xml:space="preserve"> _xlfn.TEXTJOIN(" ", FALSE,#REF!)</f>
        <v>#REF!</v>
      </c>
      <c r="W129" s="122"/>
      <c r="X129" s="71" t="s">
        <v>245</v>
      </c>
      <c r="Y129" s="72" t="e">
        <f xml:space="preserve"> _xlfn.TEXTJOIN(" ", FALSE,#REF!)</f>
        <v>#REF!</v>
      </c>
      <c r="Z129" s="122"/>
      <c r="AA129" s="71" t="s">
        <v>246</v>
      </c>
      <c r="AB129" s="72" t="e">
        <f xml:space="preserve"> _xlfn.TEXTJOIN(" ", FALSE,#REF!)</f>
        <v>#REF!</v>
      </c>
      <c r="AC129" s="122"/>
      <c r="AD129" s="71" t="s">
        <v>247</v>
      </c>
      <c r="AE129" s="72" t="e">
        <f xml:space="preserve"> _xlfn.TEXTJOIN(" ", FALSE,#REF!)</f>
        <v>#REF!</v>
      </c>
      <c r="AF129" s="122"/>
      <c r="AG129" s="71" t="s">
        <v>248</v>
      </c>
      <c r="AH129" s="73" t="e">
        <f xml:space="preserve"> _xlfn.TEXTJOIN(" ", FALSE,#REF!)</f>
        <v>#REF!</v>
      </c>
      <c r="AI129" s="122"/>
      <c r="AJ129" s="71" t="s">
        <v>249</v>
      </c>
      <c r="AK129" s="73" t="e">
        <f xml:space="preserve"> _xlfn.TEXTJOIN(" ", FALSE,#REF!)</f>
        <v>#REF!</v>
      </c>
      <c r="AL129" s="122"/>
      <c r="AM129" s="71" t="s">
        <v>250</v>
      </c>
      <c r="AN129" s="73" t="e">
        <f xml:space="preserve"> _xlfn.TEXTJOIN(" ", FALSE,#REF!)</f>
        <v>#REF!</v>
      </c>
      <c r="AO129" s="122"/>
      <c r="AP129" s="71" t="s">
        <v>251</v>
      </c>
      <c r="AQ129" s="72" t="e">
        <f xml:space="preserve"> _xlfn.TEXTJOIN(" ", FALSE,#REF!)</f>
        <v>#REF!</v>
      </c>
      <c r="AR129" s="122"/>
      <c r="AS129" s="71" t="s">
        <v>252</v>
      </c>
      <c r="AT129" s="72" t="e">
        <f xml:space="preserve"> _xlfn.TEXTJOIN(" ", FALSE,#REF!)</f>
        <v>#REF!</v>
      </c>
      <c r="AU129" s="122"/>
      <c r="AV129" s="71" t="s">
        <v>253</v>
      </c>
      <c r="AW129" s="73" t="e">
        <f xml:space="preserve"> _xlfn.TEXTJOIN(" ", FALSE,#REF!)</f>
        <v>#REF!</v>
      </c>
      <c r="AX129" s="122"/>
      <c r="AY129" s="71" t="s">
        <v>254</v>
      </c>
      <c r="AZ129" s="72" t="e">
        <f xml:space="preserve"> _xlfn.TEXTJOIN(" ", FALSE,#REF!)</f>
        <v>#REF!</v>
      </c>
      <c r="BA129" s="122"/>
      <c r="BB129" s="71" t="s">
        <v>255</v>
      </c>
      <c r="BC129" s="72" t="e">
        <f xml:space="preserve"> _xlfn.TEXTJOIN(" ", FALSE,#REF!)</f>
        <v>#REF!</v>
      </c>
      <c r="BD129" s="122"/>
      <c r="BE129" s="71" t="s">
        <v>256</v>
      </c>
      <c r="BF129" s="72" t="e">
        <f xml:space="preserve"> _xlfn.TEXTJOIN(" ", FALSE,#REF!)</f>
        <v>#REF!</v>
      </c>
      <c r="BG129" s="65" t="s">
        <v>277</v>
      </c>
      <c r="BH129" s="70" t="e">
        <f t="shared" si="8"/>
        <v>#REF!</v>
      </c>
      <c r="BI129" s="64" t="s">
        <v>257</v>
      </c>
      <c r="BJ129" s="122"/>
      <c r="BK129" s="71" t="s">
        <v>258</v>
      </c>
      <c r="BL129" s="74" t="str">
        <f>_xlfn.TEXTJOIN(" ", FALSE, 'Task 2a - Mitigating the Proble'!U129:AC129)</f>
        <v xml:space="preserve">1 1 0 1 1 0 1 0 </v>
      </c>
      <c r="BM129" s="65" t="s">
        <v>277</v>
      </c>
      <c r="BN129" s="70" t="str">
        <f t="shared" si="9"/>
        <v>[Details for Task 2a:]  /Question 12: 1 1 0 1 1 0 1 0  .</v>
      </c>
      <c r="BO129" s="64" t="s">
        <v>259</v>
      </c>
      <c r="BP129" s="122"/>
      <c r="BQ129" s="71" t="s">
        <v>260</v>
      </c>
      <c r="BR129" s="73" t="e">
        <f xml:space="preserve"> _xlfn.TEXTJOIN(" ", FALSE,#REF!)</f>
        <v>#REF!</v>
      </c>
      <c r="BS129" s="122"/>
      <c r="BT129" s="71" t="s">
        <v>261</v>
      </c>
      <c r="BU129" s="73" t="e">
        <f xml:space="preserve"> _xlfn.TEXTJOIN(" ", FALSE,#REF!)</f>
        <v>#REF!</v>
      </c>
      <c r="BV129" s="122"/>
      <c r="BW129" s="71" t="s">
        <v>262</v>
      </c>
      <c r="BX129" s="73" t="e">
        <f xml:space="preserve"> _xlfn.TEXTJOIN(" ", FALSE,#REF!)</f>
        <v>#REF!</v>
      </c>
      <c r="BY129" s="122"/>
      <c r="BZ129" s="71" t="s">
        <v>263</v>
      </c>
      <c r="CA129" s="73" t="e">
        <f xml:space="preserve"> _xlfn.TEXTJOIN(" ", FALSE,#REF!)</f>
        <v>#REF!</v>
      </c>
      <c r="CB129" s="122"/>
      <c r="CC129" s="71" t="s">
        <v>264</v>
      </c>
      <c r="CD129" s="73" t="e">
        <f xml:space="preserve"> _xlfn.TEXTJOIN(" ", FALSE,#REF!)</f>
        <v>#REF!</v>
      </c>
      <c r="CE129" s="122"/>
      <c r="CF129" s="71" t="s">
        <v>265</v>
      </c>
      <c r="CG129" s="73" t="e">
        <f xml:space="preserve"> _xlfn.TEXTJOIN(" ", FALSE,#REF!)</f>
        <v>#REF!</v>
      </c>
      <c r="CH129" s="122"/>
      <c r="CI129" s="74" t="s">
        <v>278</v>
      </c>
      <c r="CJ129" s="73" t="e">
        <f xml:space="preserve"> _xlfn.TEXTJOIN(" ", FALSE,#REF!)</f>
        <v>#REF!</v>
      </c>
      <c r="CK129" s="65" t="s">
        <v>277</v>
      </c>
      <c r="CL129" s="70" t="e">
        <f t="shared" si="10"/>
        <v>#REF!</v>
      </c>
      <c r="CM129" s="64" t="s">
        <v>267</v>
      </c>
      <c r="CN129" s="122"/>
      <c r="CO129" s="71" t="s">
        <v>268</v>
      </c>
      <c r="CP129" s="73" t="e">
        <f xml:space="preserve"> _xlfn.TEXTJOIN(" ", FALSE,#REF!)</f>
        <v>#REF!</v>
      </c>
      <c r="CQ129" s="122"/>
      <c r="CR129" s="71" t="s">
        <v>269</v>
      </c>
      <c r="CS129" s="73" t="e">
        <f xml:space="preserve"> _xlfn.TEXTJOIN(" ", FALSE,#REF!)</f>
        <v>#REF!</v>
      </c>
      <c r="CT129" s="122"/>
      <c r="CU129" s="71" t="s">
        <v>270</v>
      </c>
      <c r="CV129" s="72" t="e">
        <f xml:space="preserve"> _xlfn.TEXTJOIN(" ", FALSE,#REF!)</f>
        <v>#REF!</v>
      </c>
      <c r="CW129" s="122"/>
      <c r="CX129" s="71" t="s">
        <v>271</v>
      </c>
      <c r="CY129" s="72" t="e">
        <f xml:space="preserve"> _xlfn.TEXTJOIN(" ", FALSE,#REF!)</f>
        <v>#REF!</v>
      </c>
      <c r="CZ129" s="122"/>
      <c r="DA129" s="71" t="s">
        <v>272</v>
      </c>
      <c r="DB129" s="73" t="e">
        <f xml:space="preserve"> _xlfn.TEXTJOIN(" ", FALSE,#REF!)</f>
        <v>#REF!</v>
      </c>
      <c r="DC129" s="65" t="s">
        <v>277</v>
      </c>
      <c r="DD129" s="70" t="e">
        <f t="shared" si="11"/>
        <v>#REF!</v>
      </c>
      <c r="DE129" s="64" t="s">
        <v>273</v>
      </c>
      <c r="DF129" s="122"/>
      <c r="DG129" s="71" t="s">
        <v>274</v>
      </c>
      <c r="DH129" s="72" t="e">
        <f xml:space="preserve"> _xlfn.TEXTJOIN(" ", FALSE,#REF!)</f>
        <v>#REF!</v>
      </c>
      <c r="DI129" s="122"/>
      <c r="DJ129" s="71" t="s">
        <v>275</v>
      </c>
      <c r="DK129" s="73" t="e">
        <f xml:space="preserve"> _xlfn.TEXTJOIN(" ", FALSE,#REF!)</f>
        <v>#REF!</v>
      </c>
      <c r="DL129" s="65" t="s">
        <v>277</v>
      </c>
      <c r="DM129" s="70" t="e">
        <f t="shared" si="12"/>
        <v>#REF!</v>
      </c>
      <c r="DN129" s="70" t="e">
        <f t="shared" si="13"/>
        <v>#REF!</v>
      </c>
    </row>
    <row r="130" spans="1:118" ht="108" customHeight="1">
      <c r="A130" s="122" t="e">
        <f>Summary!A130</f>
        <v>#REF!</v>
      </c>
      <c r="B130" s="64" t="s">
        <v>233</v>
      </c>
      <c r="C130" s="65" t="e">
        <f>Summary!B130</f>
        <v>#REF!</v>
      </c>
      <c r="D130" s="122"/>
      <c r="E130" s="64" t="s">
        <v>235</v>
      </c>
      <c r="F130" s="132" t="e">
        <f>Summary!C130</f>
        <v>#REF!</v>
      </c>
      <c r="G130" s="64" t="s">
        <v>236</v>
      </c>
      <c r="H130" s="132" t="e">
        <f>Summary!D130</f>
        <v>#REF!</v>
      </c>
      <c r="I130" s="64" t="s">
        <v>237</v>
      </c>
      <c r="J130" s="66">
        <f>Summary!E130</f>
        <v>7</v>
      </c>
      <c r="K130" s="64" t="s">
        <v>238</v>
      </c>
      <c r="L130" s="132" t="e">
        <f>Summary!F130</f>
        <v>#REF!</v>
      </c>
      <c r="M130" s="64" t="s">
        <v>239</v>
      </c>
      <c r="N130" s="132" t="e">
        <f>Summary!G130</f>
        <v>#REF!</v>
      </c>
      <c r="O130" s="64" t="s">
        <v>240</v>
      </c>
      <c r="P130" s="132" t="e">
        <f>Summary!H130</f>
        <v>#REF!</v>
      </c>
      <c r="Q130" s="65" t="s">
        <v>277</v>
      </c>
      <c r="R130" s="70" t="e">
        <f t="shared" si="7"/>
        <v>#REF!</v>
      </c>
      <c r="S130" s="64" t="s">
        <v>243</v>
      </c>
      <c r="T130" s="122"/>
      <c r="U130" s="71" t="s">
        <v>244</v>
      </c>
      <c r="V130" s="72" t="e">
        <f xml:space="preserve"> _xlfn.TEXTJOIN(" ", FALSE,#REF!)</f>
        <v>#REF!</v>
      </c>
      <c r="W130" s="122"/>
      <c r="X130" s="71" t="s">
        <v>245</v>
      </c>
      <c r="Y130" s="72" t="e">
        <f xml:space="preserve"> _xlfn.TEXTJOIN(" ", FALSE,#REF!)</f>
        <v>#REF!</v>
      </c>
      <c r="Z130" s="122"/>
      <c r="AA130" s="71" t="s">
        <v>246</v>
      </c>
      <c r="AB130" s="72" t="e">
        <f xml:space="preserve"> _xlfn.TEXTJOIN(" ", FALSE,#REF!)</f>
        <v>#REF!</v>
      </c>
      <c r="AC130" s="122"/>
      <c r="AD130" s="71" t="s">
        <v>247</v>
      </c>
      <c r="AE130" s="72" t="e">
        <f xml:space="preserve"> _xlfn.TEXTJOIN(" ", FALSE,#REF!)</f>
        <v>#REF!</v>
      </c>
      <c r="AF130" s="122"/>
      <c r="AG130" s="71" t="s">
        <v>248</v>
      </c>
      <c r="AH130" s="73" t="e">
        <f xml:space="preserve"> _xlfn.TEXTJOIN(" ", FALSE,#REF!)</f>
        <v>#REF!</v>
      </c>
      <c r="AI130" s="122"/>
      <c r="AJ130" s="71" t="s">
        <v>249</v>
      </c>
      <c r="AK130" s="73" t="e">
        <f xml:space="preserve"> _xlfn.TEXTJOIN(" ", FALSE,#REF!)</f>
        <v>#REF!</v>
      </c>
      <c r="AL130" s="122"/>
      <c r="AM130" s="71" t="s">
        <v>250</v>
      </c>
      <c r="AN130" s="73" t="e">
        <f xml:space="preserve"> _xlfn.TEXTJOIN(" ", FALSE,#REF!)</f>
        <v>#REF!</v>
      </c>
      <c r="AO130" s="122"/>
      <c r="AP130" s="71" t="s">
        <v>251</v>
      </c>
      <c r="AQ130" s="72" t="e">
        <f xml:space="preserve"> _xlfn.TEXTJOIN(" ", FALSE,#REF!)</f>
        <v>#REF!</v>
      </c>
      <c r="AR130" s="122"/>
      <c r="AS130" s="71" t="s">
        <v>252</v>
      </c>
      <c r="AT130" s="72" t="e">
        <f xml:space="preserve"> _xlfn.TEXTJOIN(" ", FALSE,#REF!)</f>
        <v>#REF!</v>
      </c>
      <c r="AU130" s="122"/>
      <c r="AV130" s="71" t="s">
        <v>253</v>
      </c>
      <c r="AW130" s="73" t="e">
        <f xml:space="preserve"> _xlfn.TEXTJOIN(" ", FALSE,#REF!)</f>
        <v>#REF!</v>
      </c>
      <c r="AX130" s="122"/>
      <c r="AY130" s="71" t="s">
        <v>254</v>
      </c>
      <c r="AZ130" s="72" t="e">
        <f xml:space="preserve"> _xlfn.TEXTJOIN(" ", FALSE,#REF!)</f>
        <v>#REF!</v>
      </c>
      <c r="BA130" s="122"/>
      <c r="BB130" s="71" t="s">
        <v>255</v>
      </c>
      <c r="BC130" s="72" t="e">
        <f xml:space="preserve"> _xlfn.TEXTJOIN(" ", FALSE,#REF!)</f>
        <v>#REF!</v>
      </c>
      <c r="BD130" s="122"/>
      <c r="BE130" s="71" t="s">
        <v>256</v>
      </c>
      <c r="BF130" s="72" t="e">
        <f xml:space="preserve"> _xlfn.TEXTJOIN(" ", FALSE,#REF!)</f>
        <v>#REF!</v>
      </c>
      <c r="BG130" s="65" t="s">
        <v>277</v>
      </c>
      <c r="BH130" s="70" t="e">
        <f t="shared" si="8"/>
        <v>#REF!</v>
      </c>
      <c r="BI130" s="64" t="s">
        <v>257</v>
      </c>
      <c r="BJ130" s="122"/>
      <c r="BK130" s="71" t="s">
        <v>258</v>
      </c>
      <c r="BL130" s="74" t="str">
        <f>_xlfn.TEXTJOIN(" ", FALSE, 'Task 2a - Mitigating the Proble'!U130:AC130)</f>
        <v xml:space="preserve">1 0 1 1 1 1 0 0 </v>
      </c>
      <c r="BM130" s="65" t="s">
        <v>277</v>
      </c>
      <c r="BN130" s="70" t="str">
        <f t="shared" si="9"/>
        <v>[Details for Task 2a:]  /Question 12: 1 0 1 1 1 1 0 0  .</v>
      </c>
      <c r="BO130" s="64" t="s">
        <v>259</v>
      </c>
      <c r="BP130" s="122"/>
      <c r="BQ130" s="71" t="s">
        <v>260</v>
      </c>
      <c r="BR130" s="73" t="e">
        <f xml:space="preserve"> _xlfn.TEXTJOIN(" ", FALSE,#REF!)</f>
        <v>#REF!</v>
      </c>
      <c r="BS130" s="122"/>
      <c r="BT130" s="71" t="s">
        <v>261</v>
      </c>
      <c r="BU130" s="73" t="e">
        <f xml:space="preserve"> _xlfn.TEXTJOIN(" ", FALSE,#REF!)</f>
        <v>#REF!</v>
      </c>
      <c r="BV130" s="122"/>
      <c r="BW130" s="71" t="s">
        <v>262</v>
      </c>
      <c r="BX130" s="73" t="e">
        <f xml:space="preserve"> _xlfn.TEXTJOIN(" ", FALSE,#REF!)</f>
        <v>#REF!</v>
      </c>
      <c r="BY130" s="122"/>
      <c r="BZ130" s="71" t="s">
        <v>263</v>
      </c>
      <c r="CA130" s="73" t="e">
        <f xml:space="preserve"> _xlfn.TEXTJOIN(" ", FALSE,#REF!)</f>
        <v>#REF!</v>
      </c>
      <c r="CB130" s="122"/>
      <c r="CC130" s="71" t="s">
        <v>264</v>
      </c>
      <c r="CD130" s="73" t="e">
        <f xml:space="preserve"> _xlfn.TEXTJOIN(" ", FALSE,#REF!)</f>
        <v>#REF!</v>
      </c>
      <c r="CE130" s="122"/>
      <c r="CF130" s="71" t="s">
        <v>265</v>
      </c>
      <c r="CG130" s="73" t="e">
        <f xml:space="preserve"> _xlfn.TEXTJOIN(" ", FALSE,#REF!)</f>
        <v>#REF!</v>
      </c>
      <c r="CH130" s="122"/>
      <c r="CI130" s="74" t="s">
        <v>278</v>
      </c>
      <c r="CJ130" s="73" t="e">
        <f xml:space="preserve"> _xlfn.TEXTJOIN(" ", FALSE,#REF!)</f>
        <v>#REF!</v>
      </c>
      <c r="CK130" s="65" t="s">
        <v>277</v>
      </c>
      <c r="CL130" s="70" t="e">
        <f t="shared" si="10"/>
        <v>#REF!</v>
      </c>
      <c r="CM130" s="64" t="s">
        <v>267</v>
      </c>
      <c r="CN130" s="122"/>
      <c r="CO130" s="71" t="s">
        <v>268</v>
      </c>
      <c r="CP130" s="73" t="e">
        <f xml:space="preserve"> _xlfn.TEXTJOIN(" ", FALSE,#REF!)</f>
        <v>#REF!</v>
      </c>
      <c r="CQ130" s="122"/>
      <c r="CR130" s="71" t="s">
        <v>269</v>
      </c>
      <c r="CS130" s="73" t="e">
        <f xml:space="preserve"> _xlfn.TEXTJOIN(" ", FALSE,#REF!)</f>
        <v>#REF!</v>
      </c>
      <c r="CT130" s="122"/>
      <c r="CU130" s="71" t="s">
        <v>270</v>
      </c>
      <c r="CV130" s="72" t="e">
        <f xml:space="preserve"> _xlfn.TEXTJOIN(" ", FALSE,#REF!)</f>
        <v>#REF!</v>
      </c>
      <c r="CW130" s="122"/>
      <c r="CX130" s="71" t="s">
        <v>271</v>
      </c>
      <c r="CY130" s="72" t="e">
        <f xml:space="preserve"> _xlfn.TEXTJOIN(" ", FALSE,#REF!)</f>
        <v>#REF!</v>
      </c>
      <c r="CZ130" s="122"/>
      <c r="DA130" s="71" t="s">
        <v>272</v>
      </c>
      <c r="DB130" s="73" t="e">
        <f xml:space="preserve"> _xlfn.TEXTJOIN(" ", FALSE,#REF!)</f>
        <v>#REF!</v>
      </c>
      <c r="DC130" s="65" t="s">
        <v>277</v>
      </c>
      <c r="DD130" s="70" t="e">
        <f t="shared" si="11"/>
        <v>#REF!</v>
      </c>
      <c r="DE130" s="64" t="s">
        <v>273</v>
      </c>
      <c r="DF130" s="122"/>
      <c r="DG130" s="71" t="s">
        <v>274</v>
      </c>
      <c r="DH130" s="72" t="e">
        <f xml:space="preserve"> _xlfn.TEXTJOIN(" ", FALSE,#REF!)</f>
        <v>#REF!</v>
      </c>
      <c r="DI130" s="122"/>
      <c r="DJ130" s="71" t="s">
        <v>275</v>
      </c>
      <c r="DK130" s="73" t="e">
        <f xml:space="preserve"> _xlfn.TEXTJOIN(" ", FALSE,#REF!)</f>
        <v>#REF!</v>
      </c>
      <c r="DL130" s="65" t="s">
        <v>277</v>
      </c>
      <c r="DM130" s="70" t="e">
        <f t="shared" si="12"/>
        <v>#REF!</v>
      </c>
      <c r="DN130" s="70" t="e">
        <f t="shared" si="13"/>
        <v>#REF!</v>
      </c>
    </row>
    <row r="131" spans="1:118" ht="108" customHeight="1">
      <c r="A131" s="122" t="e">
        <f>Summary!A131</f>
        <v>#REF!</v>
      </c>
      <c r="B131" s="64" t="s">
        <v>233</v>
      </c>
      <c r="C131" s="65" t="e">
        <f>Summary!B131</f>
        <v>#REF!</v>
      </c>
      <c r="D131" s="122"/>
      <c r="E131" s="64" t="s">
        <v>235</v>
      </c>
      <c r="F131" s="132" t="e">
        <f>Summary!C131</f>
        <v>#REF!</v>
      </c>
      <c r="G131" s="64" t="s">
        <v>236</v>
      </c>
      <c r="H131" s="132" t="e">
        <f>Summary!D131</f>
        <v>#REF!</v>
      </c>
      <c r="I131" s="64" t="s">
        <v>237</v>
      </c>
      <c r="J131" s="66">
        <f>Summary!E131</f>
        <v>5</v>
      </c>
      <c r="K131" s="64" t="s">
        <v>238</v>
      </c>
      <c r="L131" s="132" t="e">
        <f>Summary!F131</f>
        <v>#REF!</v>
      </c>
      <c r="M131" s="64" t="s">
        <v>239</v>
      </c>
      <c r="N131" s="132" t="e">
        <f>Summary!G131</f>
        <v>#REF!</v>
      </c>
      <c r="O131" s="64" t="s">
        <v>240</v>
      </c>
      <c r="P131" s="132" t="e">
        <f>Summary!H131</f>
        <v>#REF!</v>
      </c>
      <c r="Q131" s="65" t="s">
        <v>277</v>
      </c>
      <c r="R131" s="70" t="e">
        <f t="shared" si="7"/>
        <v>#REF!</v>
      </c>
      <c r="S131" s="64" t="s">
        <v>243</v>
      </c>
      <c r="T131" s="122"/>
      <c r="U131" s="71" t="s">
        <v>244</v>
      </c>
      <c r="V131" s="72" t="e">
        <f xml:space="preserve"> _xlfn.TEXTJOIN(" ", FALSE,#REF!)</f>
        <v>#REF!</v>
      </c>
      <c r="W131" s="122"/>
      <c r="X131" s="71" t="s">
        <v>245</v>
      </c>
      <c r="Y131" s="72" t="e">
        <f xml:space="preserve"> _xlfn.TEXTJOIN(" ", FALSE,#REF!)</f>
        <v>#REF!</v>
      </c>
      <c r="Z131" s="122"/>
      <c r="AA131" s="71" t="s">
        <v>246</v>
      </c>
      <c r="AB131" s="72" t="e">
        <f xml:space="preserve"> _xlfn.TEXTJOIN(" ", FALSE,#REF!)</f>
        <v>#REF!</v>
      </c>
      <c r="AC131" s="122"/>
      <c r="AD131" s="71" t="s">
        <v>247</v>
      </c>
      <c r="AE131" s="72" t="e">
        <f xml:space="preserve"> _xlfn.TEXTJOIN(" ", FALSE,#REF!)</f>
        <v>#REF!</v>
      </c>
      <c r="AF131" s="122"/>
      <c r="AG131" s="71" t="s">
        <v>248</v>
      </c>
      <c r="AH131" s="73" t="e">
        <f xml:space="preserve"> _xlfn.TEXTJOIN(" ", FALSE,#REF!)</f>
        <v>#REF!</v>
      </c>
      <c r="AI131" s="122"/>
      <c r="AJ131" s="71" t="s">
        <v>249</v>
      </c>
      <c r="AK131" s="73" t="e">
        <f xml:space="preserve"> _xlfn.TEXTJOIN(" ", FALSE,#REF!)</f>
        <v>#REF!</v>
      </c>
      <c r="AL131" s="122"/>
      <c r="AM131" s="71" t="s">
        <v>250</v>
      </c>
      <c r="AN131" s="73" t="e">
        <f xml:space="preserve"> _xlfn.TEXTJOIN(" ", FALSE,#REF!)</f>
        <v>#REF!</v>
      </c>
      <c r="AO131" s="122"/>
      <c r="AP131" s="71" t="s">
        <v>251</v>
      </c>
      <c r="AQ131" s="72" t="e">
        <f xml:space="preserve"> _xlfn.TEXTJOIN(" ", FALSE,#REF!)</f>
        <v>#REF!</v>
      </c>
      <c r="AR131" s="122"/>
      <c r="AS131" s="71" t="s">
        <v>252</v>
      </c>
      <c r="AT131" s="72" t="e">
        <f xml:space="preserve"> _xlfn.TEXTJOIN(" ", FALSE,#REF!)</f>
        <v>#REF!</v>
      </c>
      <c r="AU131" s="122"/>
      <c r="AV131" s="71" t="s">
        <v>253</v>
      </c>
      <c r="AW131" s="73" t="e">
        <f xml:space="preserve"> _xlfn.TEXTJOIN(" ", FALSE,#REF!)</f>
        <v>#REF!</v>
      </c>
      <c r="AX131" s="122"/>
      <c r="AY131" s="71" t="s">
        <v>254</v>
      </c>
      <c r="AZ131" s="72" t="e">
        <f xml:space="preserve"> _xlfn.TEXTJOIN(" ", FALSE,#REF!)</f>
        <v>#REF!</v>
      </c>
      <c r="BA131" s="122"/>
      <c r="BB131" s="71" t="s">
        <v>255</v>
      </c>
      <c r="BC131" s="72" t="e">
        <f xml:space="preserve"> _xlfn.TEXTJOIN(" ", FALSE,#REF!)</f>
        <v>#REF!</v>
      </c>
      <c r="BD131" s="122"/>
      <c r="BE131" s="71" t="s">
        <v>256</v>
      </c>
      <c r="BF131" s="72" t="e">
        <f xml:space="preserve"> _xlfn.TEXTJOIN(" ", FALSE,#REF!)</f>
        <v>#REF!</v>
      </c>
      <c r="BG131" s="65" t="s">
        <v>277</v>
      </c>
      <c r="BH131" s="70" t="e">
        <f t="shared" si="8"/>
        <v>#REF!</v>
      </c>
      <c r="BI131" s="64" t="s">
        <v>257</v>
      </c>
      <c r="BJ131" s="122"/>
      <c r="BK131" s="71" t="s">
        <v>258</v>
      </c>
      <c r="BL131" s="74" t="str">
        <f>_xlfn.TEXTJOIN(" ", FALSE, 'Task 2a - Mitigating the Proble'!U131:AC131)</f>
        <v xml:space="preserve">1 1 0 1 0 0 0 0 </v>
      </c>
      <c r="BM131" s="65" t="s">
        <v>277</v>
      </c>
      <c r="BN131" s="70" t="str">
        <f t="shared" si="9"/>
        <v>[Details for Task 2a:]  /Question 12: 1 1 0 1 0 0 0 0  .</v>
      </c>
      <c r="BO131" s="64" t="s">
        <v>259</v>
      </c>
      <c r="BP131" s="122"/>
      <c r="BQ131" s="71" t="s">
        <v>260</v>
      </c>
      <c r="BR131" s="73" t="e">
        <f xml:space="preserve"> _xlfn.TEXTJOIN(" ", FALSE,#REF!)</f>
        <v>#REF!</v>
      </c>
      <c r="BS131" s="122"/>
      <c r="BT131" s="71" t="s">
        <v>261</v>
      </c>
      <c r="BU131" s="73" t="e">
        <f xml:space="preserve"> _xlfn.TEXTJOIN(" ", FALSE,#REF!)</f>
        <v>#REF!</v>
      </c>
      <c r="BV131" s="122"/>
      <c r="BW131" s="71" t="s">
        <v>262</v>
      </c>
      <c r="BX131" s="73" t="e">
        <f xml:space="preserve"> _xlfn.TEXTJOIN(" ", FALSE,#REF!)</f>
        <v>#REF!</v>
      </c>
      <c r="BY131" s="122"/>
      <c r="BZ131" s="71" t="s">
        <v>263</v>
      </c>
      <c r="CA131" s="73" t="e">
        <f xml:space="preserve"> _xlfn.TEXTJOIN(" ", FALSE,#REF!)</f>
        <v>#REF!</v>
      </c>
      <c r="CB131" s="122"/>
      <c r="CC131" s="71" t="s">
        <v>264</v>
      </c>
      <c r="CD131" s="73" t="e">
        <f xml:space="preserve"> _xlfn.TEXTJOIN(" ", FALSE,#REF!)</f>
        <v>#REF!</v>
      </c>
      <c r="CE131" s="122"/>
      <c r="CF131" s="71" t="s">
        <v>265</v>
      </c>
      <c r="CG131" s="73" t="e">
        <f xml:space="preserve"> _xlfn.TEXTJOIN(" ", FALSE,#REF!)</f>
        <v>#REF!</v>
      </c>
      <c r="CH131" s="122"/>
      <c r="CI131" s="74" t="s">
        <v>278</v>
      </c>
      <c r="CJ131" s="73" t="e">
        <f xml:space="preserve"> _xlfn.TEXTJOIN(" ", FALSE,#REF!)</f>
        <v>#REF!</v>
      </c>
      <c r="CK131" s="65" t="s">
        <v>277</v>
      </c>
      <c r="CL131" s="70" t="e">
        <f t="shared" si="10"/>
        <v>#REF!</v>
      </c>
      <c r="CM131" s="64" t="s">
        <v>267</v>
      </c>
      <c r="CN131" s="122"/>
      <c r="CO131" s="71" t="s">
        <v>268</v>
      </c>
      <c r="CP131" s="73" t="e">
        <f xml:space="preserve"> _xlfn.TEXTJOIN(" ", FALSE,#REF!)</f>
        <v>#REF!</v>
      </c>
      <c r="CQ131" s="122"/>
      <c r="CR131" s="71" t="s">
        <v>269</v>
      </c>
      <c r="CS131" s="73" t="e">
        <f xml:space="preserve"> _xlfn.TEXTJOIN(" ", FALSE,#REF!)</f>
        <v>#REF!</v>
      </c>
      <c r="CT131" s="122"/>
      <c r="CU131" s="71" t="s">
        <v>270</v>
      </c>
      <c r="CV131" s="72" t="e">
        <f xml:space="preserve"> _xlfn.TEXTJOIN(" ", FALSE,#REF!)</f>
        <v>#REF!</v>
      </c>
      <c r="CW131" s="122"/>
      <c r="CX131" s="71" t="s">
        <v>271</v>
      </c>
      <c r="CY131" s="72" t="e">
        <f xml:space="preserve"> _xlfn.TEXTJOIN(" ", FALSE,#REF!)</f>
        <v>#REF!</v>
      </c>
      <c r="CZ131" s="122"/>
      <c r="DA131" s="71" t="s">
        <v>272</v>
      </c>
      <c r="DB131" s="73" t="e">
        <f xml:space="preserve"> _xlfn.TEXTJOIN(" ", FALSE,#REF!)</f>
        <v>#REF!</v>
      </c>
      <c r="DC131" s="65" t="s">
        <v>277</v>
      </c>
      <c r="DD131" s="70" t="e">
        <f t="shared" si="11"/>
        <v>#REF!</v>
      </c>
      <c r="DE131" s="64" t="s">
        <v>273</v>
      </c>
      <c r="DF131" s="122"/>
      <c r="DG131" s="71" t="s">
        <v>274</v>
      </c>
      <c r="DH131" s="72" t="e">
        <f xml:space="preserve"> _xlfn.TEXTJOIN(" ", FALSE,#REF!)</f>
        <v>#REF!</v>
      </c>
      <c r="DI131" s="122"/>
      <c r="DJ131" s="71" t="s">
        <v>275</v>
      </c>
      <c r="DK131" s="73" t="e">
        <f xml:space="preserve"> _xlfn.TEXTJOIN(" ", FALSE,#REF!)</f>
        <v>#REF!</v>
      </c>
      <c r="DL131" s="65" t="s">
        <v>277</v>
      </c>
      <c r="DM131" s="70" t="e">
        <f t="shared" si="12"/>
        <v>#REF!</v>
      </c>
      <c r="DN131" s="70" t="e">
        <f t="shared" si="13"/>
        <v>#REF!</v>
      </c>
    </row>
    <row r="132" spans="1:118" ht="108" customHeight="1">
      <c r="A132" s="122" t="e">
        <f>Summary!A132</f>
        <v>#REF!</v>
      </c>
      <c r="B132" s="64" t="s">
        <v>233</v>
      </c>
      <c r="C132" s="65" t="e">
        <f>Summary!B132</f>
        <v>#REF!</v>
      </c>
      <c r="D132" s="122"/>
      <c r="E132" s="64" t="s">
        <v>235</v>
      </c>
      <c r="F132" s="132" t="e">
        <f>Summary!C132</f>
        <v>#REF!</v>
      </c>
      <c r="G132" s="64" t="s">
        <v>236</v>
      </c>
      <c r="H132" s="132" t="e">
        <f>Summary!D132</f>
        <v>#REF!</v>
      </c>
      <c r="I132" s="64" t="s">
        <v>237</v>
      </c>
      <c r="J132" s="66">
        <f>Summary!E132</f>
        <v>7</v>
      </c>
      <c r="K132" s="64" t="s">
        <v>238</v>
      </c>
      <c r="L132" s="132" t="e">
        <f>Summary!F132</f>
        <v>#REF!</v>
      </c>
      <c r="M132" s="64" t="s">
        <v>239</v>
      </c>
      <c r="N132" s="132" t="e">
        <f>Summary!G132</f>
        <v>#REF!</v>
      </c>
      <c r="O132" s="64" t="s">
        <v>240</v>
      </c>
      <c r="P132" s="132" t="e">
        <f>Summary!H132</f>
        <v>#REF!</v>
      </c>
      <c r="Q132" s="65" t="s">
        <v>277</v>
      </c>
      <c r="R132" s="70" t="e">
        <f t="shared" si="7"/>
        <v>#REF!</v>
      </c>
      <c r="S132" s="64" t="s">
        <v>243</v>
      </c>
      <c r="T132" s="122"/>
      <c r="U132" s="71" t="s">
        <v>244</v>
      </c>
      <c r="V132" s="72" t="e">
        <f xml:space="preserve"> _xlfn.TEXTJOIN(" ", FALSE,#REF!)</f>
        <v>#REF!</v>
      </c>
      <c r="W132" s="122"/>
      <c r="X132" s="71" t="s">
        <v>245</v>
      </c>
      <c r="Y132" s="72" t="e">
        <f xml:space="preserve"> _xlfn.TEXTJOIN(" ", FALSE,#REF!)</f>
        <v>#REF!</v>
      </c>
      <c r="Z132" s="122"/>
      <c r="AA132" s="71" t="s">
        <v>246</v>
      </c>
      <c r="AB132" s="72" t="e">
        <f xml:space="preserve"> _xlfn.TEXTJOIN(" ", FALSE,#REF!)</f>
        <v>#REF!</v>
      </c>
      <c r="AC132" s="122"/>
      <c r="AD132" s="71" t="s">
        <v>247</v>
      </c>
      <c r="AE132" s="72" t="e">
        <f xml:space="preserve"> _xlfn.TEXTJOIN(" ", FALSE,#REF!)</f>
        <v>#REF!</v>
      </c>
      <c r="AF132" s="122"/>
      <c r="AG132" s="71" t="s">
        <v>248</v>
      </c>
      <c r="AH132" s="73" t="e">
        <f xml:space="preserve"> _xlfn.TEXTJOIN(" ", FALSE,#REF!)</f>
        <v>#REF!</v>
      </c>
      <c r="AI132" s="122"/>
      <c r="AJ132" s="71" t="s">
        <v>249</v>
      </c>
      <c r="AK132" s="73" t="e">
        <f xml:space="preserve"> _xlfn.TEXTJOIN(" ", FALSE,#REF!)</f>
        <v>#REF!</v>
      </c>
      <c r="AL132" s="122"/>
      <c r="AM132" s="71" t="s">
        <v>250</v>
      </c>
      <c r="AN132" s="73" t="e">
        <f xml:space="preserve"> _xlfn.TEXTJOIN(" ", FALSE,#REF!)</f>
        <v>#REF!</v>
      </c>
      <c r="AO132" s="122"/>
      <c r="AP132" s="71" t="s">
        <v>251</v>
      </c>
      <c r="AQ132" s="72" t="e">
        <f xml:space="preserve"> _xlfn.TEXTJOIN(" ", FALSE,#REF!)</f>
        <v>#REF!</v>
      </c>
      <c r="AR132" s="122"/>
      <c r="AS132" s="71" t="s">
        <v>252</v>
      </c>
      <c r="AT132" s="72" t="e">
        <f xml:space="preserve"> _xlfn.TEXTJOIN(" ", FALSE,#REF!)</f>
        <v>#REF!</v>
      </c>
      <c r="AU132" s="122"/>
      <c r="AV132" s="71" t="s">
        <v>253</v>
      </c>
      <c r="AW132" s="73" t="e">
        <f xml:space="preserve"> _xlfn.TEXTJOIN(" ", FALSE,#REF!)</f>
        <v>#REF!</v>
      </c>
      <c r="AX132" s="122"/>
      <c r="AY132" s="71" t="s">
        <v>254</v>
      </c>
      <c r="AZ132" s="72" t="e">
        <f xml:space="preserve"> _xlfn.TEXTJOIN(" ", FALSE,#REF!)</f>
        <v>#REF!</v>
      </c>
      <c r="BA132" s="122"/>
      <c r="BB132" s="71" t="s">
        <v>255</v>
      </c>
      <c r="BC132" s="72" t="e">
        <f xml:space="preserve"> _xlfn.TEXTJOIN(" ", FALSE,#REF!)</f>
        <v>#REF!</v>
      </c>
      <c r="BD132" s="122"/>
      <c r="BE132" s="71" t="s">
        <v>256</v>
      </c>
      <c r="BF132" s="72" t="e">
        <f xml:space="preserve"> _xlfn.TEXTJOIN(" ", FALSE,#REF!)</f>
        <v>#REF!</v>
      </c>
      <c r="BG132" s="65" t="s">
        <v>277</v>
      </c>
      <c r="BH132" s="70" t="e">
        <f t="shared" si="8"/>
        <v>#REF!</v>
      </c>
      <c r="BI132" s="64" t="s">
        <v>257</v>
      </c>
      <c r="BJ132" s="122"/>
      <c r="BK132" s="71" t="s">
        <v>258</v>
      </c>
      <c r="BL132" s="74" t="str">
        <f>_xlfn.TEXTJOIN(" ", FALSE, 'Task 2a - Mitigating the Proble'!U132:AC132)</f>
        <v>1 0 1 1 0 1 0 1 Good discussion on the complementarity of the two approaches.</v>
      </c>
      <c r="BM132" s="65" t="s">
        <v>277</v>
      </c>
      <c r="BN132" s="70" t="str">
        <f t="shared" si="9"/>
        <v>[Details for Task 2a:]  /Question 12: 1 0 1 1 0 1 0 1 Good discussion on the complementarity of the two approaches. .</v>
      </c>
      <c r="BO132" s="64" t="s">
        <v>259</v>
      </c>
      <c r="BP132" s="122"/>
      <c r="BQ132" s="71" t="s">
        <v>260</v>
      </c>
      <c r="BR132" s="73" t="e">
        <f xml:space="preserve"> _xlfn.TEXTJOIN(" ", FALSE,#REF!)</f>
        <v>#REF!</v>
      </c>
      <c r="BS132" s="122"/>
      <c r="BT132" s="71" t="s">
        <v>261</v>
      </c>
      <c r="BU132" s="73" t="e">
        <f xml:space="preserve"> _xlfn.TEXTJOIN(" ", FALSE,#REF!)</f>
        <v>#REF!</v>
      </c>
      <c r="BV132" s="122"/>
      <c r="BW132" s="71" t="s">
        <v>262</v>
      </c>
      <c r="BX132" s="73" t="e">
        <f xml:space="preserve"> _xlfn.TEXTJOIN(" ", FALSE,#REF!)</f>
        <v>#REF!</v>
      </c>
      <c r="BY132" s="122"/>
      <c r="BZ132" s="71" t="s">
        <v>263</v>
      </c>
      <c r="CA132" s="73" t="e">
        <f xml:space="preserve"> _xlfn.TEXTJOIN(" ", FALSE,#REF!)</f>
        <v>#REF!</v>
      </c>
      <c r="CB132" s="122"/>
      <c r="CC132" s="71" t="s">
        <v>264</v>
      </c>
      <c r="CD132" s="73" t="e">
        <f xml:space="preserve"> _xlfn.TEXTJOIN(" ", FALSE,#REF!)</f>
        <v>#REF!</v>
      </c>
      <c r="CE132" s="122"/>
      <c r="CF132" s="71" t="s">
        <v>265</v>
      </c>
      <c r="CG132" s="73" t="e">
        <f xml:space="preserve"> _xlfn.TEXTJOIN(" ", FALSE,#REF!)</f>
        <v>#REF!</v>
      </c>
      <c r="CH132" s="122"/>
      <c r="CI132" s="74" t="s">
        <v>278</v>
      </c>
      <c r="CJ132" s="73" t="e">
        <f xml:space="preserve"> _xlfn.TEXTJOIN(" ", FALSE,#REF!)</f>
        <v>#REF!</v>
      </c>
      <c r="CK132" s="65" t="s">
        <v>277</v>
      </c>
      <c r="CL132" s="70" t="e">
        <f t="shared" si="10"/>
        <v>#REF!</v>
      </c>
      <c r="CM132" s="64" t="s">
        <v>267</v>
      </c>
      <c r="CN132" s="122"/>
      <c r="CO132" s="71" t="s">
        <v>268</v>
      </c>
      <c r="CP132" s="73" t="e">
        <f xml:space="preserve"> _xlfn.TEXTJOIN(" ", FALSE,#REF!)</f>
        <v>#REF!</v>
      </c>
      <c r="CQ132" s="122"/>
      <c r="CR132" s="71" t="s">
        <v>269</v>
      </c>
      <c r="CS132" s="73" t="e">
        <f xml:space="preserve"> _xlfn.TEXTJOIN(" ", FALSE,#REF!)</f>
        <v>#REF!</v>
      </c>
      <c r="CT132" s="122"/>
      <c r="CU132" s="71" t="s">
        <v>270</v>
      </c>
      <c r="CV132" s="72" t="e">
        <f xml:space="preserve"> _xlfn.TEXTJOIN(" ", FALSE,#REF!)</f>
        <v>#REF!</v>
      </c>
      <c r="CW132" s="122"/>
      <c r="CX132" s="71" t="s">
        <v>271</v>
      </c>
      <c r="CY132" s="72" t="e">
        <f xml:space="preserve"> _xlfn.TEXTJOIN(" ", FALSE,#REF!)</f>
        <v>#REF!</v>
      </c>
      <c r="CZ132" s="122"/>
      <c r="DA132" s="71" t="s">
        <v>272</v>
      </c>
      <c r="DB132" s="73" t="e">
        <f xml:space="preserve"> _xlfn.TEXTJOIN(" ", FALSE,#REF!)</f>
        <v>#REF!</v>
      </c>
      <c r="DC132" s="65" t="s">
        <v>277</v>
      </c>
      <c r="DD132" s="70" t="e">
        <f t="shared" si="11"/>
        <v>#REF!</v>
      </c>
      <c r="DE132" s="64" t="s">
        <v>273</v>
      </c>
      <c r="DF132" s="122"/>
      <c r="DG132" s="71" t="s">
        <v>274</v>
      </c>
      <c r="DH132" s="72" t="e">
        <f xml:space="preserve"> _xlfn.TEXTJOIN(" ", FALSE,#REF!)</f>
        <v>#REF!</v>
      </c>
      <c r="DI132" s="122"/>
      <c r="DJ132" s="71" t="s">
        <v>275</v>
      </c>
      <c r="DK132" s="73" t="e">
        <f xml:space="preserve"> _xlfn.TEXTJOIN(" ", FALSE,#REF!)</f>
        <v>#REF!</v>
      </c>
      <c r="DL132" s="65" t="s">
        <v>277</v>
      </c>
      <c r="DM132" s="70" t="e">
        <f t="shared" si="12"/>
        <v>#REF!</v>
      </c>
      <c r="DN132" s="70" t="e">
        <f t="shared" si="13"/>
        <v>#REF!</v>
      </c>
    </row>
    <row r="133" spans="1:118" ht="108" customHeight="1">
      <c r="A133" s="122" t="e">
        <f>Summary!A133</f>
        <v>#REF!</v>
      </c>
      <c r="B133" s="64" t="s">
        <v>233</v>
      </c>
      <c r="C133" s="65" t="e">
        <f>Summary!B133</f>
        <v>#REF!</v>
      </c>
      <c r="D133" s="122"/>
      <c r="E133" s="64" t="s">
        <v>235</v>
      </c>
      <c r="F133" s="132" t="e">
        <f>Summary!C133</f>
        <v>#REF!</v>
      </c>
      <c r="G133" s="64" t="s">
        <v>236</v>
      </c>
      <c r="H133" s="132" t="e">
        <f>Summary!D133</f>
        <v>#REF!</v>
      </c>
      <c r="I133" s="64" t="s">
        <v>237</v>
      </c>
      <c r="J133" s="66">
        <f>Summary!E133</f>
        <v>5</v>
      </c>
      <c r="K133" s="64" t="s">
        <v>238</v>
      </c>
      <c r="L133" s="132" t="e">
        <f>Summary!F133</f>
        <v>#REF!</v>
      </c>
      <c r="M133" s="64" t="s">
        <v>239</v>
      </c>
      <c r="N133" s="132" t="e">
        <f>Summary!G133</f>
        <v>#REF!</v>
      </c>
      <c r="O133" s="64" t="s">
        <v>240</v>
      </c>
      <c r="P133" s="132" t="e">
        <f>Summary!H133</f>
        <v>#REF!</v>
      </c>
      <c r="Q133" s="65" t="s">
        <v>277</v>
      </c>
      <c r="R133" s="70" t="e">
        <f t="shared" si="7"/>
        <v>#REF!</v>
      </c>
      <c r="S133" s="64" t="s">
        <v>243</v>
      </c>
      <c r="T133" s="122"/>
      <c r="U133" s="71" t="s">
        <v>244</v>
      </c>
      <c r="V133" s="72" t="e">
        <f xml:space="preserve"> _xlfn.TEXTJOIN(" ", FALSE,#REF!)</f>
        <v>#REF!</v>
      </c>
      <c r="W133" s="122"/>
      <c r="X133" s="71" t="s">
        <v>245</v>
      </c>
      <c r="Y133" s="72" t="e">
        <f xml:space="preserve"> _xlfn.TEXTJOIN(" ", FALSE,#REF!)</f>
        <v>#REF!</v>
      </c>
      <c r="Z133" s="122"/>
      <c r="AA133" s="71" t="s">
        <v>246</v>
      </c>
      <c r="AB133" s="72" t="e">
        <f xml:space="preserve"> _xlfn.TEXTJOIN(" ", FALSE,#REF!)</f>
        <v>#REF!</v>
      </c>
      <c r="AC133" s="122"/>
      <c r="AD133" s="71" t="s">
        <v>247</v>
      </c>
      <c r="AE133" s="72" t="e">
        <f xml:space="preserve"> _xlfn.TEXTJOIN(" ", FALSE,#REF!)</f>
        <v>#REF!</v>
      </c>
      <c r="AF133" s="122"/>
      <c r="AG133" s="71" t="s">
        <v>248</v>
      </c>
      <c r="AH133" s="73" t="e">
        <f xml:space="preserve"> _xlfn.TEXTJOIN(" ", FALSE,#REF!)</f>
        <v>#REF!</v>
      </c>
      <c r="AI133" s="122"/>
      <c r="AJ133" s="71" t="s">
        <v>249</v>
      </c>
      <c r="AK133" s="73" t="e">
        <f xml:space="preserve"> _xlfn.TEXTJOIN(" ", FALSE,#REF!)</f>
        <v>#REF!</v>
      </c>
      <c r="AL133" s="122"/>
      <c r="AM133" s="71" t="s">
        <v>250</v>
      </c>
      <c r="AN133" s="73" t="e">
        <f xml:space="preserve"> _xlfn.TEXTJOIN(" ", FALSE,#REF!)</f>
        <v>#REF!</v>
      </c>
      <c r="AO133" s="122"/>
      <c r="AP133" s="71" t="s">
        <v>251</v>
      </c>
      <c r="AQ133" s="72" t="e">
        <f xml:space="preserve"> _xlfn.TEXTJOIN(" ", FALSE,#REF!)</f>
        <v>#REF!</v>
      </c>
      <c r="AR133" s="122"/>
      <c r="AS133" s="71" t="s">
        <v>252</v>
      </c>
      <c r="AT133" s="72" t="e">
        <f xml:space="preserve"> _xlfn.TEXTJOIN(" ", FALSE,#REF!)</f>
        <v>#REF!</v>
      </c>
      <c r="AU133" s="122"/>
      <c r="AV133" s="71" t="s">
        <v>253</v>
      </c>
      <c r="AW133" s="73" t="e">
        <f xml:space="preserve"> _xlfn.TEXTJOIN(" ", FALSE,#REF!)</f>
        <v>#REF!</v>
      </c>
      <c r="AX133" s="122"/>
      <c r="AY133" s="71" t="s">
        <v>254</v>
      </c>
      <c r="AZ133" s="72" t="e">
        <f xml:space="preserve"> _xlfn.TEXTJOIN(" ", FALSE,#REF!)</f>
        <v>#REF!</v>
      </c>
      <c r="BA133" s="122"/>
      <c r="BB133" s="71" t="s">
        <v>255</v>
      </c>
      <c r="BC133" s="72" t="e">
        <f xml:space="preserve"> _xlfn.TEXTJOIN(" ", FALSE,#REF!)</f>
        <v>#REF!</v>
      </c>
      <c r="BD133" s="122"/>
      <c r="BE133" s="71" t="s">
        <v>256</v>
      </c>
      <c r="BF133" s="72" t="e">
        <f xml:space="preserve"> _xlfn.TEXTJOIN(" ", FALSE,#REF!)</f>
        <v>#REF!</v>
      </c>
      <c r="BG133" s="65" t="s">
        <v>277</v>
      </c>
      <c r="BH133" s="70" t="e">
        <f t="shared" si="8"/>
        <v>#REF!</v>
      </c>
      <c r="BI133" s="64" t="s">
        <v>257</v>
      </c>
      <c r="BJ133" s="122"/>
      <c r="BK133" s="71" t="s">
        <v>258</v>
      </c>
      <c r="BL133" s="74" t="str">
        <f>_xlfn.TEXTJOIN(" ", FALSE, 'Task 2a - Mitigating the Proble'!U133:AC133)</f>
        <v xml:space="preserve">1 1 0 1 0 0 1 0 </v>
      </c>
      <c r="BM133" s="65" t="s">
        <v>277</v>
      </c>
      <c r="BN133" s="70" t="str">
        <f t="shared" si="9"/>
        <v>[Details for Task 2a:]  /Question 12: 1 1 0 1 0 0 1 0  .</v>
      </c>
      <c r="BO133" s="64" t="s">
        <v>259</v>
      </c>
      <c r="BP133" s="122"/>
      <c r="BQ133" s="71" t="s">
        <v>260</v>
      </c>
      <c r="BR133" s="73" t="e">
        <f xml:space="preserve"> _xlfn.TEXTJOIN(" ", FALSE,#REF!)</f>
        <v>#REF!</v>
      </c>
      <c r="BS133" s="122"/>
      <c r="BT133" s="71" t="s">
        <v>261</v>
      </c>
      <c r="BU133" s="73" t="e">
        <f xml:space="preserve"> _xlfn.TEXTJOIN(" ", FALSE,#REF!)</f>
        <v>#REF!</v>
      </c>
      <c r="BV133" s="122"/>
      <c r="BW133" s="71" t="s">
        <v>262</v>
      </c>
      <c r="BX133" s="73" t="e">
        <f xml:space="preserve"> _xlfn.TEXTJOIN(" ", FALSE,#REF!)</f>
        <v>#REF!</v>
      </c>
      <c r="BY133" s="122"/>
      <c r="BZ133" s="71" t="s">
        <v>263</v>
      </c>
      <c r="CA133" s="73" t="e">
        <f xml:space="preserve"> _xlfn.TEXTJOIN(" ", FALSE,#REF!)</f>
        <v>#REF!</v>
      </c>
      <c r="CB133" s="122"/>
      <c r="CC133" s="71" t="s">
        <v>264</v>
      </c>
      <c r="CD133" s="73" t="e">
        <f xml:space="preserve"> _xlfn.TEXTJOIN(" ", FALSE,#REF!)</f>
        <v>#REF!</v>
      </c>
      <c r="CE133" s="122"/>
      <c r="CF133" s="71" t="s">
        <v>265</v>
      </c>
      <c r="CG133" s="73" t="e">
        <f xml:space="preserve"> _xlfn.TEXTJOIN(" ", FALSE,#REF!)</f>
        <v>#REF!</v>
      </c>
      <c r="CH133" s="122"/>
      <c r="CI133" s="74" t="s">
        <v>278</v>
      </c>
      <c r="CJ133" s="73" t="e">
        <f xml:space="preserve"> _xlfn.TEXTJOIN(" ", FALSE,#REF!)</f>
        <v>#REF!</v>
      </c>
      <c r="CK133" s="65" t="s">
        <v>277</v>
      </c>
      <c r="CL133" s="70" t="e">
        <f t="shared" si="10"/>
        <v>#REF!</v>
      </c>
      <c r="CM133" s="64" t="s">
        <v>267</v>
      </c>
      <c r="CN133" s="122"/>
      <c r="CO133" s="71" t="s">
        <v>268</v>
      </c>
      <c r="CP133" s="73" t="e">
        <f xml:space="preserve"> _xlfn.TEXTJOIN(" ", FALSE,#REF!)</f>
        <v>#REF!</v>
      </c>
      <c r="CQ133" s="122"/>
      <c r="CR133" s="71" t="s">
        <v>269</v>
      </c>
      <c r="CS133" s="73" t="e">
        <f xml:space="preserve"> _xlfn.TEXTJOIN(" ", FALSE,#REF!)</f>
        <v>#REF!</v>
      </c>
      <c r="CT133" s="122"/>
      <c r="CU133" s="71" t="s">
        <v>270</v>
      </c>
      <c r="CV133" s="72" t="e">
        <f xml:space="preserve"> _xlfn.TEXTJOIN(" ", FALSE,#REF!)</f>
        <v>#REF!</v>
      </c>
      <c r="CW133" s="122"/>
      <c r="CX133" s="71" t="s">
        <v>271</v>
      </c>
      <c r="CY133" s="72" t="e">
        <f xml:space="preserve"> _xlfn.TEXTJOIN(" ", FALSE,#REF!)</f>
        <v>#REF!</v>
      </c>
      <c r="CZ133" s="122"/>
      <c r="DA133" s="71" t="s">
        <v>272</v>
      </c>
      <c r="DB133" s="73" t="e">
        <f xml:space="preserve"> _xlfn.TEXTJOIN(" ", FALSE,#REF!)</f>
        <v>#REF!</v>
      </c>
      <c r="DC133" s="65" t="s">
        <v>277</v>
      </c>
      <c r="DD133" s="70" t="e">
        <f t="shared" si="11"/>
        <v>#REF!</v>
      </c>
      <c r="DE133" s="64" t="s">
        <v>273</v>
      </c>
      <c r="DF133" s="122"/>
      <c r="DG133" s="71" t="s">
        <v>274</v>
      </c>
      <c r="DH133" s="72" t="e">
        <f xml:space="preserve"> _xlfn.TEXTJOIN(" ", FALSE,#REF!)</f>
        <v>#REF!</v>
      </c>
      <c r="DI133" s="122"/>
      <c r="DJ133" s="71" t="s">
        <v>275</v>
      </c>
      <c r="DK133" s="73" t="e">
        <f xml:space="preserve"> _xlfn.TEXTJOIN(" ", FALSE,#REF!)</f>
        <v>#REF!</v>
      </c>
      <c r="DL133" s="65" t="s">
        <v>277</v>
      </c>
      <c r="DM133" s="70" t="e">
        <f t="shared" si="12"/>
        <v>#REF!</v>
      </c>
      <c r="DN133" s="70" t="e">
        <f t="shared" si="13"/>
        <v>#REF!</v>
      </c>
    </row>
    <row r="134" spans="1:118" ht="108" customHeight="1">
      <c r="A134" s="122" t="e">
        <f>Summary!A134</f>
        <v>#REF!</v>
      </c>
      <c r="B134" s="64" t="s">
        <v>233</v>
      </c>
      <c r="C134" s="65" t="e">
        <f>Summary!B134</f>
        <v>#REF!</v>
      </c>
      <c r="D134" s="122"/>
      <c r="E134" s="64" t="s">
        <v>235</v>
      </c>
      <c r="F134" s="132" t="e">
        <f>Summary!C134</f>
        <v>#REF!</v>
      </c>
      <c r="G134" s="64" t="s">
        <v>236</v>
      </c>
      <c r="H134" s="132" t="e">
        <f>Summary!D134</f>
        <v>#REF!</v>
      </c>
      <c r="I134" s="64" t="s">
        <v>237</v>
      </c>
      <c r="J134" s="66">
        <f>Summary!E134</f>
        <v>6</v>
      </c>
      <c r="K134" s="64" t="s">
        <v>238</v>
      </c>
      <c r="L134" s="132" t="e">
        <f>Summary!F134</f>
        <v>#REF!</v>
      </c>
      <c r="M134" s="64" t="s">
        <v>239</v>
      </c>
      <c r="N134" s="132" t="e">
        <f>Summary!G134</f>
        <v>#REF!</v>
      </c>
      <c r="O134" s="64" t="s">
        <v>240</v>
      </c>
      <c r="P134" s="132" t="e">
        <f>Summary!H134</f>
        <v>#REF!</v>
      </c>
      <c r="Q134" s="65" t="s">
        <v>277</v>
      </c>
      <c r="R134" s="70" t="e">
        <f t="shared" si="7"/>
        <v>#REF!</v>
      </c>
      <c r="S134" s="64" t="s">
        <v>243</v>
      </c>
      <c r="T134" s="122"/>
      <c r="U134" s="71" t="s">
        <v>244</v>
      </c>
      <c r="V134" s="72" t="e">
        <f xml:space="preserve"> _xlfn.TEXTJOIN(" ", FALSE,#REF!)</f>
        <v>#REF!</v>
      </c>
      <c r="W134" s="122"/>
      <c r="X134" s="71" t="s">
        <v>245</v>
      </c>
      <c r="Y134" s="72" t="e">
        <f xml:space="preserve"> _xlfn.TEXTJOIN(" ", FALSE,#REF!)</f>
        <v>#REF!</v>
      </c>
      <c r="Z134" s="122"/>
      <c r="AA134" s="71" t="s">
        <v>246</v>
      </c>
      <c r="AB134" s="72" t="e">
        <f xml:space="preserve"> _xlfn.TEXTJOIN(" ", FALSE,#REF!)</f>
        <v>#REF!</v>
      </c>
      <c r="AC134" s="122"/>
      <c r="AD134" s="71" t="s">
        <v>247</v>
      </c>
      <c r="AE134" s="72" t="e">
        <f xml:space="preserve"> _xlfn.TEXTJOIN(" ", FALSE,#REF!)</f>
        <v>#REF!</v>
      </c>
      <c r="AF134" s="122"/>
      <c r="AG134" s="71" t="s">
        <v>248</v>
      </c>
      <c r="AH134" s="73" t="e">
        <f xml:space="preserve"> _xlfn.TEXTJOIN(" ", FALSE,#REF!)</f>
        <v>#REF!</v>
      </c>
      <c r="AI134" s="122"/>
      <c r="AJ134" s="71" t="s">
        <v>249</v>
      </c>
      <c r="AK134" s="73" t="e">
        <f xml:space="preserve"> _xlfn.TEXTJOIN(" ", FALSE,#REF!)</f>
        <v>#REF!</v>
      </c>
      <c r="AL134" s="122"/>
      <c r="AM134" s="71" t="s">
        <v>250</v>
      </c>
      <c r="AN134" s="73" t="e">
        <f xml:space="preserve"> _xlfn.TEXTJOIN(" ", FALSE,#REF!)</f>
        <v>#REF!</v>
      </c>
      <c r="AO134" s="122"/>
      <c r="AP134" s="71" t="s">
        <v>251</v>
      </c>
      <c r="AQ134" s="72" t="e">
        <f xml:space="preserve"> _xlfn.TEXTJOIN(" ", FALSE,#REF!)</f>
        <v>#REF!</v>
      </c>
      <c r="AR134" s="122"/>
      <c r="AS134" s="71" t="s">
        <v>252</v>
      </c>
      <c r="AT134" s="72" t="e">
        <f xml:space="preserve"> _xlfn.TEXTJOIN(" ", FALSE,#REF!)</f>
        <v>#REF!</v>
      </c>
      <c r="AU134" s="122"/>
      <c r="AV134" s="71" t="s">
        <v>253</v>
      </c>
      <c r="AW134" s="73" t="e">
        <f xml:space="preserve"> _xlfn.TEXTJOIN(" ", FALSE,#REF!)</f>
        <v>#REF!</v>
      </c>
      <c r="AX134" s="122"/>
      <c r="AY134" s="71" t="s">
        <v>254</v>
      </c>
      <c r="AZ134" s="72" t="e">
        <f xml:space="preserve"> _xlfn.TEXTJOIN(" ", FALSE,#REF!)</f>
        <v>#REF!</v>
      </c>
      <c r="BA134" s="122"/>
      <c r="BB134" s="71" t="s">
        <v>255</v>
      </c>
      <c r="BC134" s="72" t="e">
        <f xml:space="preserve"> _xlfn.TEXTJOIN(" ", FALSE,#REF!)</f>
        <v>#REF!</v>
      </c>
      <c r="BD134" s="122"/>
      <c r="BE134" s="71" t="s">
        <v>256</v>
      </c>
      <c r="BF134" s="72" t="e">
        <f xml:space="preserve"> _xlfn.TEXTJOIN(" ", FALSE,#REF!)</f>
        <v>#REF!</v>
      </c>
      <c r="BG134" s="65" t="s">
        <v>277</v>
      </c>
      <c r="BH134" s="70" t="e">
        <f t="shared" si="8"/>
        <v>#REF!</v>
      </c>
      <c r="BI134" s="64" t="s">
        <v>257</v>
      </c>
      <c r="BJ134" s="122"/>
      <c r="BK134" s="71" t="s">
        <v>258</v>
      </c>
      <c r="BL134" s="74" t="str">
        <f>_xlfn.TEXTJOIN(" ", FALSE, 'Task 2a - Mitigating the Proble'!U134:AC134)</f>
        <v xml:space="preserve">1 0 0 0 1 1 0 0 </v>
      </c>
      <c r="BM134" s="65" t="s">
        <v>277</v>
      </c>
      <c r="BN134" s="70" t="str">
        <f t="shared" si="9"/>
        <v>[Details for Task 2a:]  /Question 12: 1 0 0 0 1 1 0 0  .</v>
      </c>
      <c r="BO134" s="64" t="s">
        <v>259</v>
      </c>
      <c r="BP134" s="122"/>
      <c r="BQ134" s="71" t="s">
        <v>260</v>
      </c>
      <c r="BR134" s="73" t="e">
        <f xml:space="preserve"> _xlfn.TEXTJOIN(" ", FALSE,#REF!)</f>
        <v>#REF!</v>
      </c>
      <c r="BS134" s="122"/>
      <c r="BT134" s="71" t="s">
        <v>261</v>
      </c>
      <c r="BU134" s="73" t="e">
        <f xml:space="preserve"> _xlfn.TEXTJOIN(" ", FALSE,#REF!)</f>
        <v>#REF!</v>
      </c>
      <c r="BV134" s="122"/>
      <c r="BW134" s="71" t="s">
        <v>262</v>
      </c>
      <c r="BX134" s="73" t="e">
        <f xml:space="preserve"> _xlfn.TEXTJOIN(" ", FALSE,#REF!)</f>
        <v>#REF!</v>
      </c>
      <c r="BY134" s="122"/>
      <c r="BZ134" s="71" t="s">
        <v>263</v>
      </c>
      <c r="CA134" s="73" t="e">
        <f xml:space="preserve"> _xlfn.TEXTJOIN(" ", FALSE,#REF!)</f>
        <v>#REF!</v>
      </c>
      <c r="CB134" s="122"/>
      <c r="CC134" s="71" t="s">
        <v>264</v>
      </c>
      <c r="CD134" s="73" t="e">
        <f xml:space="preserve"> _xlfn.TEXTJOIN(" ", FALSE,#REF!)</f>
        <v>#REF!</v>
      </c>
      <c r="CE134" s="122"/>
      <c r="CF134" s="71" t="s">
        <v>265</v>
      </c>
      <c r="CG134" s="73" t="e">
        <f xml:space="preserve"> _xlfn.TEXTJOIN(" ", FALSE,#REF!)</f>
        <v>#REF!</v>
      </c>
      <c r="CH134" s="122"/>
      <c r="CI134" s="74" t="s">
        <v>278</v>
      </c>
      <c r="CJ134" s="73" t="e">
        <f xml:space="preserve"> _xlfn.TEXTJOIN(" ", FALSE,#REF!)</f>
        <v>#REF!</v>
      </c>
      <c r="CK134" s="65" t="s">
        <v>277</v>
      </c>
      <c r="CL134" s="70" t="e">
        <f t="shared" si="10"/>
        <v>#REF!</v>
      </c>
      <c r="CM134" s="64" t="s">
        <v>267</v>
      </c>
      <c r="CN134" s="122"/>
      <c r="CO134" s="71" t="s">
        <v>268</v>
      </c>
      <c r="CP134" s="73" t="e">
        <f xml:space="preserve"> _xlfn.TEXTJOIN(" ", FALSE,#REF!)</f>
        <v>#REF!</v>
      </c>
      <c r="CQ134" s="122"/>
      <c r="CR134" s="71" t="s">
        <v>269</v>
      </c>
      <c r="CS134" s="73" t="e">
        <f xml:space="preserve"> _xlfn.TEXTJOIN(" ", FALSE,#REF!)</f>
        <v>#REF!</v>
      </c>
      <c r="CT134" s="122"/>
      <c r="CU134" s="71" t="s">
        <v>270</v>
      </c>
      <c r="CV134" s="72" t="e">
        <f xml:space="preserve"> _xlfn.TEXTJOIN(" ", FALSE,#REF!)</f>
        <v>#REF!</v>
      </c>
      <c r="CW134" s="122"/>
      <c r="CX134" s="71" t="s">
        <v>271</v>
      </c>
      <c r="CY134" s="72" t="e">
        <f xml:space="preserve"> _xlfn.TEXTJOIN(" ", FALSE,#REF!)</f>
        <v>#REF!</v>
      </c>
      <c r="CZ134" s="122"/>
      <c r="DA134" s="71" t="s">
        <v>272</v>
      </c>
      <c r="DB134" s="73" t="e">
        <f xml:space="preserve"> _xlfn.TEXTJOIN(" ", FALSE,#REF!)</f>
        <v>#REF!</v>
      </c>
      <c r="DC134" s="65" t="s">
        <v>277</v>
      </c>
      <c r="DD134" s="70" t="e">
        <f t="shared" si="11"/>
        <v>#REF!</v>
      </c>
      <c r="DE134" s="64" t="s">
        <v>273</v>
      </c>
      <c r="DF134" s="122"/>
      <c r="DG134" s="71" t="s">
        <v>274</v>
      </c>
      <c r="DH134" s="72" t="e">
        <f xml:space="preserve"> _xlfn.TEXTJOIN(" ", FALSE,#REF!)</f>
        <v>#REF!</v>
      </c>
      <c r="DI134" s="122"/>
      <c r="DJ134" s="71" t="s">
        <v>275</v>
      </c>
      <c r="DK134" s="73" t="e">
        <f xml:space="preserve"> _xlfn.TEXTJOIN(" ", FALSE,#REF!)</f>
        <v>#REF!</v>
      </c>
      <c r="DL134" s="65" t="s">
        <v>277</v>
      </c>
      <c r="DM134" s="70" t="e">
        <f t="shared" si="12"/>
        <v>#REF!</v>
      </c>
      <c r="DN134" s="70" t="e">
        <f t="shared" si="13"/>
        <v>#REF!</v>
      </c>
    </row>
    <row r="135" spans="1:118" ht="108" customHeight="1">
      <c r="A135" s="122" t="e">
        <f>Summary!A135</f>
        <v>#REF!</v>
      </c>
      <c r="B135" s="64" t="s">
        <v>233</v>
      </c>
      <c r="C135" s="65" t="e">
        <f>Summary!B135</f>
        <v>#REF!</v>
      </c>
      <c r="D135" s="122"/>
      <c r="E135" s="64" t="s">
        <v>235</v>
      </c>
      <c r="F135" s="132" t="e">
        <f>Summary!C135</f>
        <v>#REF!</v>
      </c>
      <c r="G135" s="64" t="s">
        <v>236</v>
      </c>
      <c r="H135" s="132" t="e">
        <f>Summary!D135</f>
        <v>#REF!</v>
      </c>
      <c r="I135" s="64" t="s">
        <v>237</v>
      </c>
      <c r="J135" s="66">
        <f>Summary!E135</f>
        <v>5</v>
      </c>
      <c r="K135" s="64" t="s">
        <v>238</v>
      </c>
      <c r="L135" s="132" t="e">
        <f>Summary!F135</f>
        <v>#REF!</v>
      </c>
      <c r="M135" s="64" t="s">
        <v>239</v>
      </c>
      <c r="N135" s="132" t="e">
        <f>Summary!G135</f>
        <v>#REF!</v>
      </c>
      <c r="O135" s="64" t="s">
        <v>240</v>
      </c>
      <c r="P135" s="132" t="e">
        <f>Summary!H135</f>
        <v>#REF!</v>
      </c>
      <c r="Q135" s="65" t="s">
        <v>277</v>
      </c>
      <c r="R135" s="70" t="e">
        <f t="shared" si="7"/>
        <v>#REF!</v>
      </c>
      <c r="S135" s="64" t="s">
        <v>243</v>
      </c>
      <c r="T135" s="122"/>
      <c r="U135" s="71" t="s">
        <v>244</v>
      </c>
      <c r="V135" s="72" t="e">
        <f xml:space="preserve"> _xlfn.TEXTJOIN(" ", FALSE,#REF!)</f>
        <v>#REF!</v>
      </c>
      <c r="W135" s="122"/>
      <c r="X135" s="71" t="s">
        <v>245</v>
      </c>
      <c r="Y135" s="72" t="e">
        <f xml:space="preserve"> _xlfn.TEXTJOIN(" ", FALSE,#REF!)</f>
        <v>#REF!</v>
      </c>
      <c r="Z135" s="122"/>
      <c r="AA135" s="71" t="s">
        <v>246</v>
      </c>
      <c r="AB135" s="72" t="e">
        <f xml:space="preserve"> _xlfn.TEXTJOIN(" ", FALSE,#REF!)</f>
        <v>#REF!</v>
      </c>
      <c r="AC135" s="122"/>
      <c r="AD135" s="71" t="s">
        <v>247</v>
      </c>
      <c r="AE135" s="72" t="e">
        <f xml:space="preserve"> _xlfn.TEXTJOIN(" ", FALSE,#REF!)</f>
        <v>#REF!</v>
      </c>
      <c r="AF135" s="122"/>
      <c r="AG135" s="71" t="s">
        <v>248</v>
      </c>
      <c r="AH135" s="73" t="e">
        <f xml:space="preserve"> _xlfn.TEXTJOIN(" ", FALSE,#REF!)</f>
        <v>#REF!</v>
      </c>
      <c r="AI135" s="122"/>
      <c r="AJ135" s="71" t="s">
        <v>249</v>
      </c>
      <c r="AK135" s="73" t="e">
        <f xml:space="preserve"> _xlfn.TEXTJOIN(" ", FALSE,#REF!)</f>
        <v>#REF!</v>
      </c>
      <c r="AL135" s="122"/>
      <c r="AM135" s="71" t="s">
        <v>250</v>
      </c>
      <c r="AN135" s="73" t="e">
        <f xml:space="preserve"> _xlfn.TEXTJOIN(" ", FALSE,#REF!)</f>
        <v>#REF!</v>
      </c>
      <c r="AO135" s="122"/>
      <c r="AP135" s="71" t="s">
        <v>251</v>
      </c>
      <c r="AQ135" s="72" t="e">
        <f xml:space="preserve"> _xlfn.TEXTJOIN(" ", FALSE,#REF!)</f>
        <v>#REF!</v>
      </c>
      <c r="AR135" s="122"/>
      <c r="AS135" s="71" t="s">
        <v>252</v>
      </c>
      <c r="AT135" s="72" t="e">
        <f xml:space="preserve"> _xlfn.TEXTJOIN(" ", FALSE,#REF!)</f>
        <v>#REF!</v>
      </c>
      <c r="AU135" s="122"/>
      <c r="AV135" s="71" t="s">
        <v>253</v>
      </c>
      <c r="AW135" s="73" t="e">
        <f xml:space="preserve"> _xlfn.TEXTJOIN(" ", FALSE,#REF!)</f>
        <v>#REF!</v>
      </c>
      <c r="AX135" s="122"/>
      <c r="AY135" s="71" t="s">
        <v>254</v>
      </c>
      <c r="AZ135" s="72" t="e">
        <f xml:space="preserve"> _xlfn.TEXTJOIN(" ", FALSE,#REF!)</f>
        <v>#REF!</v>
      </c>
      <c r="BA135" s="122"/>
      <c r="BB135" s="71" t="s">
        <v>255</v>
      </c>
      <c r="BC135" s="72" t="e">
        <f xml:space="preserve"> _xlfn.TEXTJOIN(" ", FALSE,#REF!)</f>
        <v>#REF!</v>
      </c>
      <c r="BD135" s="122"/>
      <c r="BE135" s="71" t="s">
        <v>256</v>
      </c>
      <c r="BF135" s="72" t="e">
        <f xml:space="preserve"> _xlfn.TEXTJOIN(" ", FALSE,#REF!)</f>
        <v>#REF!</v>
      </c>
      <c r="BG135" s="65" t="s">
        <v>277</v>
      </c>
      <c r="BH135" s="70" t="e">
        <f t="shared" si="8"/>
        <v>#REF!</v>
      </c>
      <c r="BI135" s="64" t="s">
        <v>257</v>
      </c>
      <c r="BJ135" s="122"/>
      <c r="BK135" s="71" t="s">
        <v>258</v>
      </c>
      <c r="BL135" s="74" t="str">
        <f>_xlfn.TEXTJOIN(" ", FALSE, 'Task 2a - Mitigating the Proble'!U135:AC135)</f>
        <v xml:space="preserve">1 0 0 0 1 0 0 0 </v>
      </c>
      <c r="BM135" s="65" t="s">
        <v>277</v>
      </c>
      <c r="BN135" s="70" t="str">
        <f t="shared" si="9"/>
        <v>[Details for Task 2a:]  /Question 12: 1 0 0 0 1 0 0 0  .</v>
      </c>
      <c r="BO135" s="64" t="s">
        <v>259</v>
      </c>
      <c r="BP135" s="122"/>
      <c r="BQ135" s="71" t="s">
        <v>260</v>
      </c>
      <c r="BR135" s="73" t="e">
        <f xml:space="preserve"> _xlfn.TEXTJOIN(" ", FALSE,#REF!)</f>
        <v>#REF!</v>
      </c>
      <c r="BS135" s="122"/>
      <c r="BT135" s="71" t="s">
        <v>261</v>
      </c>
      <c r="BU135" s="73" t="e">
        <f xml:space="preserve"> _xlfn.TEXTJOIN(" ", FALSE,#REF!)</f>
        <v>#REF!</v>
      </c>
      <c r="BV135" s="122"/>
      <c r="BW135" s="71" t="s">
        <v>262</v>
      </c>
      <c r="BX135" s="73" t="e">
        <f xml:space="preserve"> _xlfn.TEXTJOIN(" ", FALSE,#REF!)</f>
        <v>#REF!</v>
      </c>
      <c r="BY135" s="122"/>
      <c r="BZ135" s="71" t="s">
        <v>263</v>
      </c>
      <c r="CA135" s="73" t="e">
        <f xml:space="preserve"> _xlfn.TEXTJOIN(" ", FALSE,#REF!)</f>
        <v>#REF!</v>
      </c>
      <c r="CB135" s="122"/>
      <c r="CC135" s="71" t="s">
        <v>264</v>
      </c>
      <c r="CD135" s="73" t="e">
        <f xml:space="preserve"> _xlfn.TEXTJOIN(" ", FALSE,#REF!)</f>
        <v>#REF!</v>
      </c>
      <c r="CE135" s="122"/>
      <c r="CF135" s="71" t="s">
        <v>265</v>
      </c>
      <c r="CG135" s="73" t="e">
        <f xml:space="preserve"> _xlfn.TEXTJOIN(" ", FALSE,#REF!)</f>
        <v>#REF!</v>
      </c>
      <c r="CH135" s="122"/>
      <c r="CI135" s="74" t="s">
        <v>278</v>
      </c>
      <c r="CJ135" s="73" t="e">
        <f xml:space="preserve"> _xlfn.TEXTJOIN(" ", FALSE,#REF!)</f>
        <v>#REF!</v>
      </c>
      <c r="CK135" s="65" t="s">
        <v>277</v>
      </c>
      <c r="CL135" s="70" t="e">
        <f t="shared" si="10"/>
        <v>#REF!</v>
      </c>
      <c r="CM135" s="64" t="s">
        <v>267</v>
      </c>
      <c r="CN135" s="122"/>
      <c r="CO135" s="71" t="s">
        <v>268</v>
      </c>
      <c r="CP135" s="73" t="e">
        <f xml:space="preserve"> _xlfn.TEXTJOIN(" ", FALSE,#REF!)</f>
        <v>#REF!</v>
      </c>
      <c r="CQ135" s="122"/>
      <c r="CR135" s="71" t="s">
        <v>269</v>
      </c>
      <c r="CS135" s="73" t="e">
        <f xml:space="preserve"> _xlfn.TEXTJOIN(" ", FALSE,#REF!)</f>
        <v>#REF!</v>
      </c>
      <c r="CT135" s="122"/>
      <c r="CU135" s="71" t="s">
        <v>270</v>
      </c>
      <c r="CV135" s="72" t="e">
        <f xml:space="preserve"> _xlfn.TEXTJOIN(" ", FALSE,#REF!)</f>
        <v>#REF!</v>
      </c>
      <c r="CW135" s="122"/>
      <c r="CX135" s="71" t="s">
        <v>271</v>
      </c>
      <c r="CY135" s="72" t="e">
        <f xml:space="preserve"> _xlfn.TEXTJOIN(" ", FALSE,#REF!)</f>
        <v>#REF!</v>
      </c>
      <c r="CZ135" s="122"/>
      <c r="DA135" s="71" t="s">
        <v>272</v>
      </c>
      <c r="DB135" s="73" t="e">
        <f xml:space="preserve"> _xlfn.TEXTJOIN(" ", FALSE,#REF!)</f>
        <v>#REF!</v>
      </c>
      <c r="DC135" s="65" t="s">
        <v>277</v>
      </c>
      <c r="DD135" s="70" t="e">
        <f t="shared" si="11"/>
        <v>#REF!</v>
      </c>
      <c r="DE135" s="64" t="s">
        <v>273</v>
      </c>
      <c r="DF135" s="122"/>
      <c r="DG135" s="71" t="s">
        <v>274</v>
      </c>
      <c r="DH135" s="72" t="e">
        <f xml:space="preserve"> _xlfn.TEXTJOIN(" ", FALSE,#REF!)</f>
        <v>#REF!</v>
      </c>
      <c r="DI135" s="122"/>
      <c r="DJ135" s="71" t="s">
        <v>275</v>
      </c>
      <c r="DK135" s="73" t="e">
        <f xml:space="preserve"> _xlfn.TEXTJOIN(" ", FALSE,#REF!)</f>
        <v>#REF!</v>
      </c>
      <c r="DL135" s="65" t="s">
        <v>277</v>
      </c>
      <c r="DM135" s="70" t="e">
        <f t="shared" si="12"/>
        <v>#REF!</v>
      </c>
      <c r="DN135" s="70" t="e">
        <f t="shared" si="13"/>
        <v>#REF!</v>
      </c>
    </row>
    <row r="136" spans="1:118" ht="108" customHeight="1">
      <c r="A136" s="122" t="e">
        <f>Summary!A136</f>
        <v>#REF!</v>
      </c>
      <c r="B136" s="64" t="s">
        <v>233</v>
      </c>
      <c r="C136" s="65" t="e">
        <f>Summary!B136</f>
        <v>#REF!</v>
      </c>
      <c r="D136" s="122"/>
      <c r="E136" s="64" t="s">
        <v>235</v>
      </c>
      <c r="F136" s="132" t="e">
        <f>Summary!C136</f>
        <v>#REF!</v>
      </c>
      <c r="G136" s="64" t="s">
        <v>236</v>
      </c>
      <c r="H136" s="132" t="e">
        <f>Summary!D136</f>
        <v>#REF!</v>
      </c>
      <c r="I136" s="64" t="s">
        <v>237</v>
      </c>
      <c r="J136" s="66">
        <f>Summary!E136</f>
        <v>6</v>
      </c>
      <c r="K136" s="64" t="s">
        <v>238</v>
      </c>
      <c r="L136" s="132" t="e">
        <f>Summary!F136</f>
        <v>#REF!</v>
      </c>
      <c r="M136" s="64" t="s">
        <v>239</v>
      </c>
      <c r="N136" s="132" t="e">
        <f>Summary!G136</f>
        <v>#REF!</v>
      </c>
      <c r="O136" s="64" t="s">
        <v>240</v>
      </c>
      <c r="P136" s="132" t="e">
        <f>Summary!H136</f>
        <v>#REF!</v>
      </c>
      <c r="Q136" s="65" t="s">
        <v>277</v>
      </c>
      <c r="R136" s="70" t="e">
        <f t="shared" ref="R136:R199" si="14">_xlfn.TEXTJOIN(" ", FALSE, B136:Q136)</f>
        <v>#REF!</v>
      </c>
      <c r="S136" s="64" t="s">
        <v>243</v>
      </c>
      <c r="T136" s="122"/>
      <c r="U136" s="71" t="s">
        <v>244</v>
      </c>
      <c r="V136" s="72" t="e">
        <f xml:space="preserve"> _xlfn.TEXTJOIN(" ", FALSE,#REF!)</f>
        <v>#REF!</v>
      </c>
      <c r="W136" s="122"/>
      <c r="X136" s="71" t="s">
        <v>245</v>
      </c>
      <c r="Y136" s="72" t="e">
        <f xml:space="preserve"> _xlfn.TEXTJOIN(" ", FALSE,#REF!)</f>
        <v>#REF!</v>
      </c>
      <c r="Z136" s="122"/>
      <c r="AA136" s="71" t="s">
        <v>246</v>
      </c>
      <c r="AB136" s="72" t="e">
        <f xml:space="preserve"> _xlfn.TEXTJOIN(" ", FALSE,#REF!)</f>
        <v>#REF!</v>
      </c>
      <c r="AC136" s="122"/>
      <c r="AD136" s="71" t="s">
        <v>247</v>
      </c>
      <c r="AE136" s="72" t="e">
        <f xml:space="preserve"> _xlfn.TEXTJOIN(" ", FALSE,#REF!)</f>
        <v>#REF!</v>
      </c>
      <c r="AF136" s="122"/>
      <c r="AG136" s="71" t="s">
        <v>248</v>
      </c>
      <c r="AH136" s="73" t="e">
        <f xml:space="preserve"> _xlfn.TEXTJOIN(" ", FALSE,#REF!)</f>
        <v>#REF!</v>
      </c>
      <c r="AI136" s="122"/>
      <c r="AJ136" s="71" t="s">
        <v>249</v>
      </c>
      <c r="AK136" s="73" t="e">
        <f xml:space="preserve"> _xlfn.TEXTJOIN(" ", FALSE,#REF!)</f>
        <v>#REF!</v>
      </c>
      <c r="AL136" s="122"/>
      <c r="AM136" s="71" t="s">
        <v>250</v>
      </c>
      <c r="AN136" s="73" t="e">
        <f xml:space="preserve"> _xlfn.TEXTJOIN(" ", FALSE,#REF!)</f>
        <v>#REF!</v>
      </c>
      <c r="AO136" s="122"/>
      <c r="AP136" s="71" t="s">
        <v>251</v>
      </c>
      <c r="AQ136" s="72" t="e">
        <f xml:space="preserve"> _xlfn.TEXTJOIN(" ", FALSE,#REF!)</f>
        <v>#REF!</v>
      </c>
      <c r="AR136" s="122"/>
      <c r="AS136" s="71" t="s">
        <v>252</v>
      </c>
      <c r="AT136" s="72" t="e">
        <f xml:space="preserve"> _xlfn.TEXTJOIN(" ", FALSE,#REF!)</f>
        <v>#REF!</v>
      </c>
      <c r="AU136" s="122"/>
      <c r="AV136" s="71" t="s">
        <v>253</v>
      </c>
      <c r="AW136" s="73" t="e">
        <f xml:space="preserve"> _xlfn.TEXTJOIN(" ", FALSE,#REF!)</f>
        <v>#REF!</v>
      </c>
      <c r="AX136" s="122"/>
      <c r="AY136" s="71" t="s">
        <v>254</v>
      </c>
      <c r="AZ136" s="72" t="e">
        <f xml:space="preserve"> _xlfn.TEXTJOIN(" ", FALSE,#REF!)</f>
        <v>#REF!</v>
      </c>
      <c r="BA136" s="122"/>
      <c r="BB136" s="71" t="s">
        <v>255</v>
      </c>
      <c r="BC136" s="72" t="e">
        <f xml:space="preserve"> _xlfn.TEXTJOIN(" ", FALSE,#REF!)</f>
        <v>#REF!</v>
      </c>
      <c r="BD136" s="122"/>
      <c r="BE136" s="71" t="s">
        <v>256</v>
      </c>
      <c r="BF136" s="72" t="e">
        <f xml:space="preserve"> _xlfn.TEXTJOIN(" ", FALSE,#REF!)</f>
        <v>#REF!</v>
      </c>
      <c r="BG136" s="65" t="s">
        <v>277</v>
      </c>
      <c r="BH136" s="70" t="e">
        <f t="shared" ref="BH136:BH199" si="15">_xlfn.TEXTJOIN(" ", FALSE, S136:BG136)</f>
        <v>#REF!</v>
      </c>
      <c r="BI136" s="64" t="s">
        <v>257</v>
      </c>
      <c r="BJ136" s="122"/>
      <c r="BK136" s="71" t="s">
        <v>258</v>
      </c>
      <c r="BL136" s="74" t="str">
        <f>_xlfn.TEXTJOIN(" ", FALSE, 'Task 2a - Mitigating the Proble'!U136:AC136)</f>
        <v xml:space="preserve">1 1 0 1 0 1 0 0 </v>
      </c>
      <c r="BM136" s="65" t="s">
        <v>277</v>
      </c>
      <c r="BN136" s="70" t="str">
        <f t="shared" ref="BN136:BN199" si="16">_xlfn.TEXTJOIN(" ", FALSE, BI136:BM136)</f>
        <v>[Details for Task 2a:]  /Question 12: 1 1 0 1 0 1 0 0  .</v>
      </c>
      <c r="BO136" s="64" t="s">
        <v>259</v>
      </c>
      <c r="BP136" s="122"/>
      <c r="BQ136" s="71" t="s">
        <v>260</v>
      </c>
      <c r="BR136" s="73" t="e">
        <f xml:space="preserve"> _xlfn.TEXTJOIN(" ", FALSE,#REF!)</f>
        <v>#REF!</v>
      </c>
      <c r="BS136" s="122"/>
      <c r="BT136" s="71" t="s">
        <v>261</v>
      </c>
      <c r="BU136" s="73" t="e">
        <f xml:space="preserve"> _xlfn.TEXTJOIN(" ", FALSE,#REF!)</f>
        <v>#REF!</v>
      </c>
      <c r="BV136" s="122"/>
      <c r="BW136" s="71" t="s">
        <v>262</v>
      </c>
      <c r="BX136" s="73" t="e">
        <f xml:space="preserve"> _xlfn.TEXTJOIN(" ", FALSE,#REF!)</f>
        <v>#REF!</v>
      </c>
      <c r="BY136" s="122"/>
      <c r="BZ136" s="71" t="s">
        <v>263</v>
      </c>
      <c r="CA136" s="73" t="e">
        <f xml:space="preserve"> _xlfn.TEXTJOIN(" ", FALSE,#REF!)</f>
        <v>#REF!</v>
      </c>
      <c r="CB136" s="122"/>
      <c r="CC136" s="71" t="s">
        <v>264</v>
      </c>
      <c r="CD136" s="73" t="e">
        <f xml:space="preserve"> _xlfn.TEXTJOIN(" ", FALSE,#REF!)</f>
        <v>#REF!</v>
      </c>
      <c r="CE136" s="122"/>
      <c r="CF136" s="71" t="s">
        <v>265</v>
      </c>
      <c r="CG136" s="73" t="e">
        <f xml:space="preserve"> _xlfn.TEXTJOIN(" ", FALSE,#REF!)</f>
        <v>#REF!</v>
      </c>
      <c r="CH136" s="122"/>
      <c r="CI136" s="74" t="s">
        <v>278</v>
      </c>
      <c r="CJ136" s="73" t="e">
        <f xml:space="preserve"> _xlfn.TEXTJOIN(" ", FALSE,#REF!)</f>
        <v>#REF!</v>
      </c>
      <c r="CK136" s="65" t="s">
        <v>277</v>
      </c>
      <c r="CL136" s="70" t="e">
        <f t="shared" ref="CL136:CL199" si="17">_xlfn.TEXTJOIN(" ", FALSE, BO136:CK136)</f>
        <v>#REF!</v>
      </c>
      <c r="CM136" s="64" t="s">
        <v>267</v>
      </c>
      <c r="CN136" s="122"/>
      <c r="CO136" s="71" t="s">
        <v>268</v>
      </c>
      <c r="CP136" s="73" t="e">
        <f xml:space="preserve"> _xlfn.TEXTJOIN(" ", FALSE,#REF!)</f>
        <v>#REF!</v>
      </c>
      <c r="CQ136" s="122"/>
      <c r="CR136" s="71" t="s">
        <v>269</v>
      </c>
      <c r="CS136" s="73" t="e">
        <f xml:space="preserve"> _xlfn.TEXTJOIN(" ", FALSE,#REF!)</f>
        <v>#REF!</v>
      </c>
      <c r="CT136" s="122"/>
      <c r="CU136" s="71" t="s">
        <v>270</v>
      </c>
      <c r="CV136" s="72" t="e">
        <f xml:space="preserve"> _xlfn.TEXTJOIN(" ", FALSE,#REF!)</f>
        <v>#REF!</v>
      </c>
      <c r="CW136" s="122"/>
      <c r="CX136" s="71" t="s">
        <v>271</v>
      </c>
      <c r="CY136" s="72" t="e">
        <f xml:space="preserve"> _xlfn.TEXTJOIN(" ", FALSE,#REF!)</f>
        <v>#REF!</v>
      </c>
      <c r="CZ136" s="122"/>
      <c r="DA136" s="71" t="s">
        <v>272</v>
      </c>
      <c r="DB136" s="73" t="e">
        <f xml:space="preserve"> _xlfn.TEXTJOIN(" ", FALSE,#REF!)</f>
        <v>#REF!</v>
      </c>
      <c r="DC136" s="65" t="s">
        <v>277</v>
      </c>
      <c r="DD136" s="70" t="e">
        <f t="shared" ref="DD136:DD199" si="18">_xlfn.TEXTJOIN(" ", FALSE, CM136:DC136)</f>
        <v>#REF!</v>
      </c>
      <c r="DE136" s="64" t="s">
        <v>273</v>
      </c>
      <c r="DF136" s="122"/>
      <c r="DG136" s="71" t="s">
        <v>274</v>
      </c>
      <c r="DH136" s="72" t="e">
        <f xml:space="preserve"> _xlfn.TEXTJOIN(" ", FALSE,#REF!)</f>
        <v>#REF!</v>
      </c>
      <c r="DI136" s="122"/>
      <c r="DJ136" s="71" t="s">
        <v>275</v>
      </c>
      <c r="DK136" s="73" t="e">
        <f xml:space="preserve"> _xlfn.TEXTJOIN(" ", FALSE,#REF!)</f>
        <v>#REF!</v>
      </c>
      <c r="DL136" s="65" t="s">
        <v>277</v>
      </c>
      <c r="DM136" s="70" t="e">
        <f t="shared" ref="DM136:DM199" si="19">_xlfn.TEXTJOIN(" ", FALSE, DE136:DL136)</f>
        <v>#REF!</v>
      </c>
      <c r="DN136" s="70" t="e">
        <f t="shared" ref="DN136:DN199" si="20">_xlfn.TEXTJOIN(CHAR(10), FALSE, R136,BH136,BN136,CL136,DD136,DM136)</f>
        <v>#REF!</v>
      </c>
    </row>
    <row r="137" spans="1:118" ht="108" customHeight="1">
      <c r="A137" s="122" t="e">
        <f>Summary!A137</f>
        <v>#REF!</v>
      </c>
      <c r="B137" s="64" t="s">
        <v>233</v>
      </c>
      <c r="C137" s="65" t="e">
        <f>Summary!B137</f>
        <v>#REF!</v>
      </c>
      <c r="D137" s="122"/>
      <c r="E137" s="64" t="s">
        <v>235</v>
      </c>
      <c r="F137" s="132" t="e">
        <f>Summary!C137</f>
        <v>#REF!</v>
      </c>
      <c r="G137" s="64" t="s">
        <v>236</v>
      </c>
      <c r="H137" s="132" t="e">
        <f>Summary!D137</f>
        <v>#REF!</v>
      </c>
      <c r="I137" s="64" t="s">
        <v>237</v>
      </c>
      <c r="J137" s="66">
        <f>Summary!E137</f>
        <v>6</v>
      </c>
      <c r="K137" s="64" t="s">
        <v>238</v>
      </c>
      <c r="L137" s="132" t="e">
        <f>Summary!F137</f>
        <v>#REF!</v>
      </c>
      <c r="M137" s="64" t="s">
        <v>239</v>
      </c>
      <c r="N137" s="132" t="e">
        <f>Summary!G137</f>
        <v>#REF!</v>
      </c>
      <c r="O137" s="64" t="s">
        <v>240</v>
      </c>
      <c r="P137" s="132" t="e">
        <f>Summary!H137</f>
        <v>#REF!</v>
      </c>
      <c r="Q137" s="65" t="s">
        <v>277</v>
      </c>
      <c r="R137" s="70" t="e">
        <f t="shared" si="14"/>
        <v>#REF!</v>
      </c>
      <c r="S137" s="64" t="s">
        <v>243</v>
      </c>
      <c r="T137" s="122"/>
      <c r="U137" s="71" t="s">
        <v>244</v>
      </c>
      <c r="V137" s="72" t="e">
        <f xml:space="preserve"> _xlfn.TEXTJOIN(" ", FALSE,#REF!)</f>
        <v>#REF!</v>
      </c>
      <c r="W137" s="122"/>
      <c r="X137" s="71" t="s">
        <v>245</v>
      </c>
      <c r="Y137" s="72" t="e">
        <f xml:space="preserve"> _xlfn.TEXTJOIN(" ", FALSE,#REF!)</f>
        <v>#REF!</v>
      </c>
      <c r="Z137" s="122"/>
      <c r="AA137" s="71" t="s">
        <v>246</v>
      </c>
      <c r="AB137" s="72" t="e">
        <f xml:space="preserve"> _xlfn.TEXTJOIN(" ", FALSE,#REF!)</f>
        <v>#REF!</v>
      </c>
      <c r="AC137" s="122"/>
      <c r="AD137" s="71" t="s">
        <v>247</v>
      </c>
      <c r="AE137" s="72" t="e">
        <f xml:space="preserve"> _xlfn.TEXTJOIN(" ", FALSE,#REF!)</f>
        <v>#REF!</v>
      </c>
      <c r="AF137" s="122"/>
      <c r="AG137" s="71" t="s">
        <v>248</v>
      </c>
      <c r="AH137" s="73" t="e">
        <f xml:space="preserve"> _xlfn.TEXTJOIN(" ", FALSE,#REF!)</f>
        <v>#REF!</v>
      </c>
      <c r="AI137" s="122"/>
      <c r="AJ137" s="71" t="s">
        <v>249</v>
      </c>
      <c r="AK137" s="73" t="e">
        <f xml:space="preserve"> _xlfn.TEXTJOIN(" ", FALSE,#REF!)</f>
        <v>#REF!</v>
      </c>
      <c r="AL137" s="122"/>
      <c r="AM137" s="71" t="s">
        <v>250</v>
      </c>
      <c r="AN137" s="73" t="e">
        <f xml:space="preserve"> _xlfn.TEXTJOIN(" ", FALSE,#REF!)</f>
        <v>#REF!</v>
      </c>
      <c r="AO137" s="122"/>
      <c r="AP137" s="71" t="s">
        <v>251</v>
      </c>
      <c r="AQ137" s="72" t="e">
        <f xml:space="preserve"> _xlfn.TEXTJOIN(" ", FALSE,#REF!)</f>
        <v>#REF!</v>
      </c>
      <c r="AR137" s="122"/>
      <c r="AS137" s="71" t="s">
        <v>252</v>
      </c>
      <c r="AT137" s="72" t="e">
        <f xml:space="preserve"> _xlfn.TEXTJOIN(" ", FALSE,#REF!)</f>
        <v>#REF!</v>
      </c>
      <c r="AU137" s="122"/>
      <c r="AV137" s="71" t="s">
        <v>253</v>
      </c>
      <c r="AW137" s="73" t="e">
        <f xml:space="preserve"> _xlfn.TEXTJOIN(" ", FALSE,#REF!)</f>
        <v>#REF!</v>
      </c>
      <c r="AX137" s="122"/>
      <c r="AY137" s="71" t="s">
        <v>254</v>
      </c>
      <c r="AZ137" s="72" t="e">
        <f xml:space="preserve"> _xlfn.TEXTJOIN(" ", FALSE,#REF!)</f>
        <v>#REF!</v>
      </c>
      <c r="BA137" s="122"/>
      <c r="BB137" s="71" t="s">
        <v>255</v>
      </c>
      <c r="BC137" s="72" t="e">
        <f xml:space="preserve"> _xlfn.TEXTJOIN(" ", FALSE,#REF!)</f>
        <v>#REF!</v>
      </c>
      <c r="BD137" s="122"/>
      <c r="BE137" s="71" t="s">
        <v>256</v>
      </c>
      <c r="BF137" s="72" t="e">
        <f xml:space="preserve"> _xlfn.TEXTJOIN(" ", FALSE,#REF!)</f>
        <v>#REF!</v>
      </c>
      <c r="BG137" s="65" t="s">
        <v>277</v>
      </c>
      <c r="BH137" s="70" t="e">
        <f t="shared" si="15"/>
        <v>#REF!</v>
      </c>
      <c r="BI137" s="64" t="s">
        <v>257</v>
      </c>
      <c r="BJ137" s="122"/>
      <c r="BK137" s="71" t="s">
        <v>258</v>
      </c>
      <c r="BL137" s="74" t="str">
        <f>_xlfn.TEXTJOIN(" ", FALSE, 'Task 2a - Mitigating the Proble'!U137:AC137)</f>
        <v xml:space="preserve">1 1 0 0 1 1 0 0 </v>
      </c>
      <c r="BM137" s="65" t="s">
        <v>277</v>
      </c>
      <c r="BN137" s="70" t="str">
        <f t="shared" si="16"/>
        <v>[Details for Task 2a:]  /Question 12: 1 1 0 0 1 1 0 0  .</v>
      </c>
      <c r="BO137" s="64" t="s">
        <v>259</v>
      </c>
      <c r="BP137" s="122"/>
      <c r="BQ137" s="71" t="s">
        <v>260</v>
      </c>
      <c r="BR137" s="73" t="e">
        <f xml:space="preserve"> _xlfn.TEXTJOIN(" ", FALSE,#REF!)</f>
        <v>#REF!</v>
      </c>
      <c r="BS137" s="122"/>
      <c r="BT137" s="71" t="s">
        <v>261</v>
      </c>
      <c r="BU137" s="73" t="e">
        <f xml:space="preserve"> _xlfn.TEXTJOIN(" ", FALSE,#REF!)</f>
        <v>#REF!</v>
      </c>
      <c r="BV137" s="122"/>
      <c r="BW137" s="71" t="s">
        <v>262</v>
      </c>
      <c r="BX137" s="73" t="e">
        <f xml:space="preserve"> _xlfn.TEXTJOIN(" ", FALSE,#REF!)</f>
        <v>#REF!</v>
      </c>
      <c r="BY137" s="122"/>
      <c r="BZ137" s="71" t="s">
        <v>263</v>
      </c>
      <c r="CA137" s="73" t="e">
        <f xml:space="preserve"> _xlfn.TEXTJOIN(" ", FALSE,#REF!)</f>
        <v>#REF!</v>
      </c>
      <c r="CB137" s="122"/>
      <c r="CC137" s="71" t="s">
        <v>264</v>
      </c>
      <c r="CD137" s="73" t="e">
        <f xml:space="preserve"> _xlfn.TEXTJOIN(" ", FALSE,#REF!)</f>
        <v>#REF!</v>
      </c>
      <c r="CE137" s="122"/>
      <c r="CF137" s="71" t="s">
        <v>265</v>
      </c>
      <c r="CG137" s="73" t="e">
        <f xml:space="preserve"> _xlfn.TEXTJOIN(" ", FALSE,#REF!)</f>
        <v>#REF!</v>
      </c>
      <c r="CH137" s="122"/>
      <c r="CI137" s="74" t="s">
        <v>278</v>
      </c>
      <c r="CJ137" s="73" t="e">
        <f xml:space="preserve"> _xlfn.TEXTJOIN(" ", FALSE,#REF!)</f>
        <v>#REF!</v>
      </c>
      <c r="CK137" s="65" t="s">
        <v>277</v>
      </c>
      <c r="CL137" s="70" t="e">
        <f t="shared" si="17"/>
        <v>#REF!</v>
      </c>
      <c r="CM137" s="64" t="s">
        <v>267</v>
      </c>
      <c r="CN137" s="122"/>
      <c r="CO137" s="71" t="s">
        <v>268</v>
      </c>
      <c r="CP137" s="73" t="e">
        <f xml:space="preserve"> _xlfn.TEXTJOIN(" ", FALSE,#REF!)</f>
        <v>#REF!</v>
      </c>
      <c r="CQ137" s="122"/>
      <c r="CR137" s="71" t="s">
        <v>269</v>
      </c>
      <c r="CS137" s="73" t="e">
        <f xml:space="preserve"> _xlfn.TEXTJOIN(" ", FALSE,#REF!)</f>
        <v>#REF!</v>
      </c>
      <c r="CT137" s="122"/>
      <c r="CU137" s="71" t="s">
        <v>270</v>
      </c>
      <c r="CV137" s="72" t="e">
        <f xml:space="preserve"> _xlfn.TEXTJOIN(" ", FALSE,#REF!)</f>
        <v>#REF!</v>
      </c>
      <c r="CW137" s="122"/>
      <c r="CX137" s="71" t="s">
        <v>271</v>
      </c>
      <c r="CY137" s="72" t="e">
        <f xml:space="preserve"> _xlfn.TEXTJOIN(" ", FALSE,#REF!)</f>
        <v>#REF!</v>
      </c>
      <c r="CZ137" s="122"/>
      <c r="DA137" s="71" t="s">
        <v>272</v>
      </c>
      <c r="DB137" s="73" t="e">
        <f xml:space="preserve"> _xlfn.TEXTJOIN(" ", FALSE,#REF!)</f>
        <v>#REF!</v>
      </c>
      <c r="DC137" s="65" t="s">
        <v>277</v>
      </c>
      <c r="DD137" s="70" t="e">
        <f t="shared" si="18"/>
        <v>#REF!</v>
      </c>
      <c r="DE137" s="64" t="s">
        <v>273</v>
      </c>
      <c r="DF137" s="122"/>
      <c r="DG137" s="71" t="s">
        <v>274</v>
      </c>
      <c r="DH137" s="72" t="e">
        <f xml:space="preserve"> _xlfn.TEXTJOIN(" ", FALSE,#REF!)</f>
        <v>#REF!</v>
      </c>
      <c r="DI137" s="122"/>
      <c r="DJ137" s="71" t="s">
        <v>275</v>
      </c>
      <c r="DK137" s="73" t="e">
        <f xml:space="preserve"> _xlfn.TEXTJOIN(" ", FALSE,#REF!)</f>
        <v>#REF!</v>
      </c>
      <c r="DL137" s="65" t="s">
        <v>277</v>
      </c>
      <c r="DM137" s="70" t="e">
        <f t="shared" si="19"/>
        <v>#REF!</v>
      </c>
      <c r="DN137" s="70" t="e">
        <f t="shared" si="20"/>
        <v>#REF!</v>
      </c>
    </row>
    <row r="138" spans="1:118" ht="108" customHeight="1">
      <c r="A138" s="122" t="e">
        <f>Summary!A138</f>
        <v>#REF!</v>
      </c>
      <c r="B138" s="64" t="s">
        <v>233</v>
      </c>
      <c r="C138" s="65" t="e">
        <f>Summary!B138</f>
        <v>#REF!</v>
      </c>
      <c r="D138" s="122"/>
      <c r="E138" s="64" t="s">
        <v>235</v>
      </c>
      <c r="F138" s="132" t="e">
        <f>Summary!C138</f>
        <v>#REF!</v>
      </c>
      <c r="G138" s="64" t="s">
        <v>236</v>
      </c>
      <c r="H138" s="132" t="e">
        <f>Summary!D138</f>
        <v>#REF!</v>
      </c>
      <c r="I138" s="64" t="s">
        <v>237</v>
      </c>
      <c r="J138" s="66">
        <f>Summary!E138</f>
        <v>6</v>
      </c>
      <c r="K138" s="64" t="s">
        <v>238</v>
      </c>
      <c r="L138" s="132" t="e">
        <f>Summary!F138</f>
        <v>#REF!</v>
      </c>
      <c r="M138" s="64" t="s">
        <v>239</v>
      </c>
      <c r="N138" s="132" t="e">
        <f>Summary!G138</f>
        <v>#REF!</v>
      </c>
      <c r="O138" s="64" t="s">
        <v>240</v>
      </c>
      <c r="P138" s="132" t="e">
        <f>Summary!H138</f>
        <v>#REF!</v>
      </c>
      <c r="Q138" s="65" t="s">
        <v>277</v>
      </c>
      <c r="R138" s="70" t="e">
        <f t="shared" si="14"/>
        <v>#REF!</v>
      </c>
      <c r="S138" s="64" t="s">
        <v>243</v>
      </c>
      <c r="T138" s="122"/>
      <c r="U138" s="71" t="s">
        <v>244</v>
      </c>
      <c r="V138" s="72" t="e">
        <f xml:space="preserve"> _xlfn.TEXTJOIN(" ", FALSE,#REF!)</f>
        <v>#REF!</v>
      </c>
      <c r="W138" s="122"/>
      <c r="X138" s="71" t="s">
        <v>245</v>
      </c>
      <c r="Y138" s="72" t="e">
        <f xml:space="preserve"> _xlfn.TEXTJOIN(" ", FALSE,#REF!)</f>
        <v>#REF!</v>
      </c>
      <c r="Z138" s="122"/>
      <c r="AA138" s="71" t="s">
        <v>246</v>
      </c>
      <c r="AB138" s="72" t="e">
        <f xml:space="preserve"> _xlfn.TEXTJOIN(" ", FALSE,#REF!)</f>
        <v>#REF!</v>
      </c>
      <c r="AC138" s="122"/>
      <c r="AD138" s="71" t="s">
        <v>247</v>
      </c>
      <c r="AE138" s="72" t="e">
        <f xml:space="preserve"> _xlfn.TEXTJOIN(" ", FALSE,#REF!)</f>
        <v>#REF!</v>
      </c>
      <c r="AF138" s="122"/>
      <c r="AG138" s="71" t="s">
        <v>248</v>
      </c>
      <c r="AH138" s="73" t="e">
        <f xml:space="preserve"> _xlfn.TEXTJOIN(" ", FALSE,#REF!)</f>
        <v>#REF!</v>
      </c>
      <c r="AI138" s="122"/>
      <c r="AJ138" s="71" t="s">
        <v>249</v>
      </c>
      <c r="AK138" s="73" t="e">
        <f xml:space="preserve"> _xlfn.TEXTJOIN(" ", FALSE,#REF!)</f>
        <v>#REF!</v>
      </c>
      <c r="AL138" s="122"/>
      <c r="AM138" s="71" t="s">
        <v>250</v>
      </c>
      <c r="AN138" s="73" t="e">
        <f xml:space="preserve"> _xlfn.TEXTJOIN(" ", FALSE,#REF!)</f>
        <v>#REF!</v>
      </c>
      <c r="AO138" s="122"/>
      <c r="AP138" s="71" t="s">
        <v>251</v>
      </c>
      <c r="AQ138" s="72" t="e">
        <f xml:space="preserve"> _xlfn.TEXTJOIN(" ", FALSE,#REF!)</f>
        <v>#REF!</v>
      </c>
      <c r="AR138" s="122"/>
      <c r="AS138" s="71" t="s">
        <v>252</v>
      </c>
      <c r="AT138" s="72" t="e">
        <f xml:space="preserve"> _xlfn.TEXTJOIN(" ", FALSE,#REF!)</f>
        <v>#REF!</v>
      </c>
      <c r="AU138" s="122"/>
      <c r="AV138" s="71" t="s">
        <v>253</v>
      </c>
      <c r="AW138" s="73" t="e">
        <f xml:space="preserve"> _xlfn.TEXTJOIN(" ", FALSE,#REF!)</f>
        <v>#REF!</v>
      </c>
      <c r="AX138" s="122"/>
      <c r="AY138" s="71" t="s">
        <v>254</v>
      </c>
      <c r="AZ138" s="72" t="e">
        <f xml:space="preserve"> _xlfn.TEXTJOIN(" ", FALSE,#REF!)</f>
        <v>#REF!</v>
      </c>
      <c r="BA138" s="122"/>
      <c r="BB138" s="71" t="s">
        <v>255</v>
      </c>
      <c r="BC138" s="72" t="e">
        <f xml:space="preserve"> _xlfn.TEXTJOIN(" ", FALSE,#REF!)</f>
        <v>#REF!</v>
      </c>
      <c r="BD138" s="122"/>
      <c r="BE138" s="71" t="s">
        <v>256</v>
      </c>
      <c r="BF138" s="72" t="e">
        <f xml:space="preserve"> _xlfn.TEXTJOIN(" ", FALSE,#REF!)</f>
        <v>#REF!</v>
      </c>
      <c r="BG138" s="65" t="s">
        <v>277</v>
      </c>
      <c r="BH138" s="70" t="e">
        <f t="shared" si="15"/>
        <v>#REF!</v>
      </c>
      <c r="BI138" s="64" t="s">
        <v>257</v>
      </c>
      <c r="BJ138" s="122"/>
      <c r="BK138" s="71" t="s">
        <v>258</v>
      </c>
      <c r="BL138" s="74" t="str">
        <f>_xlfn.TEXTJOIN(" ", FALSE, 'Task 2a - Mitigating the Proble'!U138:AC138)</f>
        <v xml:space="preserve">1 1 1 0 0 1 0 0 </v>
      </c>
      <c r="BM138" s="65" t="s">
        <v>277</v>
      </c>
      <c r="BN138" s="70" t="str">
        <f t="shared" si="16"/>
        <v>[Details for Task 2a:]  /Question 12: 1 1 1 0 0 1 0 0  .</v>
      </c>
      <c r="BO138" s="64" t="s">
        <v>259</v>
      </c>
      <c r="BP138" s="122"/>
      <c r="BQ138" s="71" t="s">
        <v>260</v>
      </c>
      <c r="BR138" s="73" t="e">
        <f xml:space="preserve"> _xlfn.TEXTJOIN(" ", FALSE,#REF!)</f>
        <v>#REF!</v>
      </c>
      <c r="BS138" s="122"/>
      <c r="BT138" s="71" t="s">
        <v>261</v>
      </c>
      <c r="BU138" s="73" t="e">
        <f xml:space="preserve"> _xlfn.TEXTJOIN(" ", FALSE,#REF!)</f>
        <v>#REF!</v>
      </c>
      <c r="BV138" s="122"/>
      <c r="BW138" s="71" t="s">
        <v>262</v>
      </c>
      <c r="BX138" s="73" t="e">
        <f xml:space="preserve"> _xlfn.TEXTJOIN(" ", FALSE,#REF!)</f>
        <v>#REF!</v>
      </c>
      <c r="BY138" s="122"/>
      <c r="BZ138" s="71" t="s">
        <v>263</v>
      </c>
      <c r="CA138" s="73" t="e">
        <f xml:space="preserve"> _xlfn.TEXTJOIN(" ", FALSE,#REF!)</f>
        <v>#REF!</v>
      </c>
      <c r="CB138" s="122"/>
      <c r="CC138" s="71" t="s">
        <v>264</v>
      </c>
      <c r="CD138" s="73" t="e">
        <f xml:space="preserve"> _xlfn.TEXTJOIN(" ", FALSE,#REF!)</f>
        <v>#REF!</v>
      </c>
      <c r="CE138" s="122"/>
      <c r="CF138" s="71" t="s">
        <v>265</v>
      </c>
      <c r="CG138" s="73" t="e">
        <f xml:space="preserve"> _xlfn.TEXTJOIN(" ", FALSE,#REF!)</f>
        <v>#REF!</v>
      </c>
      <c r="CH138" s="122"/>
      <c r="CI138" s="74" t="s">
        <v>278</v>
      </c>
      <c r="CJ138" s="73" t="e">
        <f xml:space="preserve"> _xlfn.TEXTJOIN(" ", FALSE,#REF!)</f>
        <v>#REF!</v>
      </c>
      <c r="CK138" s="65" t="s">
        <v>277</v>
      </c>
      <c r="CL138" s="70" t="e">
        <f t="shared" si="17"/>
        <v>#REF!</v>
      </c>
      <c r="CM138" s="64" t="s">
        <v>267</v>
      </c>
      <c r="CN138" s="122"/>
      <c r="CO138" s="71" t="s">
        <v>268</v>
      </c>
      <c r="CP138" s="73" t="e">
        <f xml:space="preserve"> _xlfn.TEXTJOIN(" ", FALSE,#REF!)</f>
        <v>#REF!</v>
      </c>
      <c r="CQ138" s="122"/>
      <c r="CR138" s="71" t="s">
        <v>269</v>
      </c>
      <c r="CS138" s="73" t="e">
        <f xml:space="preserve"> _xlfn.TEXTJOIN(" ", FALSE,#REF!)</f>
        <v>#REF!</v>
      </c>
      <c r="CT138" s="122"/>
      <c r="CU138" s="71" t="s">
        <v>270</v>
      </c>
      <c r="CV138" s="72" t="e">
        <f xml:space="preserve"> _xlfn.TEXTJOIN(" ", FALSE,#REF!)</f>
        <v>#REF!</v>
      </c>
      <c r="CW138" s="122"/>
      <c r="CX138" s="71" t="s">
        <v>271</v>
      </c>
      <c r="CY138" s="72" t="e">
        <f xml:space="preserve"> _xlfn.TEXTJOIN(" ", FALSE,#REF!)</f>
        <v>#REF!</v>
      </c>
      <c r="CZ138" s="122"/>
      <c r="DA138" s="71" t="s">
        <v>272</v>
      </c>
      <c r="DB138" s="73" t="e">
        <f xml:space="preserve"> _xlfn.TEXTJOIN(" ", FALSE,#REF!)</f>
        <v>#REF!</v>
      </c>
      <c r="DC138" s="65" t="s">
        <v>277</v>
      </c>
      <c r="DD138" s="70" t="e">
        <f t="shared" si="18"/>
        <v>#REF!</v>
      </c>
      <c r="DE138" s="64" t="s">
        <v>273</v>
      </c>
      <c r="DF138" s="122"/>
      <c r="DG138" s="71" t="s">
        <v>274</v>
      </c>
      <c r="DH138" s="72" t="e">
        <f xml:space="preserve"> _xlfn.TEXTJOIN(" ", FALSE,#REF!)</f>
        <v>#REF!</v>
      </c>
      <c r="DI138" s="122"/>
      <c r="DJ138" s="71" t="s">
        <v>275</v>
      </c>
      <c r="DK138" s="73" t="e">
        <f xml:space="preserve"> _xlfn.TEXTJOIN(" ", FALSE,#REF!)</f>
        <v>#REF!</v>
      </c>
      <c r="DL138" s="65" t="s">
        <v>277</v>
      </c>
      <c r="DM138" s="70" t="e">
        <f t="shared" si="19"/>
        <v>#REF!</v>
      </c>
      <c r="DN138" s="70" t="e">
        <f t="shared" si="20"/>
        <v>#REF!</v>
      </c>
    </row>
    <row r="139" spans="1:118" ht="108" customHeight="1">
      <c r="A139" s="122" t="e">
        <f>Summary!A139</f>
        <v>#REF!</v>
      </c>
      <c r="B139" s="64" t="s">
        <v>233</v>
      </c>
      <c r="C139" s="65" t="e">
        <f>Summary!B139</f>
        <v>#REF!</v>
      </c>
      <c r="D139" s="122"/>
      <c r="E139" s="64" t="s">
        <v>235</v>
      </c>
      <c r="F139" s="132">
        <f>Summary!C139</f>
        <v>30</v>
      </c>
      <c r="G139" s="64" t="s">
        <v>236</v>
      </c>
      <c r="H139" s="132" t="e">
        <f>Summary!D139</f>
        <v>#REF!</v>
      </c>
      <c r="I139" s="64" t="s">
        <v>237</v>
      </c>
      <c r="J139" s="66">
        <f>Summary!E139</f>
        <v>6</v>
      </c>
      <c r="K139" s="64" t="s">
        <v>238</v>
      </c>
      <c r="L139" s="132" t="e">
        <f>Summary!F139</f>
        <v>#REF!</v>
      </c>
      <c r="M139" s="64" t="s">
        <v>239</v>
      </c>
      <c r="N139" s="132" t="e">
        <f>Summary!G139</f>
        <v>#REF!</v>
      </c>
      <c r="O139" s="64" t="s">
        <v>240</v>
      </c>
      <c r="P139" s="132" t="e">
        <f>Summary!H139</f>
        <v>#REF!</v>
      </c>
      <c r="Q139" s="65" t="s">
        <v>277</v>
      </c>
      <c r="R139" s="70" t="e">
        <f t="shared" si="14"/>
        <v>#REF!</v>
      </c>
      <c r="S139" s="64" t="s">
        <v>243</v>
      </c>
      <c r="T139" s="122"/>
      <c r="U139" s="71" t="s">
        <v>244</v>
      </c>
      <c r="V139" s="72" t="e">
        <f xml:space="preserve"> _xlfn.TEXTJOIN(" ", FALSE,#REF!)</f>
        <v>#REF!</v>
      </c>
      <c r="W139" s="122"/>
      <c r="X139" s="71" t="s">
        <v>245</v>
      </c>
      <c r="Y139" s="72" t="e">
        <f xml:space="preserve"> _xlfn.TEXTJOIN(" ", FALSE,#REF!)</f>
        <v>#REF!</v>
      </c>
      <c r="Z139" s="122"/>
      <c r="AA139" s="71" t="s">
        <v>246</v>
      </c>
      <c r="AB139" s="72" t="e">
        <f xml:space="preserve"> _xlfn.TEXTJOIN(" ", FALSE,#REF!)</f>
        <v>#REF!</v>
      </c>
      <c r="AC139" s="122"/>
      <c r="AD139" s="71" t="s">
        <v>247</v>
      </c>
      <c r="AE139" s="72" t="e">
        <f xml:space="preserve"> _xlfn.TEXTJOIN(" ", FALSE,#REF!)</f>
        <v>#REF!</v>
      </c>
      <c r="AF139" s="122"/>
      <c r="AG139" s="71" t="s">
        <v>248</v>
      </c>
      <c r="AH139" s="73" t="e">
        <f xml:space="preserve"> _xlfn.TEXTJOIN(" ", FALSE,#REF!)</f>
        <v>#REF!</v>
      </c>
      <c r="AI139" s="122"/>
      <c r="AJ139" s="71" t="s">
        <v>249</v>
      </c>
      <c r="AK139" s="73" t="e">
        <f xml:space="preserve"> _xlfn.TEXTJOIN(" ", FALSE,#REF!)</f>
        <v>#REF!</v>
      </c>
      <c r="AL139" s="122"/>
      <c r="AM139" s="71" t="s">
        <v>250</v>
      </c>
      <c r="AN139" s="73" t="e">
        <f xml:space="preserve"> _xlfn.TEXTJOIN(" ", FALSE,#REF!)</f>
        <v>#REF!</v>
      </c>
      <c r="AO139" s="122"/>
      <c r="AP139" s="71" t="s">
        <v>251</v>
      </c>
      <c r="AQ139" s="72" t="e">
        <f xml:space="preserve"> _xlfn.TEXTJOIN(" ", FALSE,#REF!)</f>
        <v>#REF!</v>
      </c>
      <c r="AR139" s="122"/>
      <c r="AS139" s="71" t="s">
        <v>252</v>
      </c>
      <c r="AT139" s="72" t="e">
        <f xml:space="preserve"> _xlfn.TEXTJOIN(" ", FALSE,#REF!)</f>
        <v>#REF!</v>
      </c>
      <c r="AU139" s="122"/>
      <c r="AV139" s="71" t="s">
        <v>253</v>
      </c>
      <c r="AW139" s="73" t="e">
        <f xml:space="preserve"> _xlfn.TEXTJOIN(" ", FALSE,#REF!)</f>
        <v>#REF!</v>
      </c>
      <c r="AX139" s="122"/>
      <c r="AY139" s="71" t="s">
        <v>254</v>
      </c>
      <c r="AZ139" s="72" t="e">
        <f xml:space="preserve"> _xlfn.TEXTJOIN(" ", FALSE,#REF!)</f>
        <v>#REF!</v>
      </c>
      <c r="BA139" s="122"/>
      <c r="BB139" s="71" t="s">
        <v>255</v>
      </c>
      <c r="BC139" s="72" t="e">
        <f xml:space="preserve"> _xlfn.TEXTJOIN(" ", FALSE,#REF!)</f>
        <v>#REF!</v>
      </c>
      <c r="BD139" s="122"/>
      <c r="BE139" s="71" t="s">
        <v>256</v>
      </c>
      <c r="BF139" s="72" t="e">
        <f xml:space="preserve"> _xlfn.TEXTJOIN(" ", FALSE,#REF!)</f>
        <v>#REF!</v>
      </c>
      <c r="BG139" s="65" t="s">
        <v>277</v>
      </c>
      <c r="BH139" s="70" t="e">
        <f t="shared" si="15"/>
        <v>#REF!</v>
      </c>
      <c r="BI139" s="64" t="s">
        <v>257</v>
      </c>
      <c r="BJ139" s="122"/>
      <c r="BK139" s="71" t="s">
        <v>258</v>
      </c>
      <c r="BL139" s="74" t="str">
        <f>_xlfn.TEXTJOIN(" ", FALSE, 'Task 2a - Mitigating the Proble'!U139:AC139)</f>
        <v xml:space="preserve">1 1 1 0 0 1 0 0 </v>
      </c>
      <c r="BM139" s="65" t="s">
        <v>277</v>
      </c>
      <c r="BN139" s="70" t="str">
        <f t="shared" si="16"/>
        <v>[Details for Task 2a:]  /Question 12: 1 1 1 0 0 1 0 0  .</v>
      </c>
      <c r="BO139" s="64" t="s">
        <v>259</v>
      </c>
      <c r="BP139" s="122"/>
      <c r="BQ139" s="71" t="s">
        <v>260</v>
      </c>
      <c r="BR139" s="73" t="e">
        <f xml:space="preserve"> _xlfn.TEXTJOIN(" ", FALSE,#REF!)</f>
        <v>#REF!</v>
      </c>
      <c r="BS139" s="122"/>
      <c r="BT139" s="71" t="s">
        <v>261</v>
      </c>
      <c r="BU139" s="73" t="e">
        <f xml:space="preserve"> _xlfn.TEXTJOIN(" ", FALSE,#REF!)</f>
        <v>#REF!</v>
      </c>
      <c r="BV139" s="122"/>
      <c r="BW139" s="71" t="s">
        <v>262</v>
      </c>
      <c r="BX139" s="73" t="e">
        <f xml:space="preserve"> _xlfn.TEXTJOIN(" ", FALSE,#REF!)</f>
        <v>#REF!</v>
      </c>
      <c r="BY139" s="122"/>
      <c r="BZ139" s="71" t="s">
        <v>263</v>
      </c>
      <c r="CA139" s="73" t="e">
        <f xml:space="preserve"> _xlfn.TEXTJOIN(" ", FALSE,#REF!)</f>
        <v>#REF!</v>
      </c>
      <c r="CB139" s="122"/>
      <c r="CC139" s="71" t="s">
        <v>264</v>
      </c>
      <c r="CD139" s="73" t="e">
        <f xml:space="preserve"> _xlfn.TEXTJOIN(" ", FALSE,#REF!)</f>
        <v>#REF!</v>
      </c>
      <c r="CE139" s="122"/>
      <c r="CF139" s="71" t="s">
        <v>265</v>
      </c>
      <c r="CG139" s="73" t="e">
        <f xml:space="preserve"> _xlfn.TEXTJOIN(" ", FALSE,#REF!)</f>
        <v>#REF!</v>
      </c>
      <c r="CH139" s="122"/>
      <c r="CI139" s="74" t="s">
        <v>278</v>
      </c>
      <c r="CJ139" s="73" t="e">
        <f xml:space="preserve"> _xlfn.TEXTJOIN(" ", FALSE,#REF!)</f>
        <v>#REF!</v>
      </c>
      <c r="CK139" s="65" t="s">
        <v>277</v>
      </c>
      <c r="CL139" s="70" t="e">
        <f t="shared" si="17"/>
        <v>#REF!</v>
      </c>
      <c r="CM139" s="64" t="s">
        <v>267</v>
      </c>
      <c r="CN139" s="122"/>
      <c r="CO139" s="71" t="s">
        <v>268</v>
      </c>
      <c r="CP139" s="73" t="e">
        <f xml:space="preserve"> _xlfn.TEXTJOIN(" ", FALSE,#REF!)</f>
        <v>#REF!</v>
      </c>
      <c r="CQ139" s="122"/>
      <c r="CR139" s="71" t="s">
        <v>269</v>
      </c>
      <c r="CS139" s="73" t="e">
        <f xml:space="preserve"> _xlfn.TEXTJOIN(" ", FALSE,#REF!)</f>
        <v>#REF!</v>
      </c>
      <c r="CT139" s="122"/>
      <c r="CU139" s="71" t="s">
        <v>270</v>
      </c>
      <c r="CV139" s="72" t="e">
        <f xml:space="preserve"> _xlfn.TEXTJOIN(" ", FALSE,#REF!)</f>
        <v>#REF!</v>
      </c>
      <c r="CW139" s="122"/>
      <c r="CX139" s="71" t="s">
        <v>271</v>
      </c>
      <c r="CY139" s="72" t="e">
        <f xml:space="preserve"> _xlfn.TEXTJOIN(" ", FALSE,#REF!)</f>
        <v>#REF!</v>
      </c>
      <c r="CZ139" s="122"/>
      <c r="DA139" s="71" t="s">
        <v>272</v>
      </c>
      <c r="DB139" s="73" t="e">
        <f xml:space="preserve"> _xlfn.TEXTJOIN(" ", FALSE,#REF!)</f>
        <v>#REF!</v>
      </c>
      <c r="DC139" s="65" t="s">
        <v>277</v>
      </c>
      <c r="DD139" s="70" t="e">
        <f t="shared" si="18"/>
        <v>#REF!</v>
      </c>
      <c r="DE139" s="64" t="s">
        <v>273</v>
      </c>
      <c r="DF139" s="122"/>
      <c r="DG139" s="71" t="s">
        <v>274</v>
      </c>
      <c r="DH139" s="72" t="e">
        <f xml:space="preserve"> _xlfn.TEXTJOIN(" ", FALSE,#REF!)</f>
        <v>#REF!</v>
      </c>
      <c r="DI139" s="122"/>
      <c r="DJ139" s="71" t="s">
        <v>275</v>
      </c>
      <c r="DK139" s="73" t="e">
        <f xml:space="preserve"> _xlfn.TEXTJOIN(" ", FALSE,#REF!)</f>
        <v>#REF!</v>
      </c>
      <c r="DL139" s="65" t="s">
        <v>277</v>
      </c>
      <c r="DM139" s="70" t="e">
        <f t="shared" si="19"/>
        <v>#REF!</v>
      </c>
      <c r="DN139" s="70" t="e">
        <f t="shared" si="20"/>
        <v>#REF!</v>
      </c>
    </row>
    <row r="140" spans="1:118" ht="108" customHeight="1">
      <c r="A140" s="122" t="e">
        <f>Summary!A140</f>
        <v>#REF!</v>
      </c>
      <c r="B140" s="64" t="s">
        <v>233</v>
      </c>
      <c r="C140" s="65" t="e">
        <f>Summary!B140</f>
        <v>#REF!</v>
      </c>
      <c r="D140" s="122"/>
      <c r="E140" s="64" t="s">
        <v>235</v>
      </c>
      <c r="F140" s="132" t="e">
        <f>Summary!C140</f>
        <v>#REF!</v>
      </c>
      <c r="G140" s="64" t="s">
        <v>236</v>
      </c>
      <c r="H140" s="132" t="e">
        <f>Summary!D140</f>
        <v>#REF!</v>
      </c>
      <c r="I140" s="64" t="s">
        <v>237</v>
      </c>
      <c r="J140" s="66">
        <f>Summary!E140</f>
        <v>8</v>
      </c>
      <c r="K140" s="64" t="s">
        <v>238</v>
      </c>
      <c r="L140" s="132" t="e">
        <f>Summary!F140</f>
        <v>#REF!</v>
      </c>
      <c r="M140" s="64" t="s">
        <v>239</v>
      </c>
      <c r="N140" s="132" t="e">
        <f>Summary!G140</f>
        <v>#REF!</v>
      </c>
      <c r="O140" s="64" t="s">
        <v>240</v>
      </c>
      <c r="P140" s="132" t="e">
        <f>Summary!H140</f>
        <v>#REF!</v>
      </c>
      <c r="Q140" s="65" t="s">
        <v>277</v>
      </c>
      <c r="R140" s="70" t="e">
        <f t="shared" si="14"/>
        <v>#REF!</v>
      </c>
      <c r="S140" s="64" t="s">
        <v>243</v>
      </c>
      <c r="T140" s="122"/>
      <c r="U140" s="71" t="s">
        <v>244</v>
      </c>
      <c r="V140" s="72" t="e">
        <f xml:space="preserve"> _xlfn.TEXTJOIN(" ", FALSE,#REF!)</f>
        <v>#REF!</v>
      </c>
      <c r="W140" s="122"/>
      <c r="X140" s="71" t="s">
        <v>245</v>
      </c>
      <c r="Y140" s="72" t="e">
        <f xml:space="preserve"> _xlfn.TEXTJOIN(" ", FALSE,#REF!)</f>
        <v>#REF!</v>
      </c>
      <c r="Z140" s="122"/>
      <c r="AA140" s="71" t="s">
        <v>246</v>
      </c>
      <c r="AB140" s="72" t="e">
        <f xml:space="preserve"> _xlfn.TEXTJOIN(" ", FALSE,#REF!)</f>
        <v>#REF!</v>
      </c>
      <c r="AC140" s="122"/>
      <c r="AD140" s="71" t="s">
        <v>247</v>
      </c>
      <c r="AE140" s="72" t="e">
        <f xml:space="preserve"> _xlfn.TEXTJOIN(" ", FALSE,#REF!)</f>
        <v>#REF!</v>
      </c>
      <c r="AF140" s="122"/>
      <c r="AG140" s="71" t="s">
        <v>248</v>
      </c>
      <c r="AH140" s="73" t="e">
        <f xml:space="preserve"> _xlfn.TEXTJOIN(" ", FALSE,#REF!)</f>
        <v>#REF!</v>
      </c>
      <c r="AI140" s="122"/>
      <c r="AJ140" s="71" t="s">
        <v>249</v>
      </c>
      <c r="AK140" s="73" t="e">
        <f xml:space="preserve"> _xlfn.TEXTJOIN(" ", FALSE,#REF!)</f>
        <v>#REF!</v>
      </c>
      <c r="AL140" s="122"/>
      <c r="AM140" s="71" t="s">
        <v>250</v>
      </c>
      <c r="AN140" s="73" t="e">
        <f xml:space="preserve"> _xlfn.TEXTJOIN(" ", FALSE,#REF!)</f>
        <v>#REF!</v>
      </c>
      <c r="AO140" s="122"/>
      <c r="AP140" s="71" t="s">
        <v>251</v>
      </c>
      <c r="AQ140" s="72" t="e">
        <f xml:space="preserve"> _xlfn.TEXTJOIN(" ", FALSE,#REF!)</f>
        <v>#REF!</v>
      </c>
      <c r="AR140" s="122"/>
      <c r="AS140" s="71" t="s">
        <v>252</v>
      </c>
      <c r="AT140" s="72" t="e">
        <f xml:space="preserve"> _xlfn.TEXTJOIN(" ", FALSE,#REF!)</f>
        <v>#REF!</v>
      </c>
      <c r="AU140" s="122"/>
      <c r="AV140" s="71" t="s">
        <v>253</v>
      </c>
      <c r="AW140" s="73" t="e">
        <f xml:space="preserve"> _xlfn.TEXTJOIN(" ", FALSE,#REF!)</f>
        <v>#REF!</v>
      </c>
      <c r="AX140" s="122"/>
      <c r="AY140" s="71" t="s">
        <v>254</v>
      </c>
      <c r="AZ140" s="72" t="e">
        <f xml:space="preserve"> _xlfn.TEXTJOIN(" ", FALSE,#REF!)</f>
        <v>#REF!</v>
      </c>
      <c r="BA140" s="122"/>
      <c r="BB140" s="71" t="s">
        <v>255</v>
      </c>
      <c r="BC140" s="72" t="e">
        <f xml:space="preserve"> _xlfn.TEXTJOIN(" ", FALSE,#REF!)</f>
        <v>#REF!</v>
      </c>
      <c r="BD140" s="122"/>
      <c r="BE140" s="71" t="s">
        <v>256</v>
      </c>
      <c r="BF140" s="72" t="e">
        <f xml:space="preserve"> _xlfn.TEXTJOIN(" ", FALSE,#REF!)</f>
        <v>#REF!</v>
      </c>
      <c r="BG140" s="65" t="s">
        <v>277</v>
      </c>
      <c r="BH140" s="70" t="e">
        <f t="shared" si="15"/>
        <v>#REF!</v>
      </c>
      <c r="BI140" s="64" t="s">
        <v>257</v>
      </c>
      <c r="BJ140" s="122"/>
      <c r="BK140" s="71" t="s">
        <v>258</v>
      </c>
      <c r="BL140" s="74" t="str">
        <f>_xlfn.TEXTJOIN(" ", FALSE, 'Task 2a - Mitigating the Proble'!U140:AC140)</f>
        <v>1 1 1 1 0 1 0 1 Good job mentioning a specific case where L1-L2 combination might be helpful.</v>
      </c>
      <c r="BM140" s="65" t="s">
        <v>277</v>
      </c>
      <c r="BN140" s="70" t="str">
        <f t="shared" si="16"/>
        <v>[Details for Task 2a:]  /Question 12: 1 1 1 1 0 1 0 1 Good job mentioning a specific case where L1-L2 combination might be helpful. .</v>
      </c>
      <c r="BO140" s="64" t="s">
        <v>259</v>
      </c>
      <c r="BP140" s="122"/>
      <c r="BQ140" s="71" t="s">
        <v>260</v>
      </c>
      <c r="BR140" s="73" t="e">
        <f xml:space="preserve"> _xlfn.TEXTJOIN(" ", FALSE,#REF!)</f>
        <v>#REF!</v>
      </c>
      <c r="BS140" s="122"/>
      <c r="BT140" s="71" t="s">
        <v>261</v>
      </c>
      <c r="BU140" s="73" t="e">
        <f xml:space="preserve"> _xlfn.TEXTJOIN(" ", FALSE,#REF!)</f>
        <v>#REF!</v>
      </c>
      <c r="BV140" s="122"/>
      <c r="BW140" s="71" t="s">
        <v>262</v>
      </c>
      <c r="BX140" s="73" t="e">
        <f xml:space="preserve"> _xlfn.TEXTJOIN(" ", FALSE,#REF!)</f>
        <v>#REF!</v>
      </c>
      <c r="BY140" s="122"/>
      <c r="BZ140" s="71" t="s">
        <v>263</v>
      </c>
      <c r="CA140" s="73" t="e">
        <f xml:space="preserve"> _xlfn.TEXTJOIN(" ", FALSE,#REF!)</f>
        <v>#REF!</v>
      </c>
      <c r="CB140" s="122"/>
      <c r="CC140" s="71" t="s">
        <v>264</v>
      </c>
      <c r="CD140" s="73" t="e">
        <f xml:space="preserve"> _xlfn.TEXTJOIN(" ", FALSE,#REF!)</f>
        <v>#REF!</v>
      </c>
      <c r="CE140" s="122"/>
      <c r="CF140" s="71" t="s">
        <v>265</v>
      </c>
      <c r="CG140" s="73" t="e">
        <f xml:space="preserve"> _xlfn.TEXTJOIN(" ", FALSE,#REF!)</f>
        <v>#REF!</v>
      </c>
      <c r="CH140" s="122"/>
      <c r="CI140" s="74" t="s">
        <v>278</v>
      </c>
      <c r="CJ140" s="73" t="e">
        <f xml:space="preserve"> _xlfn.TEXTJOIN(" ", FALSE,#REF!)</f>
        <v>#REF!</v>
      </c>
      <c r="CK140" s="65" t="s">
        <v>277</v>
      </c>
      <c r="CL140" s="70" t="e">
        <f t="shared" si="17"/>
        <v>#REF!</v>
      </c>
      <c r="CM140" s="64" t="s">
        <v>267</v>
      </c>
      <c r="CN140" s="122"/>
      <c r="CO140" s="71" t="s">
        <v>268</v>
      </c>
      <c r="CP140" s="73" t="e">
        <f xml:space="preserve"> _xlfn.TEXTJOIN(" ", FALSE,#REF!)</f>
        <v>#REF!</v>
      </c>
      <c r="CQ140" s="122"/>
      <c r="CR140" s="71" t="s">
        <v>269</v>
      </c>
      <c r="CS140" s="73" t="e">
        <f xml:space="preserve"> _xlfn.TEXTJOIN(" ", FALSE,#REF!)</f>
        <v>#REF!</v>
      </c>
      <c r="CT140" s="122"/>
      <c r="CU140" s="71" t="s">
        <v>270</v>
      </c>
      <c r="CV140" s="72" t="e">
        <f xml:space="preserve"> _xlfn.TEXTJOIN(" ", FALSE,#REF!)</f>
        <v>#REF!</v>
      </c>
      <c r="CW140" s="122"/>
      <c r="CX140" s="71" t="s">
        <v>271</v>
      </c>
      <c r="CY140" s="72" t="e">
        <f xml:space="preserve"> _xlfn.TEXTJOIN(" ", FALSE,#REF!)</f>
        <v>#REF!</v>
      </c>
      <c r="CZ140" s="122"/>
      <c r="DA140" s="71" t="s">
        <v>272</v>
      </c>
      <c r="DB140" s="73" t="e">
        <f xml:space="preserve"> _xlfn.TEXTJOIN(" ", FALSE,#REF!)</f>
        <v>#REF!</v>
      </c>
      <c r="DC140" s="65" t="s">
        <v>277</v>
      </c>
      <c r="DD140" s="70" t="e">
        <f t="shared" si="18"/>
        <v>#REF!</v>
      </c>
      <c r="DE140" s="64" t="s">
        <v>273</v>
      </c>
      <c r="DF140" s="122"/>
      <c r="DG140" s="71" t="s">
        <v>274</v>
      </c>
      <c r="DH140" s="72" t="e">
        <f xml:space="preserve"> _xlfn.TEXTJOIN(" ", FALSE,#REF!)</f>
        <v>#REF!</v>
      </c>
      <c r="DI140" s="122"/>
      <c r="DJ140" s="71" t="s">
        <v>275</v>
      </c>
      <c r="DK140" s="73" t="e">
        <f xml:space="preserve"> _xlfn.TEXTJOIN(" ", FALSE,#REF!)</f>
        <v>#REF!</v>
      </c>
      <c r="DL140" s="65" t="s">
        <v>277</v>
      </c>
      <c r="DM140" s="70" t="e">
        <f t="shared" si="19"/>
        <v>#REF!</v>
      </c>
      <c r="DN140" s="70" t="e">
        <f t="shared" si="20"/>
        <v>#REF!</v>
      </c>
    </row>
    <row r="141" spans="1:118" ht="108" customHeight="1">
      <c r="A141" s="122" t="e">
        <f>Summary!A141</f>
        <v>#REF!</v>
      </c>
      <c r="B141" s="64" t="s">
        <v>233</v>
      </c>
      <c r="C141" s="65" t="e">
        <f>Summary!B141</f>
        <v>#REF!</v>
      </c>
      <c r="D141" s="122"/>
      <c r="E141" s="64" t="s">
        <v>235</v>
      </c>
      <c r="F141" s="132" t="e">
        <f>Summary!C141</f>
        <v>#REF!</v>
      </c>
      <c r="G141" s="64" t="s">
        <v>236</v>
      </c>
      <c r="H141" s="132" t="e">
        <f>Summary!D141</f>
        <v>#REF!</v>
      </c>
      <c r="I141" s="64" t="s">
        <v>237</v>
      </c>
      <c r="J141" s="66">
        <f>Summary!E141</f>
        <v>5</v>
      </c>
      <c r="K141" s="64" t="s">
        <v>238</v>
      </c>
      <c r="L141" s="132" t="e">
        <f>Summary!F141</f>
        <v>#REF!</v>
      </c>
      <c r="M141" s="64" t="s">
        <v>239</v>
      </c>
      <c r="N141" s="132" t="e">
        <f>Summary!G141</f>
        <v>#REF!</v>
      </c>
      <c r="O141" s="64" t="s">
        <v>240</v>
      </c>
      <c r="P141" s="132" t="e">
        <f>Summary!H141</f>
        <v>#REF!</v>
      </c>
      <c r="Q141" s="65" t="s">
        <v>277</v>
      </c>
      <c r="R141" s="70" t="e">
        <f t="shared" si="14"/>
        <v>#REF!</v>
      </c>
      <c r="S141" s="64" t="s">
        <v>243</v>
      </c>
      <c r="T141" s="122"/>
      <c r="U141" s="71" t="s">
        <v>244</v>
      </c>
      <c r="V141" s="72" t="e">
        <f xml:space="preserve"> _xlfn.TEXTJOIN(" ", FALSE,#REF!)</f>
        <v>#REF!</v>
      </c>
      <c r="W141" s="122"/>
      <c r="X141" s="71" t="s">
        <v>245</v>
      </c>
      <c r="Y141" s="72" t="e">
        <f xml:space="preserve"> _xlfn.TEXTJOIN(" ", FALSE,#REF!)</f>
        <v>#REF!</v>
      </c>
      <c r="Z141" s="122"/>
      <c r="AA141" s="71" t="s">
        <v>246</v>
      </c>
      <c r="AB141" s="72" t="e">
        <f xml:space="preserve"> _xlfn.TEXTJOIN(" ", FALSE,#REF!)</f>
        <v>#REF!</v>
      </c>
      <c r="AC141" s="122"/>
      <c r="AD141" s="71" t="s">
        <v>247</v>
      </c>
      <c r="AE141" s="72" t="e">
        <f xml:space="preserve"> _xlfn.TEXTJOIN(" ", FALSE,#REF!)</f>
        <v>#REF!</v>
      </c>
      <c r="AF141" s="122"/>
      <c r="AG141" s="71" t="s">
        <v>248</v>
      </c>
      <c r="AH141" s="73" t="e">
        <f xml:space="preserve"> _xlfn.TEXTJOIN(" ", FALSE,#REF!)</f>
        <v>#REF!</v>
      </c>
      <c r="AI141" s="122"/>
      <c r="AJ141" s="71" t="s">
        <v>249</v>
      </c>
      <c r="AK141" s="73" t="e">
        <f xml:space="preserve"> _xlfn.TEXTJOIN(" ", FALSE,#REF!)</f>
        <v>#REF!</v>
      </c>
      <c r="AL141" s="122"/>
      <c r="AM141" s="71" t="s">
        <v>250</v>
      </c>
      <c r="AN141" s="73" t="e">
        <f xml:space="preserve"> _xlfn.TEXTJOIN(" ", FALSE,#REF!)</f>
        <v>#REF!</v>
      </c>
      <c r="AO141" s="122"/>
      <c r="AP141" s="71" t="s">
        <v>251</v>
      </c>
      <c r="AQ141" s="72" t="e">
        <f xml:space="preserve"> _xlfn.TEXTJOIN(" ", FALSE,#REF!)</f>
        <v>#REF!</v>
      </c>
      <c r="AR141" s="122"/>
      <c r="AS141" s="71" t="s">
        <v>252</v>
      </c>
      <c r="AT141" s="72" t="e">
        <f xml:space="preserve"> _xlfn.TEXTJOIN(" ", FALSE,#REF!)</f>
        <v>#REF!</v>
      </c>
      <c r="AU141" s="122"/>
      <c r="AV141" s="71" t="s">
        <v>253</v>
      </c>
      <c r="AW141" s="73" t="e">
        <f xml:space="preserve"> _xlfn.TEXTJOIN(" ", FALSE,#REF!)</f>
        <v>#REF!</v>
      </c>
      <c r="AX141" s="122"/>
      <c r="AY141" s="71" t="s">
        <v>254</v>
      </c>
      <c r="AZ141" s="72" t="e">
        <f xml:space="preserve"> _xlfn.TEXTJOIN(" ", FALSE,#REF!)</f>
        <v>#REF!</v>
      </c>
      <c r="BA141" s="122"/>
      <c r="BB141" s="71" t="s">
        <v>255</v>
      </c>
      <c r="BC141" s="72" t="e">
        <f xml:space="preserve"> _xlfn.TEXTJOIN(" ", FALSE,#REF!)</f>
        <v>#REF!</v>
      </c>
      <c r="BD141" s="122"/>
      <c r="BE141" s="71" t="s">
        <v>256</v>
      </c>
      <c r="BF141" s="72" t="e">
        <f xml:space="preserve"> _xlfn.TEXTJOIN(" ", FALSE,#REF!)</f>
        <v>#REF!</v>
      </c>
      <c r="BG141" s="65" t="s">
        <v>277</v>
      </c>
      <c r="BH141" s="70" t="e">
        <f t="shared" si="15"/>
        <v>#REF!</v>
      </c>
      <c r="BI141" s="64" t="s">
        <v>257</v>
      </c>
      <c r="BJ141" s="122"/>
      <c r="BK141" s="71" t="s">
        <v>258</v>
      </c>
      <c r="BL141" s="74" t="str">
        <f>_xlfn.TEXTJOIN(" ", FALSE, 'Task 2a - Mitigating the Proble'!U141:AC141)</f>
        <v xml:space="preserve">1 0 0 0 0 1 0 0 </v>
      </c>
      <c r="BM141" s="65" t="s">
        <v>277</v>
      </c>
      <c r="BN141" s="70" t="str">
        <f t="shared" si="16"/>
        <v>[Details for Task 2a:]  /Question 12: 1 0 0 0 0 1 0 0  .</v>
      </c>
      <c r="BO141" s="64" t="s">
        <v>259</v>
      </c>
      <c r="BP141" s="122"/>
      <c r="BQ141" s="71" t="s">
        <v>260</v>
      </c>
      <c r="BR141" s="73" t="e">
        <f xml:space="preserve"> _xlfn.TEXTJOIN(" ", FALSE,#REF!)</f>
        <v>#REF!</v>
      </c>
      <c r="BS141" s="122"/>
      <c r="BT141" s="71" t="s">
        <v>261</v>
      </c>
      <c r="BU141" s="73" t="e">
        <f xml:space="preserve"> _xlfn.TEXTJOIN(" ", FALSE,#REF!)</f>
        <v>#REF!</v>
      </c>
      <c r="BV141" s="122"/>
      <c r="BW141" s="71" t="s">
        <v>262</v>
      </c>
      <c r="BX141" s="73" t="e">
        <f xml:space="preserve"> _xlfn.TEXTJOIN(" ", FALSE,#REF!)</f>
        <v>#REF!</v>
      </c>
      <c r="BY141" s="122"/>
      <c r="BZ141" s="71" t="s">
        <v>263</v>
      </c>
      <c r="CA141" s="73" t="e">
        <f xml:space="preserve"> _xlfn.TEXTJOIN(" ", FALSE,#REF!)</f>
        <v>#REF!</v>
      </c>
      <c r="CB141" s="122"/>
      <c r="CC141" s="71" t="s">
        <v>264</v>
      </c>
      <c r="CD141" s="73" t="e">
        <f xml:space="preserve"> _xlfn.TEXTJOIN(" ", FALSE,#REF!)</f>
        <v>#REF!</v>
      </c>
      <c r="CE141" s="122"/>
      <c r="CF141" s="71" t="s">
        <v>265</v>
      </c>
      <c r="CG141" s="73" t="e">
        <f xml:space="preserve"> _xlfn.TEXTJOIN(" ", FALSE,#REF!)</f>
        <v>#REF!</v>
      </c>
      <c r="CH141" s="122"/>
      <c r="CI141" s="74" t="s">
        <v>278</v>
      </c>
      <c r="CJ141" s="73" t="e">
        <f xml:space="preserve"> _xlfn.TEXTJOIN(" ", FALSE,#REF!)</f>
        <v>#REF!</v>
      </c>
      <c r="CK141" s="65" t="s">
        <v>277</v>
      </c>
      <c r="CL141" s="70" t="e">
        <f t="shared" si="17"/>
        <v>#REF!</v>
      </c>
      <c r="CM141" s="64" t="s">
        <v>267</v>
      </c>
      <c r="CN141" s="122"/>
      <c r="CO141" s="71" t="s">
        <v>268</v>
      </c>
      <c r="CP141" s="73" t="e">
        <f xml:space="preserve"> _xlfn.TEXTJOIN(" ", FALSE,#REF!)</f>
        <v>#REF!</v>
      </c>
      <c r="CQ141" s="122"/>
      <c r="CR141" s="71" t="s">
        <v>269</v>
      </c>
      <c r="CS141" s="73" t="e">
        <f xml:space="preserve"> _xlfn.TEXTJOIN(" ", FALSE,#REF!)</f>
        <v>#REF!</v>
      </c>
      <c r="CT141" s="122"/>
      <c r="CU141" s="71" t="s">
        <v>270</v>
      </c>
      <c r="CV141" s="72" t="e">
        <f xml:space="preserve"> _xlfn.TEXTJOIN(" ", FALSE,#REF!)</f>
        <v>#REF!</v>
      </c>
      <c r="CW141" s="122"/>
      <c r="CX141" s="71" t="s">
        <v>271</v>
      </c>
      <c r="CY141" s="72" t="e">
        <f xml:space="preserve"> _xlfn.TEXTJOIN(" ", FALSE,#REF!)</f>
        <v>#REF!</v>
      </c>
      <c r="CZ141" s="122"/>
      <c r="DA141" s="71" t="s">
        <v>272</v>
      </c>
      <c r="DB141" s="73" t="e">
        <f xml:space="preserve"> _xlfn.TEXTJOIN(" ", FALSE,#REF!)</f>
        <v>#REF!</v>
      </c>
      <c r="DC141" s="65" t="s">
        <v>277</v>
      </c>
      <c r="DD141" s="70" t="e">
        <f t="shared" si="18"/>
        <v>#REF!</v>
      </c>
      <c r="DE141" s="64" t="s">
        <v>273</v>
      </c>
      <c r="DF141" s="122"/>
      <c r="DG141" s="71" t="s">
        <v>274</v>
      </c>
      <c r="DH141" s="72" t="e">
        <f xml:space="preserve"> _xlfn.TEXTJOIN(" ", FALSE,#REF!)</f>
        <v>#REF!</v>
      </c>
      <c r="DI141" s="122"/>
      <c r="DJ141" s="71" t="s">
        <v>275</v>
      </c>
      <c r="DK141" s="73" t="e">
        <f xml:space="preserve"> _xlfn.TEXTJOIN(" ", FALSE,#REF!)</f>
        <v>#REF!</v>
      </c>
      <c r="DL141" s="65" t="s">
        <v>277</v>
      </c>
      <c r="DM141" s="70" t="e">
        <f t="shared" si="19"/>
        <v>#REF!</v>
      </c>
      <c r="DN141" s="70" t="e">
        <f t="shared" si="20"/>
        <v>#REF!</v>
      </c>
    </row>
    <row r="142" spans="1:118" ht="108" customHeight="1">
      <c r="A142" s="122" t="e">
        <f>Summary!A142</f>
        <v>#REF!</v>
      </c>
      <c r="B142" s="64" t="s">
        <v>233</v>
      </c>
      <c r="C142" s="65" t="e">
        <f>Summary!B142</f>
        <v>#REF!</v>
      </c>
      <c r="D142" s="122"/>
      <c r="E142" s="64" t="s">
        <v>235</v>
      </c>
      <c r="F142" s="132" t="e">
        <f>Summary!C142</f>
        <v>#REF!</v>
      </c>
      <c r="G142" s="64" t="s">
        <v>236</v>
      </c>
      <c r="H142" s="132" t="e">
        <f>Summary!D142</f>
        <v>#REF!</v>
      </c>
      <c r="I142" s="64" t="s">
        <v>237</v>
      </c>
      <c r="J142" s="66">
        <f>Summary!E142</f>
        <v>7</v>
      </c>
      <c r="K142" s="64" t="s">
        <v>238</v>
      </c>
      <c r="L142" s="132" t="e">
        <f>Summary!F142</f>
        <v>#REF!</v>
      </c>
      <c r="M142" s="64" t="s">
        <v>239</v>
      </c>
      <c r="N142" s="132" t="e">
        <f>Summary!G142</f>
        <v>#REF!</v>
      </c>
      <c r="O142" s="64" t="s">
        <v>240</v>
      </c>
      <c r="P142" s="132" t="e">
        <f>Summary!H142</f>
        <v>#REF!</v>
      </c>
      <c r="Q142" s="65" t="s">
        <v>277</v>
      </c>
      <c r="R142" s="70" t="e">
        <f t="shared" si="14"/>
        <v>#REF!</v>
      </c>
      <c r="S142" s="64" t="s">
        <v>243</v>
      </c>
      <c r="T142" s="122"/>
      <c r="U142" s="71" t="s">
        <v>244</v>
      </c>
      <c r="V142" s="72" t="e">
        <f xml:space="preserve"> _xlfn.TEXTJOIN(" ", FALSE,#REF!)</f>
        <v>#REF!</v>
      </c>
      <c r="W142" s="122"/>
      <c r="X142" s="71" t="s">
        <v>245</v>
      </c>
      <c r="Y142" s="72" t="e">
        <f xml:space="preserve"> _xlfn.TEXTJOIN(" ", FALSE,#REF!)</f>
        <v>#REF!</v>
      </c>
      <c r="Z142" s="122"/>
      <c r="AA142" s="71" t="s">
        <v>246</v>
      </c>
      <c r="AB142" s="72" t="e">
        <f xml:space="preserve"> _xlfn.TEXTJOIN(" ", FALSE,#REF!)</f>
        <v>#REF!</v>
      </c>
      <c r="AC142" s="122"/>
      <c r="AD142" s="71" t="s">
        <v>247</v>
      </c>
      <c r="AE142" s="72" t="e">
        <f xml:space="preserve"> _xlfn.TEXTJOIN(" ", FALSE,#REF!)</f>
        <v>#REF!</v>
      </c>
      <c r="AF142" s="122"/>
      <c r="AG142" s="71" t="s">
        <v>248</v>
      </c>
      <c r="AH142" s="73" t="e">
        <f xml:space="preserve"> _xlfn.TEXTJOIN(" ", FALSE,#REF!)</f>
        <v>#REF!</v>
      </c>
      <c r="AI142" s="122"/>
      <c r="AJ142" s="71" t="s">
        <v>249</v>
      </c>
      <c r="AK142" s="73" t="e">
        <f xml:space="preserve"> _xlfn.TEXTJOIN(" ", FALSE,#REF!)</f>
        <v>#REF!</v>
      </c>
      <c r="AL142" s="122"/>
      <c r="AM142" s="71" t="s">
        <v>250</v>
      </c>
      <c r="AN142" s="73" t="e">
        <f xml:space="preserve"> _xlfn.TEXTJOIN(" ", FALSE,#REF!)</f>
        <v>#REF!</v>
      </c>
      <c r="AO142" s="122"/>
      <c r="AP142" s="71" t="s">
        <v>251</v>
      </c>
      <c r="AQ142" s="72" t="e">
        <f xml:space="preserve"> _xlfn.TEXTJOIN(" ", FALSE,#REF!)</f>
        <v>#REF!</v>
      </c>
      <c r="AR142" s="122"/>
      <c r="AS142" s="71" t="s">
        <v>252</v>
      </c>
      <c r="AT142" s="72" t="e">
        <f xml:space="preserve"> _xlfn.TEXTJOIN(" ", FALSE,#REF!)</f>
        <v>#REF!</v>
      </c>
      <c r="AU142" s="122"/>
      <c r="AV142" s="71" t="s">
        <v>253</v>
      </c>
      <c r="AW142" s="73" t="e">
        <f xml:space="preserve"> _xlfn.TEXTJOIN(" ", FALSE,#REF!)</f>
        <v>#REF!</v>
      </c>
      <c r="AX142" s="122"/>
      <c r="AY142" s="71" t="s">
        <v>254</v>
      </c>
      <c r="AZ142" s="72" t="e">
        <f xml:space="preserve"> _xlfn.TEXTJOIN(" ", FALSE,#REF!)</f>
        <v>#REF!</v>
      </c>
      <c r="BA142" s="122"/>
      <c r="BB142" s="71" t="s">
        <v>255</v>
      </c>
      <c r="BC142" s="72" t="e">
        <f xml:space="preserve"> _xlfn.TEXTJOIN(" ", FALSE,#REF!)</f>
        <v>#REF!</v>
      </c>
      <c r="BD142" s="122"/>
      <c r="BE142" s="71" t="s">
        <v>256</v>
      </c>
      <c r="BF142" s="72" t="e">
        <f xml:space="preserve"> _xlfn.TEXTJOIN(" ", FALSE,#REF!)</f>
        <v>#REF!</v>
      </c>
      <c r="BG142" s="65" t="s">
        <v>277</v>
      </c>
      <c r="BH142" s="70" t="e">
        <f t="shared" si="15"/>
        <v>#REF!</v>
      </c>
      <c r="BI142" s="64" t="s">
        <v>257</v>
      </c>
      <c r="BJ142" s="122"/>
      <c r="BK142" s="71" t="s">
        <v>258</v>
      </c>
      <c r="BL142" s="74" t="str">
        <f>_xlfn.TEXTJOIN(" ", FALSE, 'Task 2a - Mitigating the Proble'!U142:AC142)</f>
        <v xml:space="preserve">1 1 1 1 0 1 0 0 </v>
      </c>
      <c r="BM142" s="65" t="s">
        <v>277</v>
      </c>
      <c r="BN142" s="70" t="str">
        <f t="shared" si="16"/>
        <v>[Details for Task 2a:]  /Question 12: 1 1 1 1 0 1 0 0  .</v>
      </c>
      <c r="BO142" s="64" t="s">
        <v>259</v>
      </c>
      <c r="BP142" s="122"/>
      <c r="BQ142" s="71" t="s">
        <v>260</v>
      </c>
      <c r="BR142" s="73" t="e">
        <f xml:space="preserve"> _xlfn.TEXTJOIN(" ", FALSE,#REF!)</f>
        <v>#REF!</v>
      </c>
      <c r="BS142" s="122"/>
      <c r="BT142" s="71" t="s">
        <v>261</v>
      </c>
      <c r="BU142" s="73" t="e">
        <f xml:space="preserve"> _xlfn.TEXTJOIN(" ", FALSE,#REF!)</f>
        <v>#REF!</v>
      </c>
      <c r="BV142" s="122"/>
      <c r="BW142" s="71" t="s">
        <v>262</v>
      </c>
      <c r="BX142" s="73" t="e">
        <f xml:space="preserve"> _xlfn.TEXTJOIN(" ", FALSE,#REF!)</f>
        <v>#REF!</v>
      </c>
      <c r="BY142" s="122"/>
      <c r="BZ142" s="71" t="s">
        <v>263</v>
      </c>
      <c r="CA142" s="73" t="e">
        <f xml:space="preserve"> _xlfn.TEXTJOIN(" ", FALSE,#REF!)</f>
        <v>#REF!</v>
      </c>
      <c r="CB142" s="122"/>
      <c r="CC142" s="71" t="s">
        <v>264</v>
      </c>
      <c r="CD142" s="73" t="e">
        <f xml:space="preserve"> _xlfn.TEXTJOIN(" ", FALSE,#REF!)</f>
        <v>#REF!</v>
      </c>
      <c r="CE142" s="122"/>
      <c r="CF142" s="71" t="s">
        <v>265</v>
      </c>
      <c r="CG142" s="73" t="e">
        <f xml:space="preserve"> _xlfn.TEXTJOIN(" ", FALSE,#REF!)</f>
        <v>#REF!</v>
      </c>
      <c r="CH142" s="122"/>
      <c r="CI142" s="74" t="s">
        <v>278</v>
      </c>
      <c r="CJ142" s="73" t="e">
        <f xml:space="preserve"> _xlfn.TEXTJOIN(" ", FALSE,#REF!)</f>
        <v>#REF!</v>
      </c>
      <c r="CK142" s="65" t="s">
        <v>277</v>
      </c>
      <c r="CL142" s="70" t="e">
        <f t="shared" si="17"/>
        <v>#REF!</v>
      </c>
      <c r="CM142" s="64" t="s">
        <v>267</v>
      </c>
      <c r="CN142" s="122"/>
      <c r="CO142" s="71" t="s">
        <v>268</v>
      </c>
      <c r="CP142" s="73" t="e">
        <f xml:space="preserve"> _xlfn.TEXTJOIN(" ", FALSE,#REF!)</f>
        <v>#REF!</v>
      </c>
      <c r="CQ142" s="122"/>
      <c r="CR142" s="71" t="s">
        <v>269</v>
      </c>
      <c r="CS142" s="73" t="e">
        <f xml:space="preserve"> _xlfn.TEXTJOIN(" ", FALSE,#REF!)</f>
        <v>#REF!</v>
      </c>
      <c r="CT142" s="122"/>
      <c r="CU142" s="71" t="s">
        <v>270</v>
      </c>
      <c r="CV142" s="72" t="e">
        <f xml:space="preserve"> _xlfn.TEXTJOIN(" ", FALSE,#REF!)</f>
        <v>#REF!</v>
      </c>
      <c r="CW142" s="122"/>
      <c r="CX142" s="71" t="s">
        <v>271</v>
      </c>
      <c r="CY142" s="72" t="e">
        <f xml:space="preserve"> _xlfn.TEXTJOIN(" ", FALSE,#REF!)</f>
        <v>#REF!</v>
      </c>
      <c r="CZ142" s="122"/>
      <c r="DA142" s="71" t="s">
        <v>272</v>
      </c>
      <c r="DB142" s="73" t="e">
        <f xml:space="preserve"> _xlfn.TEXTJOIN(" ", FALSE,#REF!)</f>
        <v>#REF!</v>
      </c>
      <c r="DC142" s="65" t="s">
        <v>277</v>
      </c>
      <c r="DD142" s="70" t="e">
        <f t="shared" si="18"/>
        <v>#REF!</v>
      </c>
      <c r="DE142" s="64" t="s">
        <v>273</v>
      </c>
      <c r="DF142" s="122"/>
      <c r="DG142" s="71" t="s">
        <v>274</v>
      </c>
      <c r="DH142" s="72" t="e">
        <f xml:space="preserve"> _xlfn.TEXTJOIN(" ", FALSE,#REF!)</f>
        <v>#REF!</v>
      </c>
      <c r="DI142" s="122"/>
      <c r="DJ142" s="71" t="s">
        <v>275</v>
      </c>
      <c r="DK142" s="73" t="e">
        <f xml:space="preserve"> _xlfn.TEXTJOIN(" ", FALSE,#REF!)</f>
        <v>#REF!</v>
      </c>
      <c r="DL142" s="65" t="s">
        <v>277</v>
      </c>
      <c r="DM142" s="70" t="e">
        <f t="shared" si="19"/>
        <v>#REF!</v>
      </c>
      <c r="DN142" s="70" t="e">
        <f t="shared" si="20"/>
        <v>#REF!</v>
      </c>
    </row>
    <row r="143" spans="1:118" ht="108" customHeight="1">
      <c r="A143" s="122" t="e">
        <f>Summary!A143</f>
        <v>#REF!</v>
      </c>
      <c r="B143" s="64" t="s">
        <v>233</v>
      </c>
      <c r="C143" s="65" t="e">
        <f>Summary!B143</f>
        <v>#REF!</v>
      </c>
      <c r="D143" s="122"/>
      <c r="E143" s="64" t="s">
        <v>235</v>
      </c>
      <c r="F143" s="132" t="e">
        <f>Summary!C143</f>
        <v>#REF!</v>
      </c>
      <c r="G143" s="64" t="s">
        <v>236</v>
      </c>
      <c r="H143" s="132" t="e">
        <f>Summary!D143</f>
        <v>#REF!</v>
      </c>
      <c r="I143" s="64" t="s">
        <v>237</v>
      </c>
      <c r="J143" s="66">
        <f>Summary!E143</f>
        <v>5</v>
      </c>
      <c r="K143" s="64" t="s">
        <v>238</v>
      </c>
      <c r="L143" s="132" t="e">
        <f>Summary!F143</f>
        <v>#REF!</v>
      </c>
      <c r="M143" s="64" t="s">
        <v>239</v>
      </c>
      <c r="N143" s="132" t="e">
        <f>Summary!G143</f>
        <v>#REF!</v>
      </c>
      <c r="O143" s="64" t="s">
        <v>240</v>
      </c>
      <c r="P143" s="132" t="e">
        <f>Summary!H143</f>
        <v>#REF!</v>
      </c>
      <c r="Q143" s="65" t="s">
        <v>277</v>
      </c>
      <c r="R143" s="70" t="e">
        <f t="shared" si="14"/>
        <v>#REF!</v>
      </c>
      <c r="S143" s="64" t="s">
        <v>243</v>
      </c>
      <c r="T143" s="122"/>
      <c r="U143" s="71" t="s">
        <v>244</v>
      </c>
      <c r="V143" s="72" t="e">
        <f xml:space="preserve"> _xlfn.TEXTJOIN(" ", FALSE,#REF!)</f>
        <v>#REF!</v>
      </c>
      <c r="W143" s="122"/>
      <c r="X143" s="71" t="s">
        <v>245</v>
      </c>
      <c r="Y143" s="72" t="e">
        <f xml:space="preserve"> _xlfn.TEXTJOIN(" ", FALSE,#REF!)</f>
        <v>#REF!</v>
      </c>
      <c r="Z143" s="122"/>
      <c r="AA143" s="71" t="s">
        <v>246</v>
      </c>
      <c r="AB143" s="72" t="e">
        <f xml:space="preserve"> _xlfn.TEXTJOIN(" ", FALSE,#REF!)</f>
        <v>#REF!</v>
      </c>
      <c r="AC143" s="122"/>
      <c r="AD143" s="71" t="s">
        <v>247</v>
      </c>
      <c r="AE143" s="72" t="e">
        <f xml:space="preserve"> _xlfn.TEXTJOIN(" ", FALSE,#REF!)</f>
        <v>#REF!</v>
      </c>
      <c r="AF143" s="122"/>
      <c r="AG143" s="71" t="s">
        <v>248</v>
      </c>
      <c r="AH143" s="73" t="e">
        <f xml:space="preserve"> _xlfn.TEXTJOIN(" ", FALSE,#REF!)</f>
        <v>#REF!</v>
      </c>
      <c r="AI143" s="122"/>
      <c r="AJ143" s="71" t="s">
        <v>249</v>
      </c>
      <c r="AK143" s="73" t="e">
        <f xml:space="preserve"> _xlfn.TEXTJOIN(" ", FALSE,#REF!)</f>
        <v>#REF!</v>
      </c>
      <c r="AL143" s="122"/>
      <c r="AM143" s="71" t="s">
        <v>250</v>
      </c>
      <c r="AN143" s="73" t="e">
        <f xml:space="preserve"> _xlfn.TEXTJOIN(" ", FALSE,#REF!)</f>
        <v>#REF!</v>
      </c>
      <c r="AO143" s="122"/>
      <c r="AP143" s="71" t="s">
        <v>251</v>
      </c>
      <c r="AQ143" s="72" t="e">
        <f xml:space="preserve"> _xlfn.TEXTJOIN(" ", FALSE,#REF!)</f>
        <v>#REF!</v>
      </c>
      <c r="AR143" s="122"/>
      <c r="AS143" s="71" t="s">
        <v>252</v>
      </c>
      <c r="AT143" s="72" t="e">
        <f xml:space="preserve"> _xlfn.TEXTJOIN(" ", FALSE,#REF!)</f>
        <v>#REF!</v>
      </c>
      <c r="AU143" s="122"/>
      <c r="AV143" s="71" t="s">
        <v>253</v>
      </c>
      <c r="AW143" s="73" t="e">
        <f xml:space="preserve"> _xlfn.TEXTJOIN(" ", FALSE,#REF!)</f>
        <v>#REF!</v>
      </c>
      <c r="AX143" s="122"/>
      <c r="AY143" s="71" t="s">
        <v>254</v>
      </c>
      <c r="AZ143" s="72" t="e">
        <f xml:space="preserve"> _xlfn.TEXTJOIN(" ", FALSE,#REF!)</f>
        <v>#REF!</v>
      </c>
      <c r="BA143" s="122"/>
      <c r="BB143" s="71" t="s">
        <v>255</v>
      </c>
      <c r="BC143" s="72" t="e">
        <f xml:space="preserve"> _xlfn.TEXTJOIN(" ", FALSE,#REF!)</f>
        <v>#REF!</v>
      </c>
      <c r="BD143" s="122"/>
      <c r="BE143" s="71" t="s">
        <v>256</v>
      </c>
      <c r="BF143" s="72" t="e">
        <f xml:space="preserve"> _xlfn.TEXTJOIN(" ", FALSE,#REF!)</f>
        <v>#REF!</v>
      </c>
      <c r="BG143" s="65" t="s">
        <v>277</v>
      </c>
      <c r="BH143" s="70" t="e">
        <f t="shared" si="15"/>
        <v>#REF!</v>
      </c>
      <c r="BI143" s="64" t="s">
        <v>257</v>
      </c>
      <c r="BJ143" s="122"/>
      <c r="BK143" s="71" t="s">
        <v>258</v>
      </c>
      <c r="BL143" s="74" t="str">
        <f>_xlfn.TEXTJOIN(" ", FALSE, 'Task 2a - Mitigating the Proble'!U143:AC143)</f>
        <v xml:space="preserve">1 0 0 0 0 1 0 0 </v>
      </c>
      <c r="BM143" s="65" t="s">
        <v>277</v>
      </c>
      <c r="BN143" s="70" t="str">
        <f t="shared" si="16"/>
        <v>[Details for Task 2a:]  /Question 12: 1 0 0 0 0 1 0 0  .</v>
      </c>
      <c r="BO143" s="64" t="s">
        <v>259</v>
      </c>
      <c r="BP143" s="122"/>
      <c r="BQ143" s="71" t="s">
        <v>260</v>
      </c>
      <c r="BR143" s="73" t="e">
        <f xml:space="preserve"> _xlfn.TEXTJOIN(" ", FALSE,#REF!)</f>
        <v>#REF!</v>
      </c>
      <c r="BS143" s="122"/>
      <c r="BT143" s="71" t="s">
        <v>261</v>
      </c>
      <c r="BU143" s="73" t="e">
        <f xml:space="preserve"> _xlfn.TEXTJOIN(" ", FALSE,#REF!)</f>
        <v>#REF!</v>
      </c>
      <c r="BV143" s="122"/>
      <c r="BW143" s="71" t="s">
        <v>262</v>
      </c>
      <c r="BX143" s="73" t="e">
        <f xml:space="preserve"> _xlfn.TEXTJOIN(" ", FALSE,#REF!)</f>
        <v>#REF!</v>
      </c>
      <c r="BY143" s="122"/>
      <c r="BZ143" s="71" t="s">
        <v>263</v>
      </c>
      <c r="CA143" s="73" t="e">
        <f xml:space="preserve"> _xlfn.TEXTJOIN(" ", FALSE,#REF!)</f>
        <v>#REF!</v>
      </c>
      <c r="CB143" s="122"/>
      <c r="CC143" s="71" t="s">
        <v>264</v>
      </c>
      <c r="CD143" s="73" t="e">
        <f xml:space="preserve"> _xlfn.TEXTJOIN(" ", FALSE,#REF!)</f>
        <v>#REF!</v>
      </c>
      <c r="CE143" s="122"/>
      <c r="CF143" s="71" t="s">
        <v>265</v>
      </c>
      <c r="CG143" s="73" t="e">
        <f xml:space="preserve"> _xlfn.TEXTJOIN(" ", FALSE,#REF!)</f>
        <v>#REF!</v>
      </c>
      <c r="CH143" s="122"/>
      <c r="CI143" s="74" t="s">
        <v>278</v>
      </c>
      <c r="CJ143" s="73" t="e">
        <f xml:space="preserve"> _xlfn.TEXTJOIN(" ", FALSE,#REF!)</f>
        <v>#REF!</v>
      </c>
      <c r="CK143" s="65" t="s">
        <v>277</v>
      </c>
      <c r="CL143" s="70" t="e">
        <f t="shared" si="17"/>
        <v>#REF!</v>
      </c>
      <c r="CM143" s="64" t="s">
        <v>267</v>
      </c>
      <c r="CN143" s="122"/>
      <c r="CO143" s="71" t="s">
        <v>268</v>
      </c>
      <c r="CP143" s="73" t="e">
        <f xml:space="preserve"> _xlfn.TEXTJOIN(" ", FALSE,#REF!)</f>
        <v>#REF!</v>
      </c>
      <c r="CQ143" s="122"/>
      <c r="CR143" s="71" t="s">
        <v>269</v>
      </c>
      <c r="CS143" s="73" t="e">
        <f xml:space="preserve"> _xlfn.TEXTJOIN(" ", FALSE,#REF!)</f>
        <v>#REF!</v>
      </c>
      <c r="CT143" s="122"/>
      <c r="CU143" s="71" t="s">
        <v>270</v>
      </c>
      <c r="CV143" s="72" t="e">
        <f xml:space="preserve"> _xlfn.TEXTJOIN(" ", FALSE,#REF!)</f>
        <v>#REF!</v>
      </c>
      <c r="CW143" s="122"/>
      <c r="CX143" s="71" t="s">
        <v>271</v>
      </c>
      <c r="CY143" s="72" t="e">
        <f xml:space="preserve"> _xlfn.TEXTJOIN(" ", FALSE,#REF!)</f>
        <v>#REF!</v>
      </c>
      <c r="CZ143" s="122"/>
      <c r="DA143" s="71" t="s">
        <v>272</v>
      </c>
      <c r="DB143" s="73" t="e">
        <f xml:space="preserve"> _xlfn.TEXTJOIN(" ", FALSE,#REF!)</f>
        <v>#REF!</v>
      </c>
      <c r="DC143" s="65" t="s">
        <v>277</v>
      </c>
      <c r="DD143" s="70" t="e">
        <f t="shared" si="18"/>
        <v>#REF!</v>
      </c>
      <c r="DE143" s="64" t="s">
        <v>273</v>
      </c>
      <c r="DF143" s="122"/>
      <c r="DG143" s="71" t="s">
        <v>274</v>
      </c>
      <c r="DH143" s="72" t="e">
        <f xml:space="preserve"> _xlfn.TEXTJOIN(" ", FALSE,#REF!)</f>
        <v>#REF!</v>
      </c>
      <c r="DI143" s="122"/>
      <c r="DJ143" s="71" t="s">
        <v>275</v>
      </c>
      <c r="DK143" s="73" t="e">
        <f xml:space="preserve"> _xlfn.TEXTJOIN(" ", FALSE,#REF!)</f>
        <v>#REF!</v>
      </c>
      <c r="DL143" s="65" t="s">
        <v>277</v>
      </c>
      <c r="DM143" s="70" t="e">
        <f t="shared" si="19"/>
        <v>#REF!</v>
      </c>
      <c r="DN143" s="70" t="e">
        <f t="shared" si="20"/>
        <v>#REF!</v>
      </c>
    </row>
    <row r="144" spans="1:118" ht="108" customHeight="1">
      <c r="A144" s="122" t="e">
        <f>Summary!A144</f>
        <v>#REF!</v>
      </c>
      <c r="B144" s="64" t="s">
        <v>233</v>
      </c>
      <c r="C144" s="65" t="e">
        <f>Summary!B144</f>
        <v>#REF!</v>
      </c>
      <c r="D144" s="122"/>
      <c r="E144" s="64" t="s">
        <v>235</v>
      </c>
      <c r="F144" s="132" t="e">
        <f>Summary!C144</f>
        <v>#REF!</v>
      </c>
      <c r="G144" s="64" t="s">
        <v>236</v>
      </c>
      <c r="H144" s="132" t="e">
        <f>Summary!D144</f>
        <v>#REF!</v>
      </c>
      <c r="I144" s="64" t="s">
        <v>237</v>
      </c>
      <c r="J144" s="66">
        <f>Summary!E144</f>
        <v>7</v>
      </c>
      <c r="K144" s="64" t="s">
        <v>238</v>
      </c>
      <c r="L144" s="132" t="e">
        <f>Summary!F144</f>
        <v>#REF!</v>
      </c>
      <c r="M144" s="64" t="s">
        <v>239</v>
      </c>
      <c r="N144" s="132" t="e">
        <f>Summary!G144</f>
        <v>#REF!</v>
      </c>
      <c r="O144" s="64" t="s">
        <v>240</v>
      </c>
      <c r="P144" s="132" t="e">
        <f>Summary!H144</f>
        <v>#REF!</v>
      </c>
      <c r="Q144" s="65" t="s">
        <v>277</v>
      </c>
      <c r="R144" s="70" t="e">
        <f t="shared" si="14"/>
        <v>#REF!</v>
      </c>
      <c r="S144" s="64" t="s">
        <v>243</v>
      </c>
      <c r="T144" s="122"/>
      <c r="U144" s="71" t="s">
        <v>244</v>
      </c>
      <c r="V144" s="72" t="e">
        <f xml:space="preserve"> _xlfn.TEXTJOIN(" ", FALSE,#REF!)</f>
        <v>#REF!</v>
      </c>
      <c r="W144" s="122"/>
      <c r="X144" s="71" t="s">
        <v>245</v>
      </c>
      <c r="Y144" s="72" t="e">
        <f xml:space="preserve"> _xlfn.TEXTJOIN(" ", FALSE,#REF!)</f>
        <v>#REF!</v>
      </c>
      <c r="Z144" s="122"/>
      <c r="AA144" s="71" t="s">
        <v>246</v>
      </c>
      <c r="AB144" s="72" t="e">
        <f xml:space="preserve"> _xlfn.TEXTJOIN(" ", FALSE,#REF!)</f>
        <v>#REF!</v>
      </c>
      <c r="AC144" s="122"/>
      <c r="AD144" s="71" t="s">
        <v>247</v>
      </c>
      <c r="AE144" s="72" t="e">
        <f xml:space="preserve"> _xlfn.TEXTJOIN(" ", FALSE,#REF!)</f>
        <v>#REF!</v>
      </c>
      <c r="AF144" s="122"/>
      <c r="AG144" s="71" t="s">
        <v>248</v>
      </c>
      <c r="AH144" s="73" t="e">
        <f xml:space="preserve"> _xlfn.TEXTJOIN(" ", FALSE,#REF!)</f>
        <v>#REF!</v>
      </c>
      <c r="AI144" s="122"/>
      <c r="AJ144" s="71" t="s">
        <v>249</v>
      </c>
      <c r="AK144" s="73" t="e">
        <f xml:space="preserve"> _xlfn.TEXTJOIN(" ", FALSE,#REF!)</f>
        <v>#REF!</v>
      </c>
      <c r="AL144" s="122"/>
      <c r="AM144" s="71" t="s">
        <v>250</v>
      </c>
      <c r="AN144" s="73" t="e">
        <f xml:space="preserve"> _xlfn.TEXTJOIN(" ", FALSE,#REF!)</f>
        <v>#REF!</v>
      </c>
      <c r="AO144" s="122"/>
      <c r="AP144" s="71" t="s">
        <v>251</v>
      </c>
      <c r="AQ144" s="72" t="e">
        <f xml:space="preserve"> _xlfn.TEXTJOIN(" ", FALSE,#REF!)</f>
        <v>#REF!</v>
      </c>
      <c r="AR144" s="122"/>
      <c r="AS144" s="71" t="s">
        <v>252</v>
      </c>
      <c r="AT144" s="72" t="e">
        <f xml:space="preserve"> _xlfn.TEXTJOIN(" ", FALSE,#REF!)</f>
        <v>#REF!</v>
      </c>
      <c r="AU144" s="122"/>
      <c r="AV144" s="71" t="s">
        <v>253</v>
      </c>
      <c r="AW144" s="73" t="e">
        <f xml:space="preserve"> _xlfn.TEXTJOIN(" ", FALSE,#REF!)</f>
        <v>#REF!</v>
      </c>
      <c r="AX144" s="122"/>
      <c r="AY144" s="71" t="s">
        <v>254</v>
      </c>
      <c r="AZ144" s="72" t="e">
        <f xml:space="preserve"> _xlfn.TEXTJOIN(" ", FALSE,#REF!)</f>
        <v>#REF!</v>
      </c>
      <c r="BA144" s="122"/>
      <c r="BB144" s="71" t="s">
        <v>255</v>
      </c>
      <c r="BC144" s="72" t="e">
        <f xml:space="preserve"> _xlfn.TEXTJOIN(" ", FALSE,#REF!)</f>
        <v>#REF!</v>
      </c>
      <c r="BD144" s="122"/>
      <c r="BE144" s="71" t="s">
        <v>256</v>
      </c>
      <c r="BF144" s="72" t="e">
        <f xml:space="preserve"> _xlfn.TEXTJOIN(" ", FALSE,#REF!)</f>
        <v>#REF!</v>
      </c>
      <c r="BG144" s="65" t="s">
        <v>277</v>
      </c>
      <c r="BH144" s="70" t="e">
        <f t="shared" si="15"/>
        <v>#REF!</v>
      </c>
      <c r="BI144" s="64" t="s">
        <v>257</v>
      </c>
      <c r="BJ144" s="122"/>
      <c r="BK144" s="71" t="s">
        <v>258</v>
      </c>
      <c r="BL144" s="74" t="str">
        <f>_xlfn.TEXTJOIN(" ", FALSE, 'Task 2a - Mitigating the Proble'!U144:AC144)</f>
        <v xml:space="preserve">1 1 1 0 1 1 0 0 </v>
      </c>
      <c r="BM144" s="65" t="s">
        <v>277</v>
      </c>
      <c r="BN144" s="70" t="str">
        <f t="shared" si="16"/>
        <v>[Details for Task 2a:]  /Question 12: 1 1 1 0 1 1 0 0  .</v>
      </c>
      <c r="BO144" s="64" t="s">
        <v>259</v>
      </c>
      <c r="BP144" s="122"/>
      <c r="BQ144" s="71" t="s">
        <v>260</v>
      </c>
      <c r="BR144" s="73" t="e">
        <f xml:space="preserve"> _xlfn.TEXTJOIN(" ", FALSE,#REF!)</f>
        <v>#REF!</v>
      </c>
      <c r="BS144" s="122"/>
      <c r="BT144" s="71" t="s">
        <v>261</v>
      </c>
      <c r="BU144" s="73" t="e">
        <f xml:space="preserve"> _xlfn.TEXTJOIN(" ", FALSE,#REF!)</f>
        <v>#REF!</v>
      </c>
      <c r="BV144" s="122"/>
      <c r="BW144" s="71" t="s">
        <v>262</v>
      </c>
      <c r="BX144" s="73" t="e">
        <f xml:space="preserve"> _xlfn.TEXTJOIN(" ", FALSE,#REF!)</f>
        <v>#REF!</v>
      </c>
      <c r="BY144" s="122"/>
      <c r="BZ144" s="71" t="s">
        <v>263</v>
      </c>
      <c r="CA144" s="73" t="e">
        <f xml:space="preserve"> _xlfn.TEXTJOIN(" ", FALSE,#REF!)</f>
        <v>#REF!</v>
      </c>
      <c r="CB144" s="122"/>
      <c r="CC144" s="71" t="s">
        <v>264</v>
      </c>
      <c r="CD144" s="73" t="e">
        <f xml:space="preserve"> _xlfn.TEXTJOIN(" ", FALSE,#REF!)</f>
        <v>#REF!</v>
      </c>
      <c r="CE144" s="122"/>
      <c r="CF144" s="71" t="s">
        <v>265</v>
      </c>
      <c r="CG144" s="73" t="e">
        <f xml:space="preserve"> _xlfn.TEXTJOIN(" ", FALSE,#REF!)</f>
        <v>#REF!</v>
      </c>
      <c r="CH144" s="122"/>
      <c r="CI144" s="74" t="s">
        <v>278</v>
      </c>
      <c r="CJ144" s="73" t="e">
        <f xml:space="preserve"> _xlfn.TEXTJOIN(" ", FALSE,#REF!)</f>
        <v>#REF!</v>
      </c>
      <c r="CK144" s="65" t="s">
        <v>277</v>
      </c>
      <c r="CL144" s="70" t="e">
        <f t="shared" si="17"/>
        <v>#REF!</v>
      </c>
      <c r="CM144" s="64" t="s">
        <v>267</v>
      </c>
      <c r="CN144" s="122"/>
      <c r="CO144" s="71" t="s">
        <v>268</v>
      </c>
      <c r="CP144" s="73" t="e">
        <f xml:space="preserve"> _xlfn.TEXTJOIN(" ", FALSE,#REF!)</f>
        <v>#REF!</v>
      </c>
      <c r="CQ144" s="122"/>
      <c r="CR144" s="71" t="s">
        <v>269</v>
      </c>
      <c r="CS144" s="73" t="e">
        <f xml:space="preserve"> _xlfn.TEXTJOIN(" ", FALSE,#REF!)</f>
        <v>#REF!</v>
      </c>
      <c r="CT144" s="122"/>
      <c r="CU144" s="71" t="s">
        <v>270</v>
      </c>
      <c r="CV144" s="72" t="e">
        <f xml:space="preserve"> _xlfn.TEXTJOIN(" ", FALSE,#REF!)</f>
        <v>#REF!</v>
      </c>
      <c r="CW144" s="122"/>
      <c r="CX144" s="71" t="s">
        <v>271</v>
      </c>
      <c r="CY144" s="72" t="e">
        <f xml:space="preserve"> _xlfn.TEXTJOIN(" ", FALSE,#REF!)</f>
        <v>#REF!</v>
      </c>
      <c r="CZ144" s="122"/>
      <c r="DA144" s="71" t="s">
        <v>272</v>
      </c>
      <c r="DB144" s="73" t="e">
        <f xml:space="preserve"> _xlfn.TEXTJOIN(" ", FALSE,#REF!)</f>
        <v>#REF!</v>
      </c>
      <c r="DC144" s="65" t="s">
        <v>277</v>
      </c>
      <c r="DD144" s="70" t="e">
        <f t="shared" si="18"/>
        <v>#REF!</v>
      </c>
      <c r="DE144" s="64" t="s">
        <v>273</v>
      </c>
      <c r="DF144" s="122"/>
      <c r="DG144" s="71" t="s">
        <v>274</v>
      </c>
      <c r="DH144" s="72" t="e">
        <f xml:space="preserve"> _xlfn.TEXTJOIN(" ", FALSE,#REF!)</f>
        <v>#REF!</v>
      </c>
      <c r="DI144" s="122"/>
      <c r="DJ144" s="71" t="s">
        <v>275</v>
      </c>
      <c r="DK144" s="73" t="e">
        <f xml:space="preserve"> _xlfn.TEXTJOIN(" ", FALSE,#REF!)</f>
        <v>#REF!</v>
      </c>
      <c r="DL144" s="65" t="s">
        <v>277</v>
      </c>
      <c r="DM144" s="70" t="e">
        <f t="shared" si="19"/>
        <v>#REF!</v>
      </c>
      <c r="DN144" s="70" t="e">
        <f t="shared" si="20"/>
        <v>#REF!</v>
      </c>
    </row>
    <row r="145" spans="1:118" ht="108" customHeight="1">
      <c r="A145" s="122" t="e">
        <f>Summary!A145</f>
        <v>#REF!</v>
      </c>
      <c r="B145" s="64" t="s">
        <v>233</v>
      </c>
      <c r="C145" s="65" t="e">
        <f>Summary!B145</f>
        <v>#REF!</v>
      </c>
      <c r="D145" s="122"/>
      <c r="E145" s="64" t="s">
        <v>235</v>
      </c>
      <c r="F145" s="132" t="e">
        <f>Summary!C145</f>
        <v>#REF!</v>
      </c>
      <c r="G145" s="64" t="s">
        <v>236</v>
      </c>
      <c r="H145" s="132" t="e">
        <f>Summary!D145</f>
        <v>#REF!</v>
      </c>
      <c r="I145" s="64" t="s">
        <v>237</v>
      </c>
      <c r="J145" s="66">
        <f>Summary!E145</f>
        <v>10</v>
      </c>
      <c r="K145" s="64" t="s">
        <v>238</v>
      </c>
      <c r="L145" s="132" t="e">
        <f>Summary!F145</f>
        <v>#REF!</v>
      </c>
      <c r="M145" s="64" t="s">
        <v>239</v>
      </c>
      <c r="N145" s="132" t="e">
        <f>Summary!G145</f>
        <v>#REF!</v>
      </c>
      <c r="O145" s="64" t="s">
        <v>240</v>
      </c>
      <c r="P145" s="132" t="e">
        <f>Summary!H145</f>
        <v>#REF!</v>
      </c>
      <c r="Q145" s="65" t="s">
        <v>277</v>
      </c>
      <c r="R145" s="70" t="e">
        <f t="shared" si="14"/>
        <v>#REF!</v>
      </c>
      <c r="S145" s="64" t="s">
        <v>243</v>
      </c>
      <c r="T145" s="122"/>
      <c r="U145" s="71" t="s">
        <v>244</v>
      </c>
      <c r="V145" s="72" t="e">
        <f xml:space="preserve"> _xlfn.TEXTJOIN(" ", FALSE,#REF!)</f>
        <v>#REF!</v>
      </c>
      <c r="W145" s="122"/>
      <c r="X145" s="71" t="s">
        <v>245</v>
      </c>
      <c r="Y145" s="72" t="e">
        <f xml:space="preserve"> _xlfn.TEXTJOIN(" ", FALSE,#REF!)</f>
        <v>#REF!</v>
      </c>
      <c r="Z145" s="122"/>
      <c r="AA145" s="71" t="s">
        <v>246</v>
      </c>
      <c r="AB145" s="72" t="e">
        <f xml:space="preserve"> _xlfn.TEXTJOIN(" ", FALSE,#REF!)</f>
        <v>#REF!</v>
      </c>
      <c r="AC145" s="122"/>
      <c r="AD145" s="71" t="s">
        <v>247</v>
      </c>
      <c r="AE145" s="72" t="e">
        <f xml:space="preserve"> _xlfn.TEXTJOIN(" ", FALSE,#REF!)</f>
        <v>#REF!</v>
      </c>
      <c r="AF145" s="122"/>
      <c r="AG145" s="71" t="s">
        <v>248</v>
      </c>
      <c r="AH145" s="73" t="e">
        <f xml:space="preserve"> _xlfn.TEXTJOIN(" ", FALSE,#REF!)</f>
        <v>#REF!</v>
      </c>
      <c r="AI145" s="122"/>
      <c r="AJ145" s="71" t="s">
        <v>249</v>
      </c>
      <c r="AK145" s="73" t="e">
        <f xml:space="preserve"> _xlfn.TEXTJOIN(" ", FALSE,#REF!)</f>
        <v>#REF!</v>
      </c>
      <c r="AL145" s="122"/>
      <c r="AM145" s="71" t="s">
        <v>250</v>
      </c>
      <c r="AN145" s="73" t="e">
        <f xml:space="preserve"> _xlfn.TEXTJOIN(" ", FALSE,#REF!)</f>
        <v>#REF!</v>
      </c>
      <c r="AO145" s="122"/>
      <c r="AP145" s="71" t="s">
        <v>251</v>
      </c>
      <c r="AQ145" s="72" t="e">
        <f xml:space="preserve"> _xlfn.TEXTJOIN(" ", FALSE,#REF!)</f>
        <v>#REF!</v>
      </c>
      <c r="AR145" s="122"/>
      <c r="AS145" s="71" t="s">
        <v>252</v>
      </c>
      <c r="AT145" s="72" t="e">
        <f xml:space="preserve"> _xlfn.TEXTJOIN(" ", FALSE,#REF!)</f>
        <v>#REF!</v>
      </c>
      <c r="AU145" s="122"/>
      <c r="AV145" s="71" t="s">
        <v>253</v>
      </c>
      <c r="AW145" s="73" t="e">
        <f xml:space="preserve"> _xlfn.TEXTJOIN(" ", FALSE,#REF!)</f>
        <v>#REF!</v>
      </c>
      <c r="AX145" s="122"/>
      <c r="AY145" s="71" t="s">
        <v>254</v>
      </c>
      <c r="AZ145" s="72" t="e">
        <f xml:space="preserve"> _xlfn.TEXTJOIN(" ", FALSE,#REF!)</f>
        <v>#REF!</v>
      </c>
      <c r="BA145" s="122"/>
      <c r="BB145" s="71" t="s">
        <v>255</v>
      </c>
      <c r="BC145" s="72" t="e">
        <f xml:space="preserve"> _xlfn.TEXTJOIN(" ", FALSE,#REF!)</f>
        <v>#REF!</v>
      </c>
      <c r="BD145" s="122"/>
      <c r="BE145" s="71" t="s">
        <v>256</v>
      </c>
      <c r="BF145" s="72" t="e">
        <f xml:space="preserve"> _xlfn.TEXTJOIN(" ", FALSE,#REF!)</f>
        <v>#REF!</v>
      </c>
      <c r="BG145" s="65" t="s">
        <v>277</v>
      </c>
      <c r="BH145" s="70" t="e">
        <f t="shared" si="15"/>
        <v>#REF!</v>
      </c>
      <c r="BI145" s="64" t="s">
        <v>257</v>
      </c>
      <c r="BJ145" s="122"/>
      <c r="BK145" s="71" t="s">
        <v>258</v>
      </c>
      <c r="BL145" s="74" t="str">
        <f>_xlfn.TEXTJOIN(" ", FALSE, 'Task 2a - Mitigating the Proble'!U145:AC145)</f>
        <v>1 1 1 1 1 1 1 1 Good job mentioning how we can find the optimal set of hyper-parameters.</v>
      </c>
      <c r="BM145" s="65" t="s">
        <v>277</v>
      </c>
      <c r="BN145" s="70" t="str">
        <f t="shared" si="16"/>
        <v>[Details for Task 2a:]  /Question 12: 1 1 1 1 1 1 1 1 Good job mentioning how we can find the optimal set of hyper-parameters. .</v>
      </c>
      <c r="BO145" s="64" t="s">
        <v>259</v>
      </c>
      <c r="BP145" s="122"/>
      <c r="BQ145" s="71" t="s">
        <v>260</v>
      </c>
      <c r="BR145" s="73" t="e">
        <f xml:space="preserve"> _xlfn.TEXTJOIN(" ", FALSE,#REF!)</f>
        <v>#REF!</v>
      </c>
      <c r="BS145" s="122"/>
      <c r="BT145" s="71" t="s">
        <v>261</v>
      </c>
      <c r="BU145" s="73" t="e">
        <f xml:space="preserve"> _xlfn.TEXTJOIN(" ", FALSE,#REF!)</f>
        <v>#REF!</v>
      </c>
      <c r="BV145" s="122"/>
      <c r="BW145" s="71" t="s">
        <v>262</v>
      </c>
      <c r="BX145" s="73" t="e">
        <f xml:space="preserve"> _xlfn.TEXTJOIN(" ", FALSE,#REF!)</f>
        <v>#REF!</v>
      </c>
      <c r="BY145" s="122"/>
      <c r="BZ145" s="71" t="s">
        <v>263</v>
      </c>
      <c r="CA145" s="73" t="e">
        <f xml:space="preserve"> _xlfn.TEXTJOIN(" ", FALSE,#REF!)</f>
        <v>#REF!</v>
      </c>
      <c r="CB145" s="122"/>
      <c r="CC145" s="71" t="s">
        <v>264</v>
      </c>
      <c r="CD145" s="73" t="e">
        <f xml:space="preserve"> _xlfn.TEXTJOIN(" ", FALSE,#REF!)</f>
        <v>#REF!</v>
      </c>
      <c r="CE145" s="122"/>
      <c r="CF145" s="71" t="s">
        <v>265</v>
      </c>
      <c r="CG145" s="73" t="e">
        <f xml:space="preserve"> _xlfn.TEXTJOIN(" ", FALSE,#REF!)</f>
        <v>#REF!</v>
      </c>
      <c r="CH145" s="122"/>
      <c r="CI145" s="74" t="s">
        <v>278</v>
      </c>
      <c r="CJ145" s="73" t="e">
        <f xml:space="preserve"> _xlfn.TEXTJOIN(" ", FALSE,#REF!)</f>
        <v>#REF!</v>
      </c>
      <c r="CK145" s="65" t="s">
        <v>277</v>
      </c>
      <c r="CL145" s="70" t="e">
        <f t="shared" si="17"/>
        <v>#REF!</v>
      </c>
      <c r="CM145" s="64" t="s">
        <v>267</v>
      </c>
      <c r="CN145" s="122"/>
      <c r="CO145" s="71" t="s">
        <v>268</v>
      </c>
      <c r="CP145" s="73" t="e">
        <f xml:space="preserve"> _xlfn.TEXTJOIN(" ", FALSE,#REF!)</f>
        <v>#REF!</v>
      </c>
      <c r="CQ145" s="122"/>
      <c r="CR145" s="71" t="s">
        <v>269</v>
      </c>
      <c r="CS145" s="73" t="e">
        <f xml:space="preserve"> _xlfn.TEXTJOIN(" ", FALSE,#REF!)</f>
        <v>#REF!</v>
      </c>
      <c r="CT145" s="122"/>
      <c r="CU145" s="71" t="s">
        <v>270</v>
      </c>
      <c r="CV145" s="72" t="e">
        <f xml:space="preserve"> _xlfn.TEXTJOIN(" ", FALSE,#REF!)</f>
        <v>#REF!</v>
      </c>
      <c r="CW145" s="122"/>
      <c r="CX145" s="71" t="s">
        <v>271</v>
      </c>
      <c r="CY145" s="72" t="e">
        <f xml:space="preserve"> _xlfn.TEXTJOIN(" ", FALSE,#REF!)</f>
        <v>#REF!</v>
      </c>
      <c r="CZ145" s="122"/>
      <c r="DA145" s="71" t="s">
        <v>272</v>
      </c>
      <c r="DB145" s="73" t="e">
        <f xml:space="preserve"> _xlfn.TEXTJOIN(" ", FALSE,#REF!)</f>
        <v>#REF!</v>
      </c>
      <c r="DC145" s="65" t="s">
        <v>277</v>
      </c>
      <c r="DD145" s="70" t="e">
        <f t="shared" si="18"/>
        <v>#REF!</v>
      </c>
      <c r="DE145" s="64" t="s">
        <v>273</v>
      </c>
      <c r="DF145" s="122"/>
      <c r="DG145" s="71" t="s">
        <v>274</v>
      </c>
      <c r="DH145" s="72" t="e">
        <f xml:space="preserve"> _xlfn.TEXTJOIN(" ", FALSE,#REF!)</f>
        <v>#REF!</v>
      </c>
      <c r="DI145" s="122"/>
      <c r="DJ145" s="71" t="s">
        <v>275</v>
      </c>
      <c r="DK145" s="73" t="e">
        <f xml:space="preserve"> _xlfn.TEXTJOIN(" ", FALSE,#REF!)</f>
        <v>#REF!</v>
      </c>
      <c r="DL145" s="65" t="s">
        <v>277</v>
      </c>
      <c r="DM145" s="70" t="e">
        <f t="shared" si="19"/>
        <v>#REF!</v>
      </c>
      <c r="DN145" s="70" t="e">
        <f t="shared" si="20"/>
        <v>#REF!</v>
      </c>
    </row>
    <row r="146" spans="1:118" ht="108" customHeight="1">
      <c r="A146" s="122" t="e">
        <f>Summary!A146</f>
        <v>#REF!</v>
      </c>
      <c r="B146" s="64" t="s">
        <v>233</v>
      </c>
      <c r="C146" s="65" t="e">
        <f>Summary!B146</f>
        <v>#REF!</v>
      </c>
      <c r="D146" s="122"/>
      <c r="E146" s="64" t="s">
        <v>235</v>
      </c>
      <c r="F146" s="132" t="e">
        <f>Summary!C146</f>
        <v>#REF!</v>
      </c>
      <c r="G146" s="64" t="s">
        <v>236</v>
      </c>
      <c r="H146" s="132" t="e">
        <f>Summary!D146</f>
        <v>#REF!</v>
      </c>
      <c r="I146" s="64" t="s">
        <v>237</v>
      </c>
      <c r="J146" s="66">
        <f>Summary!E146</f>
        <v>7</v>
      </c>
      <c r="K146" s="64" t="s">
        <v>238</v>
      </c>
      <c r="L146" s="132" t="e">
        <f>Summary!F146</f>
        <v>#REF!</v>
      </c>
      <c r="M146" s="64" t="s">
        <v>239</v>
      </c>
      <c r="N146" s="132" t="e">
        <f>Summary!G146</f>
        <v>#REF!</v>
      </c>
      <c r="O146" s="64" t="s">
        <v>240</v>
      </c>
      <c r="P146" s="132" t="e">
        <f>Summary!H146</f>
        <v>#REF!</v>
      </c>
      <c r="Q146" s="65" t="s">
        <v>277</v>
      </c>
      <c r="R146" s="70" t="e">
        <f t="shared" si="14"/>
        <v>#REF!</v>
      </c>
      <c r="S146" s="64" t="s">
        <v>243</v>
      </c>
      <c r="T146" s="122"/>
      <c r="U146" s="71" t="s">
        <v>244</v>
      </c>
      <c r="V146" s="72" t="e">
        <f xml:space="preserve"> _xlfn.TEXTJOIN(" ", FALSE,#REF!)</f>
        <v>#REF!</v>
      </c>
      <c r="W146" s="122"/>
      <c r="X146" s="71" t="s">
        <v>245</v>
      </c>
      <c r="Y146" s="72" t="e">
        <f xml:space="preserve"> _xlfn.TEXTJOIN(" ", FALSE,#REF!)</f>
        <v>#REF!</v>
      </c>
      <c r="Z146" s="122"/>
      <c r="AA146" s="71" t="s">
        <v>246</v>
      </c>
      <c r="AB146" s="72" t="e">
        <f xml:space="preserve"> _xlfn.TEXTJOIN(" ", FALSE,#REF!)</f>
        <v>#REF!</v>
      </c>
      <c r="AC146" s="122"/>
      <c r="AD146" s="71" t="s">
        <v>247</v>
      </c>
      <c r="AE146" s="72" t="e">
        <f xml:space="preserve"> _xlfn.TEXTJOIN(" ", FALSE,#REF!)</f>
        <v>#REF!</v>
      </c>
      <c r="AF146" s="122"/>
      <c r="AG146" s="71" t="s">
        <v>248</v>
      </c>
      <c r="AH146" s="73" t="e">
        <f xml:space="preserve"> _xlfn.TEXTJOIN(" ", FALSE,#REF!)</f>
        <v>#REF!</v>
      </c>
      <c r="AI146" s="122"/>
      <c r="AJ146" s="71" t="s">
        <v>249</v>
      </c>
      <c r="AK146" s="73" t="e">
        <f xml:space="preserve"> _xlfn.TEXTJOIN(" ", FALSE,#REF!)</f>
        <v>#REF!</v>
      </c>
      <c r="AL146" s="122"/>
      <c r="AM146" s="71" t="s">
        <v>250</v>
      </c>
      <c r="AN146" s="73" t="e">
        <f xml:space="preserve"> _xlfn.TEXTJOIN(" ", FALSE,#REF!)</f>
        <v>#REF!</v>
      </c>
      <c r="AO146" s="122"/>
      <c r="AP146" s="71" t="s">
        <v>251</v>
      </c>
      <c r="AQ146" s="72" t="e">
        <f xml:space="preserve"> _xlfn.TEXTJOIN(" ", FALSE,#REF!)</f>
        <v>#REF!</v>
      </c>
      <c r="AR146" s="122"/>
      <c r="AS146" s="71" t="s">
        <v>252</v>
      </c>
      <c r="AT146" s="72" t="e">
        <f xml:space="preserve"> _xlfn.TEXTJOIN(" ", FALSE,#REF!)</f>
        <v>#REF!</v>
      </c>
      <c r="AU146" s="122"/>
      <c r="AV146" s="71" t="s">
        <v>253</v>
      </c>
      <c r="AW146" s="73" t="e">
        <f xml:space="preserve"> _xlfn.TEXTJOIN(" ", FALSE,#REF!)</f>
        <v>#REF!</v>
      </c>
      <c r="AX146" s="122"/>
      <c r="AY146" s="71" t="s">
        <v>254</v>
      </c>
      <c r="AZ146" s="72" t="e">
        <f xml:space="preserve"> _xlfn.TEXTJOIN(" ", FALSE,#REF!)</f>
        <v>#REF!</v>
      </c>
      <c r="BA146" s="122"/>
      <c r="BB146" s="71" t="s">
        <v>255</v>
      </c>
      <c r="BC146" s="72" t="e">
        <f xml:space="preserve"> _xlfn.TEXTJOIN(" ", FALSE,#REF!)</f>
        <v>#REF!</v>
      </c>
      <c r="BD146" s="122"/>
      <c r="BE146" s="71" t="s">
        <v>256</v>
      </c>
      <c r="BF146" s="72" t="e">
        <f xml:space="preserve"> _xlfn.TEXTJOIN(" ", FALSE,#REF!)</f>
        <v>#REF!</v>
      </c>
      <c r="BG146" s="65" t="s">
        <v>277</v>
      </c>
      <c r="BH146" s="70" t="e">
        <f t="shared" si="15"/>
        <v>#REF!</v>
      </c>
      <c r="BI146" s="64" t="s">
        <v>257</v>
      </c>
      <c r="BJ146" s="122"/>
      <c r="BK146" s="71" t="s">
        <v>258</v>
      </c>
      <c r="BL146" s="74" t="str">
        <f>_xlfn.TEXTJOIN(" ", FALSE, 'Task 2a - Mitigating the Proble'!U146:AC146)</f>
        <v xml:space="preserve">1 1 1 1 0 1 0 0 </v>
      </c>
      <c r="BM146" s="65" t="s">
        <v>277</v>
      </c>
      <c r="BN146" s="70" t="str">
        <f t="shared" si="16"/>
        <v>[Details for Task 2a:]  /Question 12: 1 1 1 1 0 1 0 0  .</v>
      </c>
      <c r="BO146" s="64" t="s">
        <v>259</v>
      </c>
      <c r="BP146" s="122"/>
      <c r="BQ146" s="71" t="s">
        <v>260</v>
      </c>
      <c r="BR146" s="73" t="e">
        <f xml:space="preserve"> _xlfn.TEXTJOIN(" ", FALSE,#REF!)</f>
        <v>#REF!</v>
      </c>
      <c r="BS146" s="122"/>
      <c r="BT146" s="71" t="s">
        <v>261</v>
      </c>
      <c r="BU146" s="73" t="e">
        <f xml:space="preserve"> _xlfn.TEXTJOIN(" ", FALSE,#REF!)</f>
        <v>#REF!</v>
      </c>
      <c r="BV146" s="122"/>
      <c r="BW146" s="71" t="s">
        <v>262</v>
      </c>
      <c r="BX146" s="73" t="e">
        <f xml:space="preserve"> _xlfn.TEXTJOIN(" ", FALSE,#REF!)</f>
        <v>#REF!</v>
      </c>
      <c r="BY146" s="122"/>
      <c r="BZ146" s="71" t="s">
        <v>263</v>
      </c>
      <c r="CA146" s="73" t="e">
        <f xml:space="preserve"> _xlfn.TEXTJOIN(" ", FALSE,#REF!)</f>
        <v>#REF!</v>
      </c>
      <c r="CB146" s="122"/>
      <c r="CC146" s="71" t="s">
        <v>264</v>
      </c>
      <c r="CD146" s="73" t="e">
        <f xml:space="preserve"> _xlfn.TEXTJOIN(" ", FALSE,#REF!)</f>
        <v>#REF!</v>
      </c>
      <c r="CE146" s="122"/>
      <c r="CF146" s="71" t="s">
        <v>265</v>
      </c>
      <c r="CG146" s="73" t="e">
        <f xml:space="preserve"> _xlfn.TEXTJOIN(" ", FALSE,#REF!)</f>
        <v>#REF!</v>
      </c>
      <c r="CH146" s="122"/>
      <c r="CI146" s="74" t="s">
        <v>278</v>
      </c>
      <c r="CJ146" s="73" t="e">
        <f xml:space="preserve"> _xlfn.TEXTJOIN(" ", FALSE,#REF!)</f>
        <v>#REF!</v>
      </c>
      <c r="CK146" s="65" t="s">
        <v>277</v>
      </c>
      <c r="CL146" s="70" t="e">
        <f t="shared" si="17"/>
        <v>#REF!</v>
      </c>
      <c r="CM146" s="64" t="s">
        <v>267</v>
      </c>
      <c r="CN146" s="122"/>
      <c r="CO146" s="71" t="s">
        <v>268</v>
      </c>
      <c r="CP146" s="73" t="e">
        <f xml:space="preserve"> _xlfn.TEXTJOIN(" ", FALSE,#REF!)</f>
        <v>#REF!</v>
      </c>
      <c r="CQ146" s="122"/>
      <c r="CR146" s="71" t="s">
        <v>269</v>
      </c>
      <c r="CS146" s="73" t="e">
        <f xml:space="preserve"> _xlfn.TEXTJOIN(" ", FALSE,#REF!)</f>
        <v>#REF!</v>
      </c>
      <c r="CT146" s="122"/>
      <c r="CU146" s="71" t="s">
        <v>270</v>
      </c>
      <c r="CV146" s="72" t="e">
        <f xml:space="preserve"> _xlfn.TEXTJOIN(" ", FALSE,#REF!)</f>
        <v>#REF!</v>
      </c>
      <c r="CW146" s="122"/>
      <c r="CX146" s="71" t="s">
        <v>271</v>
      </c>
      <c r="CY146" s="72" t="e">
        <f xml:space="preserve"> _xlfn.TEXTJOIN(" ", FALSE,#REF!)</f>
        <v>#REF!</v>
      </c>
      <c r="CZ146" s="122"/>
      <c r="DA146" s="71" t="s">
        <v>272</v>
      </c>
      <c r="DB146" s="73" t="e">
        <f xml:space="preserve"> _xlfn.TEXTJOIN(" ", FALSE,#REF!)</f>
        <v>#REF!</v>
      </c>
      <c r="DC146" s="65" t="s">
        <v>277</v>
      </c>
      <c r="DD146" s="70" t="e">
        <f t="shared" si="18"/>
        <v>#REF!</v>
      </c>
      <c r="DE146" s="64" t="s">
        <v>273</v>
      </c>
      <c r="DF146" s="122"/>
      <c r="DG146" s="71" t="s">
        <v>274</v>
      </c>
      <c r="DH146" s="72" t="e">
        <f xml:space="preserve"> _xlfn.TEXTJOIN(" ", FALSE,#REF!)</f>
        <v>#REF!</v>
      </c>
      <c r="DI146" s="122"/>
      <c r="DJ146" s="71" t="s">
        <v>275</v>
      </c>
      <c r="DK146" s="73" t="e">
        <f xml:space="preserve"> _xlfn.TEXTJOIN(" ", FALSE,#REF!)</f>
        <v>#REF!</v>
      </c>
      <c r="DL146" s="65" t="s">
        <v>277</v>
      </c>
      <c r="DM146" s="70" t="e">
        <f t="shared" si="19"/>
        <v>#REF!</v>
      </c>
      <c r="DN146" s="70" t="e">
        <f t="shared" si="20"/>
        <v>#REF!</v>
      </c>
    </row>
    <row r="147" spans="1:118" ht="108" customHeight="1">
      <c r="A147" s="122" t="e">
        <f>Summary!A147</f>
        <v>#REF!</v>
      </c>
      <c r="B147" s="64" t="s">
        <v>233</v>
      </c>
      <c r="C147" s="65" t="e">
        <f>Summary!B147</f>
        <v>#REF!</v>
      </c>
      <c r="D147" s="122"/>
      <c r="E147" s="64" t="s">
        <v>235</v>
      </c>
      <c r="F147" s="132" t="e">
        <f>Summary!C147</f>
        <v>#REF!</v>
      </c>
      <c r="G147" s="64" t="s">
        <v>236</v>
      </c>
      <c r="H147" s="132" t="e">
        <f>Summary!D147</f>
        <v>#REF!</v>
      </c>
      <c r="I147" s="64" t="s">
        <v>237</v>
      </c>
      <c r="J147" s="66">
        <f>Summary!E147</f>
        <v>5</v>
      </c>
      <c r="K147" s="64" t="s">
        <v>238</v>
      </c>
      <c r="L147" s="132" t="e">
        <f>Summary!F147</f>
        <v>#REF!</v>
      </c>
      <c r="M147" s="64" t="s">
        <v>239</v>
      </c>
      <c r="N147" s="132" t="e">
        <f>Summary!G147</f>
        <v>#REF!</v>
      </c>
      <c r="O147" s="64" t="s">
        <v>240</v>
      </c>
      <c r="P147" s="132" t="e">
        <f>Summary!H147</f>
        <v>#REF!</v>
      </c>
      <c r="Q147" s="65" t="s">
        <v>277</v>
      </c>
      <c r="R147" s="70" t="e">
        <f t="shared" si="14"/>
        <v>#REF!</v>
      </c>
      <c r="S147" s="64" t="s">
        <v>243</v>
      </c>
      <c r="T147" s="122"/>
      <c r="U147" s="71" t="s">
        <v>244</v>
      </c>
      <c r="V147" s="72" t="e">
        <f xml:space="preserve"> _xlfn.TEXTJOIN(" ", FALSE,#REF!)</f>
        <v>#REF!</v>
      </c>
      <c r="W147" s="122"/>
      <c r="X147" s="71" t="s">
        <v>245</v>
      </c>
      <c r="Y147" s="72" t="e">
        <f xml:space="preserve"> _xlfn.TEXTJOIN(" ", FALSE,#REF!)</f>
        <v>#REF!</v>
      </c>
      <c r="Z147" s="122"/>
      <c r="AA147" s="71" t="s">
        <v>246</v>
      </c>
      <c r="AB147" s="72" t="e">
        <f xml:space="preserve"> _xlfn.TEXTJOIN(" ", FALSE,#REF!)</f>
        <v>#REF!</v>
      </c>
      <c r="AC147" s="122"/>
      <c r="AD147" s="71" t="s">
        <v>247</v>
      </c>
      <c r="AE147" s="72" t="e">
        <f xml:space="preserve"> _xlfn.TEXTJOIN(" ", FALSE,#REF!)</f>
        <v>#REF!</v>
      </c>
      <c r="AF147" s="122"/>
      <c r="AG147" s="71" t="s">
        <v>248</v>
      </c>
      <c r="AH147" s="73" t="e">
        <f xml:space="preserve"> _xlfn.TEXTJOIN(" ", FALSE,#REF!)</f>
        <v>#REF!</v>
      </c>
      <c r="AI147" s="122"/>
      <c r="AJ147" s="71" t="s">
        <v>249</v>
      </c>
      <c r="AK147" s="73" t="e">
        <f xml:space="preserve"> _xlfn.TEXTJOIN(" ", FALSE,#REF!)</f>
        <v>#REF!</v>
      </c>
      <c r="AL147" s="122"/>
      <c r="AM147" s="71" t="s">
        <v>250</v>
      </c>
      <c r="AN147" s="73" t="e">
        <f xml:space="preserve"> _xlfn.TEXTJOIN(" ", FALSE,#REF!)</f>
        <v>#REF!</v>
      </c>
      <c r="AO147" s="122"/>
      <c r="AP147" s="71" t="s">
        <v>251</v>
      </c>
      <c r="AQ147" s="72" t="e">
        <f xml:space="preserve"> _xlfn.TEXTJOIN(" ", FALSE,#REF!)</f>
        <v>#REF!</v>
      </c>
      <c r="AR147" s="122"/>
      <c r="AS147" s="71" t="s">
        <v>252</v>
      </c>
      <c r="AT147" s="72" t="e">
        <f xml:space="preserve"> _xlfn.TEXTJOIN(" ", FALSE,#REF!)</f>
        <v>#REF!</v>
      </c>
      <c r="AU147" s="122"/>
      <c r="AV147" s="71" t="s">
        <v>253</v>
      </c>
      <c r="AW147" s="73" t="e">
        <f xml:space="preserve"> _xlfn.TEXTJOIN(" ", FALSE,#REF!)</f>
        <v>#REF!</v>
      </c>
      <c r="AX147" s="122"/>
      <c r="AY147" s="71" t="s">
        <v>254</v>
      </c>
      <c r="AZ147" s="72" t="e">
        <f xml:space="preserve"> _xlfn.TEXTJOIN(" ", FALSE,#REF!)</f>
        <v>#REF!</v>
      </c>
      <c r="BA147" s="122"/>
      <c r="BB147" s="71" t="s">
        <v>255</v>
      </c>
      <c r="BC147" s="72" t="e">
        <f xml:space="preserve"> _xlfn.TEXTJOIN(" ", FALSE,#REF!)</f>
        <v>#REF!</v>
      </c>
      <c r="BD147" s="122"/>
      <c r="BE147" s="71" t="s">
        <v>256</v>
      </c>
      <c r="BF147" s="72" t="e">
        <f xml:space="preserve"> _xlfn.TEXTJOIN(" ", FALSE,#REF!)</f>
        <v>#REF!</v>
      </c>
      <c r="BG147" s="65" t="s">
        <v>277</v>
      </c>
      <c r="BH147" s="70" t="e">
        <f t="shared" si="15"/>
        <v>#REF!</v>
      </c>
      <c r="BI147" s="64" t="s">
        <v>257</v>
      </c>
      <c r="BJ147" s="122"/>
      <c r="BK147" s="71" t="s">
        <v>258</v>
      </c>
      <c r="BL147" s="74" t="str">
        <f>_xlfn.TEXTJOIN(" ", FALSE, 'Task 2a - Mitigating the Proble'!U147:AC147)</f>
        <v xml:space="preserve">1 0 0 0 0 1 0 0 </v>
      </c>
      <c r="BM147" s="65" t="s">
        <v>277</v>
      </c>
      <c r="BN147" s="70" t="str">
        <f t="shared" si="16"/>
        <v>[Details for Task 2a:]  /Question 12: 1 0 0 0 0 1 0 0  .</v>
      </c>
      <c r="BO147" s="64" t="s">
        <v>259</v>
      </c>
      <c r="BP147" s="122"/>
      <c r="BQ147" s="71" t="s">
        <v>260</v>
      </c>
      <c r="BR147" s="73" t="e">
        <f xml:space="preserve"> _xlfn.TEXTJOIN(" ", FALSE,#REF!)</f>
        <v>#REF!</v>
      </c>
      <c r="BS147" s="122"/>
      <c r="BT147" s="71" t="s">
        <v>261</v>
      </c>
      <c r="BU147" s="73" t="e">
        <f xml:space="preserve"> _xlfn.TEXTJOIN(" ", FALSE,#REF!)</f>
        <v>#REF!</v>
      </c>
      <c r="BV147" s="122"/>
      <c r="BW147" s="71" t="s">
        <v>262</v>
      </c>
      <c r="BX147" s="73" t="e">
        <f xml:space="preserve"> _xlfn.TEXTJOIN(" ", FALSE,#REF!)</f>
        <v>#REF!</v>
      </c>
      <c r="BY147" s="122"/>
      <c r="BZ147" s="71" t="s">
        <v>263</v>
      </c>
      <c r="CA147" s="73" t="e">
        <f xml:space="preserve"> _xlfn.TEXTJOIN(" ", FALSE,#REF!)</f>
        <v>#REF!</v>
      </c>
      <c r="CB147" s="122"/>
      <c r="CC147" s="71" t="s">
        <v>264</v>
      </c>
      <c r="CD147" s="73" t="e">
        <f xml:space="preserve"> _xlfn.TEXTJOIN(" ", FALSE,#REF!)</f>
        <v>#REF!</v>
      </c>
      <c r="CE147" s="122"/>
      <c r="CF147" s="71" t="s">
        <v>265</v>
      </c>
      <c r="CG147" s="73" t="e">
        <f xml:space="preserve"> _xlfn.TEXTJOIN(" ", FALSE,#REF!)</f>
        <v>#REF!</v>
      </c>
      <c r="CH147" s="122"/>
      <c r="CI147" s="74" t="s">
        <v>278</v>
      </c>
      <c r="CJ147" s="73" t="e">
        <f xml:space="preserve"> _xlfn.TEXTJOIN(" ", FALSE,#REF!)</f>
        <v>#REF!</v>
      </c>
      <c r="CK147" s="65" t="s">
        <v>277</v>
      </c>
      <c r="CL147" s="70" t="e">
        <f t="shared" si="17"/>
        <v>#REF!</v>
      </c>
      <c r="CM147" s="64" t="s">
        <v>267</v>
      </c>
      <c r="CN147" s="122"/>
      <c r="CO147" s="71" t="s">
        <v>268</v>
      </c>
      <c r="CP147" s="73" t="e">
        <f xml:space="preserve"> _xlfn.TEXTJOIN(" ", FALSE,#REF!)</f>
        <v>#REF!</v>
      </c>
      <c r="CQ147" s="122"/>
      <c r="CR147" s="71" t="s">
        <v>269</v>
      </c>
      <c r="CS147" s="73" t="e">
        <f xml:space="preserve"> _xlfn.TEXTJOIN(" ", FALSE,#REF!)</f>
        <v>#REF!</v>
      </c>
      <c r="CT147" s="122"/>
      <c r="CU147" s="71" t="s">
        <v>270</v>
      </c>
      <c r="CV147" s="72" t="e">
        <f xml:space="preserve"> _xlfn.TEXTJOIN(" ", FALSE,#REF!)</f>
        <v>#REF!</v>
      </c>
      <c r="CW147" s="122"/>
      <c r="CX147" s="71" t="s">
        <v>271</v>
      </c>
      <c r="CY147" s="72" t="e">
        <f xml:space="preserve"> _xlfn.TEXTJOIN(" ", FALSE,#REF!)</f>
        <v>#REF!</v>
      </c>
      <c r="CZ147" s="122"/>
      <c r="DA147" s="71" t="s">
        <v>272</v>
      </c>
      <c r="DB147" s="73" t="e">
        <f xml:space="preserve"> _xlfn.TEXTJOIN(" ", FALSE,#REF!)</f>
        <v>#REF!</v>
      </c>
      <c r="DC147" s="65" t="s">
        <v>277</v>
      </c>
      <c r="DD147" s="70" t="e">
        <f t="shared" si="18"/>
        <v>#REF!</v>
      </c>
      <c r="DE147" s="64" t="s">
        <v>273</v>
      </c>
      <c r="DF147" s="122"/>
      <c r="DG147" s="71" t="s">
        <v>274</v>
      </c>
      <c r="DH147" s="72" t="e">
        <f xml:space="preserve"> _xlfn.TEXTJOIN(" ", FALSE,#REF!)</f>
        <v>#REF!</v>
      </c>
      <c r="DI147" s="122"/>
      <c r="DJ147" s="71" t="s">
        <v>275</v>
      </c>
      <c r="DK147" s="73" t="e">
        <f xml:space="preserve"> _xlfn.TEXTJOIN(" ", FALSE,#REF!)</f>
        <v>#REF!</v>
      </c>
      <c r="DL147" s="65" t="s">
        <v>277</v>
      </c>
      <c r="DM147" s="70" t="e">
        <f t="shared" si="19"/>
        <v>#REF!</v>
      </c>
      <c r="DN147" s="70" t="e">
        <f t="shared" si="20"/>
        <v>#REF!</v>
      </c>
    </row>
    <row r="148" spans="1:118" ht="108" customHeight="1">
      <c r="A148" s="122" t="e">
        <f>Summary!A148</f>
        <v>#REF!</v>
      </c>
      <c r="B148" s="64" t="s">
        <v>233</v>
      </c>
      <c r="C148" s="65" t="e">
        <f>Summary!B148</f>
        <v>#REF!</v>
      </c>
      <c r="D148" s="122"/>
      <c r="E148" s="64" t="s">
        <v>235</v>
      </c>
      <c r="F148" s="132" t="e">
        <f>Summary!C148</f>
        <v>#REF!</v>
      </c>
      <c r="G148" s="64" t="s">
        <v>236</v>
      </c>
      <c r="H148" s="132" t="e">
        <f>Summary!D148</f>
        <v>#REF!</v>
      </c>
      <c r="I148" s="64" t="s">
        <v>237</v>
      </c>
      <c r="J148" s="66">
        <f>Summary!E148</f>
        <v>6</v>
      </c>
      <c r="K148" s="64" t="s">
        <v>238</v>
      </c>
      <c r="L148" s="132" t="e">
        <f>Summary!F148</f>
        <v>#REF!</v>
      </c>
      <c r="M148" s="64" t="s">
        <v>239</v>
      </c>
      <c r="N148" s="132" t="e">
        <f>Summary!G148</f>
        <v>#REF!</v>
      </c>
      <c r="O148" s="64" t="s">
        <v>240</v>
      </c>
      <c r="P148" s="132" t="e">
        <f>Summary!H148</f>
        <v>#REF!</v>
      </c>
      <c r="Q148" s="65" t="s">
        <v>277</v>
      </c>
      <c r="R148" s="70" t="e">
        <f t="shared" si="14"/>
        <v>#REF!</v>
      </c>
      <c r="S148" s="64" t="s">
        <v>243</v>
      </c>
      <c r="T148" s="122"/>
      <c r="U148" s="71" t="s">
        <v>244</v>
      </c>
      <c r="V148" s="72" t="e">
        <f xml:space="preserve"> _xlfn.TEXTJOIN(" ", FALSE,#REF!)</f>
        <v>#REF!</v>
      </c>
      <c r="W148" s="122"/>
      <c r="X148" s="71" t="s">
        <v>245</v>
      </c>
      <c r="Y148" s="72" t="e">
        <f xml:space="preserve"> _xlfn.TEXTJOIN(" ", FALSE,#REF!)</f>
        <v>#REF!</v>
      </c>
      <c r="Z148" s="122"/>
      <c r="AA148" s="71" t="s">
        <v>246</v>
      </c>
      <c r="AB148" s="72" t="e">
        <f xml:space="preserve"> _xlfn.TEXTJOIN(" ", FALSE,#REF!)</f>
        <v>#REF!</v>
      </c>
      <c r="AC148" s="122"/>
      <c r="AD148" s="71" t="s">
        <v>247</v>
      </c>
      <c r="AE148" s="72" t="e">
        <f xml:space="preserve"> _xlfn.TEXTJOIN(" ", FALSE,#REF!)</f>
        <v>#REF!</v>
      </c>
      <c r="AF148" s="122"/>
      <c r="AG148" s="71" t="s">
        <v>248</v>
      </c>
      <c r="AH148" s="73" t="e">
        <f xml:space="preserve"> _xlfn.TEXTJOIN(" ", FALSE,#REF!)</f>
        <v>#REF!</v>
      </c>
      <c r="AI148" s="122"/>
      <c r="AJ148" s="71" t="s">
        <v>249</v>
      </c>
      <c r="AK148" s="73" t="e">
        <f xml:space="preserve"> _xlfn.TEXTJOIN(" ", FALSE,#REF!)</f>
        <v>#REF!</v>
      </c>
      <c r="AL148" s="122"/>
      <c r="AM148" s="71" t="s">
        <v>250</v>
      </c>
      <c r="AN148" s="73" t="e">
        <f xml:space="preserve"> _xlfn.TEXTJOIN(" ", FALSE,#REF!)</f>
        <v>#REF!</v>
      </c>
      <c r="AO148" s="122"/>
      <c r="AP148" s="71" t="s">
        <v>251</v>
      </c>
      <c r="AQ148" s="72" t="e">
        <f xml:space="preserve"> _xlfn.TEXTJOIN(" ", FALSE,#REF!)</f>
        <v>#REF!</v>
      </c>
      <c r="AR148" s="122"/>
      <c r="AS148" s="71" t="s">
        <v>252</v>
      </c>
      <c r="AT148" s="72" t="e">
        <f xml:space="preserve"> _xlfn.TEXTJOIN(" ", FALSE,#REF!)</f>
        <v>#REF!</v>
      </c>
      <c r="AU148" s="122"/>
      <c r="AV148" s="71" t="s">
        <v>253</v>
      </c>
      <c r="AW148" s="73" t="e">
        <f xml:space="preserve"> _xlfn.TEXTJOIN(" ", FALSE,#REF!)</f>
        <v>#REF!</v>
      </c>
      <c r="AX148" s="122"/>
      <c r="AY148" s="71" t="s">
        <v>254</v>
      </c>
      <c r="AZ148" s="72" t="e">
        <f xml:space="preserve"> _xlfn.TEXTJOIN(" ", FALSE,#REF!)</f>
        <v>#REF!</v>
      </c>
      <c r="BA148" s="122"/>
      <c r="BB148" s="71" t="s">
        <v>255</v>
      </c>
      <c r="BC148" s="72" t="e">
        <f xml:space="preserve"> _xlfn.TEXTJOIN(" ", FALSE,#REF!)</f>
        <v>#REF!</v>
      </c>
      <c r="BD148" s="122"/>
      <c r="BE148" s="71" t="s">
        <v>256</v>
      </c>
      <c r="BF148" s="72" t="e">
        <f xml:space="preserve"> _xlfn.TEXTJOIN(" ", FALSE,#REF!)</f>
        <v>#REF!</v>
      </c>
      <c r="BG148" s="65" t="s">
        <v>277</v>
      </c>
      <c r="BH148" s="70" t="e">
        <f t="shared" si="15"/>
        <v>#REF!</v>
      </c>
      <c r="BI148" s="64" t="s">
        <v>257</v>
      </c>
      <c r="BJ148" s="122"/>
      <c r="BK148" s="71" t="s">
        <v>258</v>
      </c>
      <c r="BL148" s="74" t="str">
        <f>_xlfn.TEXTJOIN(" ", FALSE, 'Task 2a - Mitigating the Proble'!U148:AC148)</f>
        <v xml:space="preserve">1 1 0 0 1 1 0 0 </v>
      </c>
      <c r="BM148" s="65" t="s">
        <v>277</v>
      </c>
      <c r="BN148" s="70" t="str">
        <f t="shared" si="16"/>
        <v>[Details for Task 2a:]  /Question 12: 1 1 0 0 1 1 0 0  .</v>
      </c>
      <c r="BO148" s="64" t="s">
        <v>259</v>
      </c>
      <c r="BP148" s="122"/>
      <c r="BQ148" s="71" t="s">
        <v>260</v>
      </c>
      <c r="BR148" s="73" t="e">
        <f xml:space="preserve"> _xlfn.TEXTJOIN(" ", FALSE,#REF!)</f>
        <v>#REF!</v>
      </c>
      <c r="BS148" s="122"/>
      <c r="BT148" s="71" t="s">
        <v>261</v>
      </c>
      <c r="BU148" s="73" t="e">
        <f xml:space="preserve"> _xlfn.TEXTJOIN(" ", FALSE,#REF!)</f>
        <v>#REF!</v>
      </c>
      <c r="BV148" s="122"/>
      <c r="BW148" s="71" t="s">
        <v>262</v>
      </c>
      <c r="BX148" s="73" t="e">
        <f xml:space="preserve"> _xlfn.TEXTJOIN(" ", FALSE,#REF!)</f>
        <v>#REF!</v>
      </c>
      <c r="BY148" s="122"/>
      <c r="BZ148" s="71" t="s">
        <v>263</v>
      </c>
      <c r="CA148" s="73" t="e">
        <f xml:space="preserve"> _xlfn.TEXTJOIN(" ", FALSE,#REF!)</f>
        <v>#REF!</v>
      </c>
      <c r="CB148" s="122"/>
      <c r="CC148" s="71" t="s">
        <v>264</v>
      </c>
      <c r="CD148" s="73" t="e">
        <f xml:space="preserve"> _xlfn.TEXTJOIN(" ", FALSE,#REF!)</f>
        <v>#REF!</v>
      </c>
      <c r="CE148" s="122"/>
      <c r="CF148" s="71" t="s">
        <v>265</v>
      </c>
      <c r="CG148" s="73" t="e">
        <f xml:space="preserve"> _xlfn.TEXTJOIN(" ", FALSE,#REF!)</f>
        <v>#REF!</v>
      </c>
      <c r="CH148" s="122"/>
      <c r="CI148" s="74" t="s">
        <v>278</v>
      </c>
      <c r="CJ148" s="73" t="e">
        <f xml:space="preserve"> _xlfn.TEXTJOIN(" ", FALSE,#REF!)</f>
        <v>#REF!</v>
      </c>
      <c r="CK148" s="65" t="s">
        <v>277</v>
      </c>
      <c r="CL148" s="70" t="e">
        <f t="shared" si="17"/>
        <v>#REF!</v>
      </c>
      <c r="CM148" s="64" t="s">
        <v>267</v>
      </c>
      <c r="CN148" s="122"/>
      <c r="CO148" s="71" t="s">
        <v>268</v>
      </c>
      <c r="CP148" s="73" t="e">
        <f xml:space="preserve"> _xlfn.TEXTJOIN(" ", FALSE,#REF!)</f>
        <v>#REF!</v>
      </c>
      <c r="CQ148" s="122"/>
      <c r="CR148" s="71" t="s">
        <v>269</v>
      </c>
      <c r="CS148" s="73" t="e">
        <f xml:space="preserve"> _xlfn.TEXTJOIN(" ", FALSE,#REF!)</f>
        <v>#REF!</v>
      </c>
      <c r="CT148" s="122"/>
      <c r="CU148" s="71" t="s">
        <v>270</v>
      </c>
      <c r="CV148" s="72" t="e">
        <f xml:space="preserve"> _xlfn.TEXTJOIN(" ", FALSE,#REF!)</f>
        <v>#REF!</v>
      </c>
      <c r="CW148" s="122"/>
      <c r="CX148" s="71" t="s">
        <v>271</v>
      </c>
      <c r="CY148" s="72" t="e">
        <f xml:space="preserve"> _xlfn.TEXTJOIN(" ", FALSE,#REF!)</f>
        <v>#REF!</v>
      </c>
      <c r="CZ148" s="122"/>
      <c r="DA148" s="71" t="s">
        <v>272</v>
      </c>
      <c r="DB148" s="73" t="e">
        <f xml:space="preserve"> _xlfn.TEXTJOIN(" ", FALSE,#REF!)</f>
        <v>#REF!</v>
      </c>
      <c r="DC148" s="65" t="s">
        <v>277</v>
      </c>
      <c r="DD148" s="70" t="e">
        <f t="shared" si="18"/>
        <v>#REF!</v>
      </c>
      <c r="DE148" s="64" t="s">
        <v>273</v>
      </c>
      <c r="DF148" s="122"/>
      <c r="DG148" s="71" t="s">
        <v>274</v>
      </c>
      <c r="DH148" s="72" t="e">
        <f xml:space="preserve"> _xlfn.TEXTJOIN(" ", FALSE,#REF!)</f>
        <v>#REF!</v>
      </c>
      <c r="DI148" s="122"/>
      <c r="DJ148" s="71" t="s">
        <v>275</v>
      </c>
      <c r="DK148" s="73" t="e">
        <f xml:space="preserve"> _xlfn.TEXTJOIN(" ", FALSE,#REF!)</f>
        <v>#REF!</v>
      </c>
      <c r="DL148" s="65" t="s">
        <v>277</v>
      </c>
      <c r="DM148" s="70" t="e">
        <f t="shared" si="19"/>
        <v>#REF!</v>
      </c>
      <c r="DN148" s="70" t="e">
        <f t="shared" si="20"/>
        <v>#REF!</v>
      </c>
    </row>
    <row r="149" spans="1:118" ht="108" customHeight="1">
      <c r="A149" s="122" t="e">
        <f>Summary!A149</f>
        <v>#REF!</v>
      </c>
      <c r="B149" s="64" t="s">
        <v>233</v>
      </c>
      <c r="C149" s="65" t="e">
        <f>Summary!B149</f>
        <v>#REF!</v>
      </c>
      <c r="D149" s="122"/>
      <c r="E149" s="64" t="s">
        <v>235</v>
      </c>
      <c r="F149" s="132" t="e">
        <f>Summary!C149</f>
        <v>#REF!</v>
      </c>
      <c r="G149" s="64" t="s">
        <v>236</v>
      </c>
      <c r="H149" s="132" t="e">
        <f>Summary!D149</f>
        <v>#REF!</v>
      </c>
      <c r="I149" s="64" t="s">
        <v>237</v>
      </c>
      <c r="J149" s="66">
        <f>Summary!E149</f>
        <v>7</v>
      </c>
      <c r="K149" s="64" t="s">
        <v>238</v>
      </c>
      <c r="L149" s="132" t="e">
        <f>Summary!F149</f>
        <v>#REF!</v>
      </c>
      <c r="M149" s="64" t="s">
        <v>239</v>
      </c>
      <c r="N149" s="132" t="e">
        <f>Summary!G149</f>
        <v>#REF!</v>
      </c>
      <c r="O149" s="64" t="s">
        <v>240</v>
      </c>
      <c r="P149" s="132" t="e">
        <f>Summary!H149</f>
        <v>#REF!</v>
      </c>
      <c r="Q149" s="65" t="s">
        <v>277</v>
      </c>
      <c r="R149" s="70" t="e">
        <f t="shared" si="14"/>
        <v>#REF!</v>
      </c>
      <c r="S149" s="64" t="s">
        <v>243</v>
      </c>
      <c r="T149" s="122"/>
      <c r="U149" s="71" t="s">
        <v>244</v>
      </c>
      <c r="V149" s="72" t="e">
        <f xml:space="preserve"> _xlfn.TEXTJOIN(" ", FALSE,#REF!)</f>
        <v>#REF!</v>
      </c>
      <c r="W149" s="122"/>
      <c r="X149" s="71" t="s">
        <v>245</v>
      </c>
      <c r="Y149" s="72" t="e">
        <f xml:space="preserve"> _xlfn.TEXTJOIN(" ", FALSE,#REF!)</f>
        <v>#REF!</v>
      </c>
      <c r="Z149" s="122"/>
      <c r="AA149" s="71" t="s">
        <v>246</v>
      </c>
      <c r="AB149" s="72" t="e">
        <f xml:space="preserve"> _xlfn.TEXTJOIN(" ", FALSE,#REF!)</f>
        <v>#REF!</v>
      </c>
      <c r="AC149" s="122"/>
      <c r="AD149" s="71" t="s">
        <v>247</v>
      </c>
      <c r="AE149" s="72" t="e">
        <f xml:space="preserve"> _xlfn.TEXTJOIN(" ", FALSE,#REF!)</f>
        <v>#REF!</v>
      </c>
      <c r="AF149" s="122"/>
      <c r="AG149" s="71" t="s">
        <v>248</v>
      </c>
      <c r="AH149" s="73" t="e">
        <f xml:space="preserve"> _xlfn.TEXTJOIN(" ", FALSE,#REF!)</f>
        <v>#REF!</v>
      </c>
      <c r="AI149" s="122"/>
      <c r="AJ149" s="71" t="s">
        <v>249</v>
      </c>
      <c r="AK149" s="73" t="e">
        <f xml:space="preserve"> _xlfn.TEXTJOIN(" ", FALSE,#REF!)</f>
        <v>#REF!</v>
      </c>
      <c r="AL149" s="122"/>
      <c r="AM149" s="71" t="s">
        <v>250</v>
      </c>
      <c r="AN149" s="73" t="e">
        <f xml:space="preserve"> _xlfn.TEXTJOIN(" ", FALSE,#REF!)</f>
        <v>#REF!</v>
      </c>
      <c r="AO149" s="122"/>
      <c r="AP149" s="71" t="s">
        <v>251</v>
      </c>
      <c r="AQ149" s="72" t="e">
        <f xml:space="preserve"> _xlfn.TEXTJOIN(" ", FALSE,#REF!)</f>
        <v>#REF!</v>
      </c>
      <c r="AR149" s="122"/>
      <c r="AS149" s="71" t="s">
        <v>252</v>
      </c>
      <c r="AT149" s="72" t="e">
        <f xml:space="preserve"> _xlfn.TEXTJOIN(" ", FALSE,#REF!)</f>
        <v>#REF!</v>
      </c>
      <c r="AU149" s="122"/>
      <c r="AV149" s="71" t="s">
        <v>253</v>
      </c>
      <c r="AW149" s="73" t="e">
        <f xml:space="preserve"> _xlfn.TEXTJOIN(" ", FALSE,#REF!)</f>
        <v>#REF!</v>
      </c>
      <c r="AX149" s="122"/>
      <c r="AY149" s="71" t="s">
        <v>254</v>
      </c>
      <c r="AZ149" s="72" t="e">
        <f xml:space="preserve"> _xlfn.TEXTJOIN(" ", FALSE,#REF!)</f>
        <v>#REF!</v>
      </c>
      <c r="BA149" s="122"/>
      <c r="BB149" s="71" t="s">
        <v>255</v>
      </c>
      <c r="BC149" s="72" t="e">
        <f xml:space="preserve"> _xlfn.TEXTJOIN(" ", FALSE,#REF!)</f>
        <v>#REF!</v>
      </c>
      <c r="BD149" s="122"/>
      <c r="BE149" s="71" t="s">
        <v>256</v>
      </c>
      <c r="BF149" s="72" t="e">
        <f xml:space="preserve"> _xlfn.TEXTJOIN(" ", FALSE,#REF!)</f>
        <v>#REF!</v>
      </c>
      <c r="BG149" s="65" t="s">
        <v>277</v>
      </c>
      <c r="BH149" s="70" t="e">
        <f t="shared" si="15"/>
        <v>#REF!</v>
      </c>
      <c r="BI149" s="64" t="s">
        <v>257</v>
      </c>
      <c r="BJ149" s="122"/>
      <c r="BK149" s="71" t="s">
        <v>258</v>
      </c>
      <c r="BL149" s="74" t="str">
        <f>_xlfn.TEXTJOIN(" ", FALSE, 'Task 2a - Mitigating the Proble'!U149:AC149)</f>
        <v>1 1 0 0 1 1 0 1 Good job mentioning computational benefits.</v>
      </c>
      <c r="BM149" s="65" t="s">
        <v>277</v>
      </c>
      <c r="BN149" s="70" t="str">
        <f t="shared" si="16"/>
        <v>[Details for Task 2a:]  /Question 12: 1 1 0 0 1 1 0 1 Good job mentioning computational benefits. .</v>
      </c>
      <c r="BO149" s="64" t="s">
        <v>259</v>
      </c>
      <c r="BP149" s="122"/>
      <c r="BQ149" s="71" t="s">
        <v>260</v>
      </c>
      <c r="BR149" s="73" t="e">
        <f xml:space="preserve"> _xlfn.TEXTJOIN(" ", FALSE,#REF!)</f>
        <v>#REF!</v>
      </c>
      <c r="BS149" s="122"/>
      <c r="BT149" s="71" t="s">
        <v>261</v>
      </c>
      <c r="BU149" s="73" t="e">
        <f xml:space="preserve"> _xlfn.TEXTJOIN(" ", FALSE,#REF!)</f>
        <v>#REF!</v>
      </c>
      <c r="BV149" s="122"/>
      <c r="BW149" s="71" t="s">
        <v>262</v>
      </c>
      <c r="BX149" s="73" t="e">
        <f xml:space="preserve"> _xlfn.TEXTJOIN(" ", FALSE,#REF!)</f>
        <v>#REF!</v>
      </c>
      <c r="BY149" s="122"/>
      <c r="BZ149" s="71" t="s">
        <v>263</v>
      </c>
      <c r="CA149" s="73" t="e">
        <f xml:space="preserve"> _xlfn.TEXTJOIN(" ", FALSE,#REF!)</f>
        <v>#REF!</v>
      </c>
      <c r="CB149" s="122"/>
      <c r="CC149" s="71" t="s">
        <v>264</v>
      </c>
      <c r="CD149" s="73" t="e">
        <f xml:space="preserve"> _xlfn.TEXTJOIN(" ", FALSE,#REF!)</f>
        <v>#REF!</v>
      </c>
      <c r="CE149" s="122"/>
      <c r="CF149" s="71" t="s">
        <v>265</v>
      </c>
      <c r="CG149" s="73" t="e">
        <f xml:space="preserve"> _xlfn.TEXTJOIN(" ", FALSE,#REF!)</f>
        <v>#REF!</v>
      </c>
      <c r="CH149" s="122"/>
      <c r="CI149" s="74" t="s">
        <v>278</v>
      </c>
      <c r="CJ149" s="73" t="e">
        <f xml:space="preserve"> _xlfn.TEXTJOIN(" ", FALSE,#REF!)</f>
        <v>#REF!</v>
      </c>
      <c r="CK149" s="65" t="s">
        <v>277</v>
      </c>
      <c r="CL149" s="70" t="e">
        <f t="shared" si="17"/>
        <v>#REF!</v>
      </c>
      <c r="CM149" s="64" t="s">
        <v>267</v>
      </c>
      <c r="CN149" s="122"/>
      <c r="CO149" s="71" t="s">
        <v>268</v>
      </c>
      <c r="CP149" s="73" t="e">
        <f xml:space="preserve"> _xlfn.TEXTJOIN(" ", FALSE,#REF!)</f>
        <v>#REF!</v>
      </c>
      <c r="CQ149" s="122"/>
      <c r="CR149" s="71" t="s">
        <v>269</v>
      </c>
      <c r="CS149" s="73" t="e">
        <f xml:space="preserve"> _xlfn.TEXTJOIN(" ", FALSE,#REF!)</f>
        <v>#REF!</v>
      </c>
      <c r="CT149" s="122"/>
      <c r="CU149" s="71" t="s">
        <v>270</v>
      </c>
      <c r="CV149" s="72" t="e">
        <f xml:space="preserve"> _xlfn.TEXTJOIN(" ", FALSE,#REF!)</f>
        <v>#REF!</v>
      </c>
      <c r="CW149" s="122"/>
      <c r="CX149" s="71" t="s">
        <v>271</v>
      </c>
      <c r="CY149" s="72" t="e">
        <f xml:space="preserve"> _xlfn.TEXTJOIN(" ", FALSE,#REF!)</f>
        <v>#REF!</v>
      </c>
      <c r="CZ149" s="122"/>
      <c r="DA149" s="71" t="s">
        <v>272</v>
      </c>
      <c r="DB149" s="73" t="e">
        <f xml:space="preserve"> _xlfn.TEXTJOIN(" ", FALSE,#REF!)</f>
        <v>#REF!</v>
      </c>
      <c r="DC149" s="65" t="s">
        <v>277</v>
      </c>
      <c r="DD149" s="70" t="e">
        <f t="shared" si="18"/>
        <v>#REF!</v>
      </c>
      <c r="DE149" s="64" t="s">
        <v>273</v>
      </c>
      <c r="DF149" s="122"/>
      <c r="DG149" s="71" t="s">
        <v>274</v>
      </c>
      <c r="DH149" s="72" t="e">
        <f xml:space="preserve"> _xlfn.TEXTJOIN(" ", FALSE,#REF!)</f>
        <v>#REF!</v>
      </c>
      <c r="DI149" s="122"/>
      <c r="DJ149" s="71" t="s">
        <v>275</v>
      </c>
      <c r="DK149" s="73" t="e">
        <f xml:space="preserve"> _xlfn.TEXTJOIN(" ", FALSE,#REF!)</f>
        <v>#REF!</v>
      </c>
      <c r="DL149" s="65" t="s">
        <v>277</v>
      </c>
      <c r="DM149" s="70" t="e">
        <f t="shared" si="19"/>
        <v>#REF!</v>
      </c>
      <c r="DN149" s="70" t="e">
        <f t="shared" si="20"/>
        <v>#REF!</v>
      </c>
    </row>
    <row r="150" spans="1:118" ht="108" customHeight="1">
      <c r="A150" s="122" t="e">
        <f>Summary!A150</f>
        <v>#REF!</v>
      </c>
      <c r="B150" s="64" t="s">
        <v>233</v>
      </c>
      <c r="C150" s="65" t="e">
        <f>Summary!B150</f>
        <v>#REF!</v>
      </c>
      <c r="D150" s="122"/>
      <c r="E150" s="64" t="s">
        <v>235</v>
      </c>
      <c r="F150" s="132" t="e">
        <f>Summary!C150</f>
        <v>#REF!</v>
      </c>
      <c r="G150" s="64" t="s">
        <v>236</v>
      </c>
      <c r="H150" s="132" t="e">
        <f>Summary!D150</f>
        <v>#REF!</v>
      </c>
      <c r="I150" s="64" t="s">
        <v>237</v>
      </c>
      <c r="J150" s="66">
        <f>Summary!E150</f>
        <v>6</v>
      </c>
      <c r="K150" s="64" t="s">
        <v>238</v>
      </c>
      <c r="L150" s="132" t="e">
        <f>Summary!F150</f>
        <v>#REF!</v>
      </c>
      <c r="M150" s="64" t="s">
        <v>239</v>
      </c>
      <c r="N150" s="132" t="e">
        <f>Summary!G150</f>
        <v>#REF!</v>
      </c>
      <c r="O150" s="64" t="s">
        <v>240</v>
      </c>
      <c r="P150" s="132" t="e">
        <f>Summary!H150</f>
        <v>#REF!</v>
      </c>
      <c r="Q150" s="65" t="s">
        <v>277</v>
      </c>
      <c r="R150" s="70" t="e">
        <f t="shared" si="14"/>
        <v>#REF!</v>
      </c>
      <c r="S150" s="64" t="s">
        <v>243</v>
      </c>
      <c r="T150" s="122"/>
      <c r="U150" s="71" t="s">
        <v>244</v>
      </c>
      <c r="V150" s="72" t="e">
        <f xml:space="preserve"> _xlfn.TEXTJOIN(" ", FALSE,#REF!)</f>
        <v>#REF!</v>
      </c>
      <c r="W150" s="122"/>
      <c r="X150" s="71" t="s">
        <v>245</v>
      </c>
      <c r="Y150" s="72" t="e">
        <f xml:space="preserve"> _xlfn.TEXTJOIN(" ", FALSE,#REF!)</f>
        <v>#REF!</v>
      </c>
      <c r="Z150" s="122"/>
      <c r="AA150" s="71" t="s">
        <v>246</v>
      </c>
      <c r="AB150" s="72" t="e">
        <f xml:space="preserve"> _xlfn.TEXTJOIN(" ", FALSE,#REF!)</f>
        <v>#REF!</v>
      </c>
      <c r="AC150" s="122"/>
      <c r="AD150" s="71" t="s">
        <v>247</v>
      </c>
      <c r="AE150" s="72" t="e">
        <f xml:space="preserve"> _xlfn.TEXTJOIN(" ", FALSE,#REF!)</f>
        <v>#REF!</v>
      </c>
      <c r="AF150" s="122"/>
      <c r="AG150" s="71" t="s">
        <v>248</v>
      </c>
      <c r="AH150" s="73" t="e">
        <f xml:space="preserve"> _xlfn.TEXTJOIN(" ", FALSE,#REF!)</f>
        <v>#REF!</v>
      </c>
      <c r="AI150" s="122"/>
      <c r="AJ150" s="71" t="s">
        <v>249</v>
      </c>
      <c r="AK150" s="73" t="e">
        <f xml:space="preserve"> _xlfn.TEXTJOIN(" ", FALSE,#REF!)</f>
        <v>#REF!</v>
      </c>
      <c r="AL150" s="122"/>
      <c r="AM150" s="71" t="s">
        <v>250</v>
      </c>
      <c r="AN150" s="73" t="e">
        <f xml:space="preserve"> _xlfn.TEXTJOIN(" ", FALSE,#REF!)</f>
        <v>#REF!</v>
      </c>
      <c r="AO150" s="122"/>
      <c r="AP150" s="71" t="s">
        <v>251</v>
      </c>
      <c r="AQ150" s="72" t="e">
        <f xml:space="preserve"> _xlfn.TEXTJOIN(" ", FALSE,#REF!)</f>
        <v>#REF!</v>
      </c>
      <c r="AR150" s="122"/>
      <c r="AS150" s="71" t="s">
        <v>252</v>
      </c>
      <c r="AT150" s="72" t="e">
        <f xml:space="preserve"> _xlfn.TEXTJOIN(" ", FALSE,#REF!)</f>
        <v>#REF!</v>
      </c>
      <c r="AU150" s="122"/>
      <c r="AV150" s="71" t="s">
        <v>253</v>
      </c>
      <c r="AW150" s="73" t="e">
        <f xml:space="preserve"> _xlfn.TEXTJOIN(" ", FALSE,#REF!)</f>
        <v>#REF!</v>
      </c>
      <c r="AX150" s="122"/>
      <c r="AY150" s="71" t="s">
        <v>254</v>
      </c>
      <c r="AZ150" s="72" t="e">
        <f xml:space="preserve"> _xlfn.TEXTJOIN(" ", FALSE,#REF!)</f>
        <v>#REF!</v>
      </c>
      <c r="BA150" s="122"/>
      <c r="BB150" s="71" t="s">
        <v>255</v>
      </c>
      <c r="BC150" s="72" t="e">
        <f xml:space="preserve"> _xlfn.TEXTJOIN(" ", FALSE,#REF!)</f>
        <v>#REF!</v>
      </c>
      <c r="BD150" s="122"/>
      <c r="BE150" s="71" t="s">
        <v>256</v>
      </c>
      <c r="BF150" s="72" t="e">
        <f xml:space="preserve"> _xlfn.TEXTJOIN(" ", FALSE,#REF!)</f>
        <v>#REF!</v>
      </c>
      <c r="BG150" s="65" t="s">
        <v>277</v>
      </c>
      <c r="BH150" s="70" t="e">
        <f t="shared" si="15"/>
        <v>#REF!</v>
      </c>
      <c r="BI150" s="64" t="s">
        <v>257</v>
      </c>
      <c r="BJ150" s="122"/>
      <c r="BK150" s="71" t="s">
        <v>258</v>
      </c>
      <c r="BL150" s="74" t="str">
        <f>_xlfn.TEXTJOIN(" ", FALSE, 'Task 2a - Mitigating the Proble'!U150:AC150)</f>
        <v xml:space="preserve">1 1 0 0 0 1 0 0 </v>
      </c>
      <c r="BM150" s="65" t="s">
        <v>277</v>
      </c>
      <c r="BN150" s="70" t="str">
        <f t="shared" si="16"/>
        <v>[Details for Task 2a:]  /Question 12: 1 1 0 0 0 1 0 0  .</v>
      </c>
      <c r="BO150" s="64" t="s">
        <v>259</v>
      </c>
      <c r="BP150" s="122"/>
      <c r="BQ150" s="71" t="s">
        <v>260</v>
      </c>
      <c r="BR150" s="73" t="e">
        <f xml:space="preserve"> _xlfn.TEXTJOIN(" ", FALSE,#REF!)</f>
        <v>#REF!</v>
      </c>
      <c r="BS150" s="122"/>
      <c r="BT150" s="71" t="s">
        <v>261</v>
      </c>
      <c r="BU150" s="73" t="e">
        <f xml:space="preserve"> _xlfn.TEXTJOIN(" ", FALSE,#REF!)</f>
        <v>#REF!</v>
      </c>
      <c r="BV150" s="122"/>
      <c r="BW150" s="71" t="s">
        <v>262</v>
      </c>
      <c r="BX150" s="73" t="e">
        <f xml:space="preserve"> _xlfn.TEXTJOIN(" ", FALSE,#REF!)</f>
        <v>#REF!</v>
      </c>
      <c r="BY150" s="122"/>
      <c r="BZ150" s="71" t="s">
        <v>263</v>
      </c>
      <c r="CA150" s="73" t="e">
        <f xml:space="preserve"> _xlfn.TEXTJOIN(" ", FALSE,#REF!)</f>
        <v>#REF!</v>
      </c>
      <c r="CB150" s="122"/>
      <c r="CC150" s="71" t="s">
        <v>264</v>
      </c>
      <c r="CD150" s="73" t="e">
        <f xml:space="preserve"> _xlfn.TEXTJOIN(" ", FALSE,#REF!)</f>
        <v>#REF!</v>
      </c>
      <c r="CE150" s="122"/>
      <c r="CF150" s="71" t="s">
        <v>265</v>
      </c>
      <c r="CG150" s="73" t="e">
        <f xml:space="preserve"> _xlfn.TEXTJOIN(" ", FALSE,#REF!)</f>
        <v>#REF!</v>
      </c>
      <c r="CH150" s="122"/>
      <c r="CI150" s="74" t="s">
        <v>278</v>
      </c>
      <c r="CJ150" s="73" t="e">
        <f xml:space="preserve"> _xlfn.TEXTJOIN(" ", FALSE,#REF!)</f>
        <v>#REF!</v>
      </c>
      <c r="CK150" s="65" t="s">
        <v>277</v>
      </c>
      <c r="CL150" s="70" t="e">
        <f t="shared" si="17"/>
        <v>#REF!</v>
      </c>
      <c r="CM150" s="64" t="s">
        <v>267</v>
      </c>
      <c r="CN150" s="122"/>
      <c r="CO150" s="71" t="s">
        <v>268</v>
      </c>
      <c r="CP150" s="73" t="e">
        <f xml:space="preserve"> _xlfn.TEXTJOIN(" ", FALSE,#REF!)</f>
        <v>#REF!</v>
      </c>
      <c r="CQ150" s="122"/>
      <c r="CR150" s="71" t="s">
        <v>269</v>
      </c>
      <c r="CS150" s="73" t="e">
        <f xml:space="preserve"> _xlfn.TEXTJOIN(" ", FALSE,#REF!)</f>
        <v>#REF!</v>
      </c>
      <c r="CT150" s="122"/>
      <c r="CU150" s="71" t="s">
        <v>270</v>
      </c>
      <c r="CV150" s="72" t="e">
        <f xml:space="preserve"> _xlfn.TEXTJOIN(" ", FALSE,#REF!)</f>
        <v>#REF!</v>
      </c>
      <c r="CW150" s="122"/>
      <c r="CX150" s="71" t="s">
        <v>271</v>
      </c>
      <c r="CY150" s="72" t="e">
        <f xml:space="preserve"> _xlfn.TEXTJOIN(" ", FALSE,#REF!)</f>
        <v>#REF!</v>
      </c>
      <c r="CZ150" s="122"/>
      <c r="DA150" s="71" t="s">
        <v>272</v>
      </c>
      <c r="DB150" s="73" t="e">
        <f xml:space="preserve"> _xlfn.TEXTJOIN(" ", FALSE,#REF!)</f>
        <v>#REF!</v>
      </c>
      <c r="DC150" s="65" t="s">
        <v>277</v>
      </c>
      <c r="DD150" s="70" t="e">
        <f t="shared" si="18"/>
        <v>#REF!</v>
      </c>
      <c r="DE150" s="64" t="s">
        <v>273</v>
      </c>
      <c r="DF150" s="122"/>
      <c r="DG150" s="71" t="s">
        <v>274</v>
      </c>
      <c r="DH150" s="72" t="e">
        <f xml:space="preserve"> _xlfn.TEXTJOIN(" ", FALSE,#REF!)</f>
        <v>#REF!</v>
      </c>
      <c r="DI150" s="122"/>
      <c r="DJ150" s="71" t="s">
        <v>275</v>
      </c>
      <c r="DK150" s="73" t="e">
        <f xml:space="preserve"> _xlfn.TEXTJOIN(" ", FALSE,#REF!)</f>
        <v>#REF!</v>
      </c>
      <c r="DL150" s="65" t="s">
        <v>277</v>
      </c>
      <c r="DM150" s="70" t="e">
        <f t="shared" si="19"/>
        <v>#REF!</v>
      </c>
      <c r="DN150" s="70" t="e">
        <f t="shared" si="20"/>
        <v>#REF!</v>
      </c>
    </row>
    <row r="151" spans="1:118" ht="108" customHeight="1">
      <c r="A151" s="122" t="e">
        <f>Summary!A151</f>
        <v>#REF!</v>
      </c>
      <c r="B151" s="64" t="s">
        <v>233</v>
      </c>
      <c r="C151" s="65" t="e">
        <f>Summary!B151</f>
        <v>#REF!</v>
      </c>
      <c r="D151" s="122"/>
      <c r="E151" s="64" t="s">
        <v>235</v>
      </c>
      <c r="F151" s="132" t="e">
        <f>Summary!C151</f>
        <v>#REF!</v>
      </c>
      <c r="G151" s="64" t="s">
        <v>236</v>
      </c>
      <c r="H151" s="132" t="e">
        <f>Summary!D151</f>
        <v>#REF!</v>
      </c>
      <c r="I151" s="64" t="s">
        <v>237</v>
      </c>
      <c r="J151" s="66">
        <f>Summary!E151</f>
        <v>6</v>
      </c>
      <c r="K151" s="64" t="s">
        <v>238</v>
      </c>
      <c r="L151" s="132" t="e">
        <f>Summary!F151</f>
        <v>#REF!</v>
      </c>
      <c r="M151" s="64" t="s">
        <v>239</v>
      </c>
      <c r="N151" s="132" t="e">
        <f>Summary!G151</f>
        <v>#REF!</v>
      </c>
      <c r="O151" s="64" t="s">
        <v>240</v>
      </c>
      <c r="P151" s="132" t="e">
        <f>Summary!H151</f>
        <v>#REF!</v>
      </c>
      <c r="Q151" s="65" t="s">
        <v>277</v>
      </c>
      <c r="R151" s="70" t="e">
        <f t="shared" si="14"/>
        <v>#REF!</v>
      </c>
      <c r="S151" s="64" t="s">
        <v>243</v>
      </c>
      <c r="T151" s="122"/>
      <c r="U151" s="71" t="s">
        <v>244</v>
      </c>
      <c r="V151" s="72" t="e">
        <f xml:space="preserve"> _xlfn.TEXTJOIN(" ", FALSE,#REF!)</f>
        <v>#REF!</v>
      </c>
      <c r="W151" s="122"/>
      <c r="X151" s="71" t="s">
        <v>245</v>
      </c>
      <c r="Y151" s="72" t="e">
        <f xml:space="preserve"> _xlfn.TEXTJOIN(" ", FALSE,#REF!)</f>
        <v>#REF!</v>
      </c>
      <c r="Z151" s="122"/>
      <c r="AA151" s="71" t="s">
        <v>246</v>
      </c>
      <c r="AB151" s="72" t="e">
        <f xml:space="preserve"> _xlfn.TEXTJOIN(" ", FALSE,#REF!)</f>
        <v>#REF!</v>
      </c>
      <c r="AC151" s="122"/>
      <c r="AD151" s="71" t="s">
        <v>247</v>
      </c>
      <c r="AE151" s="72" t="e">
        <f xml:space="preserve"> _xlfn.TEXTJOIN(" ", FALSE,#REF!)</f>
        <v>#REF!</v>
      </c>
      <c r="AF151" s="122"/>
      <c r="AG151" s="71" t="s">
        <v>248</v>
      </c>
      <c r="AH151" s="73" t="e">
        <f xml:space="preserve"> _xlfn.TEXTJOIN(" ", FALSE,#REF!)</f>
        <v>#REF!</v>
      </c>
      <c r="AI151" s="122"/>
      <c r="AJ151" s="71" t="s">
        <v>249</v>
      </c>
      <c r="AK151" s="73" t="e">
        <f xml:space="preserve"> _xlfn.TEXTJOIN(" ", FALSE,#REF!)</f>
        <v>#REF!</v>
      </c>
      <c r="AL151" s="122"/>
      <c r="AM151" s="71" t="s">
        <v>250</v>
      </c>
      <c r="AN151" s="73" t="e">
        <f xml:space="preserve"> _xlfn.TEXTJOIN(" ", FALSE,#REF!)</f>
        <v>#REF!</v>
      </c>
      <c r="AO151" s="122"/>
      <c r="AP151" s="71" t="s">
        <v>251</v>
      </c>
      <c r="AQ151" s="72" t="e">
        <f xml:space="preserve"> _xlfn.TEXTJOIN(" ", FALSE,#REF!)</f>
        <v>#REF!</v>
      </c>
      <c r="AR151" s="122"/>
      <c r="AS151" s="71" t="s">
        <v>252</v>
      </c>
      <c r="AT151" s="72" t="e">
        <f xml:space="preserve"> _xlfn.TEXTJOIN(" ", FALSE,#REF!)</f>
        <v>#REF!</v>
      </c>
      <c r="AU151" s="122"/>
      <c r="AV151" s="71" t="s">
        <v>253</v>
      </c>
      <c r="AW151" s="73" t="e">
        <f xml:space="preserve"> _xlfn.TEXTJOIN(" ", FALSE,#REF!)</f>
        <v>#REF!</v>
      </c>
      <c r="AX151" s="122"/>
      <c r="AY151" s="71" t="s">
        <v>254</v>
      </c>
      <c r="AZ151" s="72" t="e">
        <f xml:space="preserve"> _xlfn.TEXTJOIN(" ", FALSE,#REF!)</f>
        <v>#REF!</v>
      </c>
      <c r="BA151" s="122"/>
      <c r="BB151" s="71" t="s">
        <v>255</v>
      </c>
      <c r="BC151" s="72" t="e">
        <f xml:space="preserve"> _xlfn.TEXTJOIN(" ", FALSE,#REF!)</f>
        <v>#REF!</v>
      </c>
      <c r="BD151" s="122"/>
      <c r="BE151" s="71" t="s">
        <v>256</v>
      </c>
      <c r="BF151" s="72" t="e">
        <f xml:space="preserve"> _xlfn.TEXTJOIN(" ", FALSE,#REF!)</f>
        <v>#REF!</v>
      </c>
      <c r="BG151" s="65" t="s">
        <v>277</v>
      </c>
      <c r="BH151" s="70" t="e">
        <f t="shared" si="15"/>
        <v>#REF!</v>
      </c>
      <c r="BI151" s="64" t="s">
        <v>257</v>
      </c>
      <c r="BJ151" s="122"/>
      <c r="BK151" s="71" t="s">
        <v>258</v>
      </c>
      <c r="BL151" s="74" t="str">
        <f>_xlfn.TEXTJOIN(" ", FALSE, 'Task 2a - Mitigating the Proble'!U151:AC151)</f>
        <v xml:space="preserve">1 1 0 0 0 1 0 0 </v>
      </c>
      <c r="BM151" s="65" t="s">
        <v>277</v>
      </c>
      <c r="BN151" s="70" t="str">
        <f t="shared" si="16"/>
        <v>[Details for Task 2a:]  /Question 12: 1 1 0 0 0 1 0 0  .</v>
      </c>
      <c r="BO151" s="64" t="s">
        <v>259</v>
      </c>
      <c r="BP151" s="122"/>
      <c r="BQ151" s="71" t="s">
        <v>260</v>
      </c>
      <c r="BR151" s="73" t="e">
        <f xml:space="preserve"> _xlfn.TEXTJOIN(" ", FALSE,#REF!)</f>
        <v>#REF!</v>
      </c>
      <c r="BS151" s="122"/>
      <c r="BT151" s="71" t="s">
        <v>261</v>
      </c>
      <c r="BU151" s="73" t="e">
        <f xml:space="preserve"> _xlfn.TEXTJOIN(" ", FALSE,#REF!)</f>
        <v>#REF!</v>
      </c>
      <c r="BV151" s="122"/>
      <c r="BW151" s="71" t="s">
        <v>262</v>
      </c>
      <c r="BX151" s="73" t="e">
        <f xml:space="preserve"> _xlfn.TEXTJOIN(" ", FALSE,#REF!)</f>
        <v>#REF!</v>
      </c>
      <c r="BY151" s="122"/>
      <c r="BZ151" s="71" t="s">
        <v>263</v>
      </c>
      <c r="CA151" s="73" t="e">
        <f xml:space="preserve"> _xlfn.TEXTJOIN(" ", FALSE,#REF!)</f>
        <v>#REF!</v>
      </c>
      <c r="CB151" s="122"/>
      <c r="CC151" s="71" t="s">
        <v>264</v>
      </c>
      <c r="CD151" s="73" t="e">
        <f xml:space="preserve"> _xlfn.TEXTJOIN(" ", FALSE,#REF!)</f>
        <v>#REF!</v>
      </c>
      <c r="CE151" s="122"/>
      <c r="CF151" s="71" t="s">
        <v>265</v>
      </c>
      <c r="CG151" s="73" t="e">
        <f xml:space="preserve"> _xlfn.TEXTJOIN(" ", FALSE,#REF!)</f>
        <v>#REF!</v>
      </c>
      <c r="CH151" s="122"/>
      <c r="CI151" s="74" t="s">
        <v>278</v>
      </c>
      <c r="CJ151" s="73" t="e">
        <f xml:space="preserve"> _xlfn.TEXTJOIN(" ", FALSE,#REF!)</f>
        <v>#REF!</v>
      </c>
      <c r="CK151" s="65" t="s">
        <v>277</v>
      </c>
      <c r="CL151" s="70" t="e">
        <f t="shared" si="17"/>
        <v>#REF!</v>
      </c>
      <c r="CM151" s="64" t="s">
        <v>267</v>
      </c>
      <c r="CN151" s="122"/>
      <c r="CO151" s="71" t="s">
        <v>268</v>
      </c>
      <c r="CP151" s="73" t="e">
        <f xml:space="preserve"> _xlfn.TEXTJOIN(" ", FALSE,#REF!)</f>
        <v>#REF!</v>
      </c>
      <c r="CQ151" s="122"/>
      <c r="CR151" s="71" t="s">
        <v>269</v>
      </c>
      <c r="CS151" s="73" t="e">
        <f xml:space="preserve"> _xlfn.TEXTJOIN(" ", FALSE,#REF!)</f>
        <v>#REF!</v>
      </c>
      <c r="CT151" s="122"/>
      <c r="CU151" s="71" t="s">
        <v>270</v>
      </c>
      <c r="CV151" s="72" t="e">
        <f xml:space="preserve"> _xlfn.TEXTJOIN(" ", FALSE,#REF!)</f>
        <v>#REF!</v>
      </c>
      <c r="CW151" s="122"/>
      <c r="CX151" s="71" t="s">
        <v>271</v>
      </c>
      <c r="CY151" s="72" t="e">
        <f xml:space="preserve"> _xlfn.TEXTJOIN(" ", FALSE,#REF!)</f>
        <v>#REF!</v>
      </c>
      <c r="CZ151" s="122"/>
      <c r="DA151" s="71" t="s">
        <v>272</v>
      </c>
      <c r="DB151" s="73" t="e">
        <f xml:space="preserve"> _xlfn.TEXTJOIN(" ", FALSE,#REF!)</f>
        <v>#REF!</v>
      </c>
      <c r="DC151" s="65" t="s">
        <v>277</v>
      </c>
      <c r="DD151" s="70" t="e">
        <f t="shared" si="18"/>
        <v>#REF!</v>
      </c>
      <c r="DE151" s="64" t="s">
        <v>273</v>
      </c>
      <c r="DF151" s="122"/>
      <c r="DG151" s="71" t="s">
        <v>274</v>
      </c>
      <c r="DH151" s="72" t="e">
        <f xml:space="preserve"> _xlfn.TEXTJOIN(" ", FALSE,#REF!)</f>
        <v>#REF!</v>
      </c>
      <c r="DI151" s="122"/>
      <c r="DJ151" s="71" t="s">
        <v>275</v>
      </c>
      <c r="DK151" s="73" t="e">
        <f xml:space="preserve"> _xlfn.TEXTJOIN(" ", FALSE,#REF!)</f>
        <v>#REF!</v>
      </c>
      <c r="DL151" s="65" t="s">
        <v>277</v>
      </c>
      <c r="DM151" s="70" t="e">
        <f t="shared" si="19"/>
        <v>#REF!</v>
      </c>
      <c r="DN151" s="70" t="e">
        <f t="shared" si="20"/>
        <v>#REF!</v>
      </c>
    </row>
    <row r="152" spans="1:118" ht="108" customHeight="1">
      <c r="A152" s="122" t="e">
        <f>Summary!A152</f>
        <v>#REF!</v>
      </c>
      <c r="B152" s="64" t="s">
        <v>233</v>
      </c>
      <c r="C152" s="65" t="e">
        <f>Summary!B152</f>
        <v>#REF!</v>
      </c>
      <c r="D152" s="122"/>
      <c r="E152" s="64" t="s">
        <v>235</v>
      </c>
      <c r="F152" s="132" t="e">
        <f>Summary!C152</f>
        <v>#REF!</v>
      </c>
      <c r="G152" s="64" t="s">
        <v>236</v>
      </c>
      <c r="H152" s="132" t="e">
        <f>Summary!D152</f>
        <v>#REF!</v>
      </c>
      <c r="I152" s="64" t="s">
        <v>237</v>
      </c>
      <c r="J152" s="66">
        <f>Summary!E152</f>
        <v>7</v>
      </c>
      <c r="K152" s="64" t="s">
        <v>238</v>
      </c>
      <c r="L152" s="132" t="e">
        <f>Summary!F152</f>
        <v>#REF!</v>
      </c>
      <c r="M152" s="64" t="s">
        <v>239</v>
      </c>
      <c r="N152" s="132" t="e">
        <f>Summary!G152</f>
        <v>#REF!</v>
      </c>
      <c r="O152" s="64" t="s">
        <v>240</v>
      </c>
      <c r="P152" s="132" t="e">
        <f>Summary!H152</f>
        <v>#REF!</v>
      </c>
      <c r="Q152" s="65" t="s">
        <v>277</v>
      </c>
      <c r="R152" s="70" t="e">
        <f t="shared" si="14"/>
        <v>#REF!</v>
      </c>
      <c r="S152" s="64" t="s">
        <v>243</v>
      </c>
      <c r="T152" s="122"/>
      <c r="U152" s="71" t="s">
        <v>244</v>
      </c>
      <c r="V152" s="72" t="e">
        <f xml:space="preserve"> _xlfn.TEXTJOIN(" ", FALSE,#REF!)</f>
        <v>#REF!</v>
      </c>
      <c r="W152" s="122"/>
      <c r="X152" s="71" t="s">
        <v>245</v>
      </c>
      <c r="Y152" s="72" t="e">
        <f xml:space="preserve"> _xlfn.TEXTJOIN(" ", FALSE,#REF!)</f>
        <v>#REF!</v>
      </c>
      <c r="Z152" s="122"/>
      <c r="AA152" s="71" t="s">
        <v>246</v>
      </c>
      <c r="AB152" s="72" t="e">
        <f xml:space="preserve"> _xlfn.TEXTJOIN(" ", FALSE,#REF!)</f>
        <v>#REF!</v>
      </c>
      <c r="AC152" s="122"/>
      <c r="AD152" s="71" t="s">
        <v>247</v>
      </c>
      <c r="AE152" s="72" t="e">
        <f xml:space="preserve"> _xlfn.TEXTJOIN(" ", FALSE,#REF!)</f>
        <v>#REF!</v>
      </c>
      <c r="AF152" s="122"/>
      <c r="AG152" s="71" t="s">
        <v>248</v>
      </c>
      <c r="AH152" s="73" t="e">
        <f xml:space="preserve"> _xlfn.TEXTJOIN(" ", FALSE,#REF!)</f>
        <v>#REF!</v>
      </c>
      <c r="AI152" s="122"/>
      <c r="AJ152" s="71" t="s">
        <v>249</v>
      </c>
      <c r="AK152" s="73" t="e">
        <f xml:space="preserve"> _xlfn.TEXTJOIN(" ", FALSE,#REF!)</f>
        <v>#REF!</v>
      </c>
      <c r="AL152" s="122"/>
      <c r="AM152" s="71" t="s">
        <v>250</v>
      </c>
      <c r="AN152" s="73" t="e">
        <f xml:space="preserve"> _xlfn.TEXTJOIN(" ", FALSE,#REF!)</f>
        <v>#REF!</v>
      </c>
      <c r="AO152" s="122"/>
      <c r="AP152" s="71" t="s">
        <v>251</v>
      </c>
      <c r="AQ152" s="72" t="e">
        <f xml:space="preserve"> _xlfn.TEXTJOIN(" ", FALSE,#REF!)</f>
        <v>#REF!</v>
      </c>
      <c r="AR152" s="122"/>
      <c r="AS152" s="71" t="s">
        <v>252</v>
      </c>
      <c r="AT152" s="72" t="e">
        <f xml:space="preserve"> _xlfn.TEXTJOIN(" ", FALSE,#REF!)</f>
        <v>#REF!</v>
      </c>
      <c r="AU152" s="122"/>
      <c r="AV152" s="71" t="s">
        <v>253</v>
      </c>
      <c r="AW152" s="73" t="e">
        <f xml:space="preserve"> _xlfn.TEXTJOIN(" ", FALSE,#REF!)</f>
        <v>#REF!</v>
      </c>
      <c r="AX152" s="122"/>
      <c r="AY152" s="71" t="s">
        <v>254</v>
      </c>
      <c r="AZ152" s="72" t="e">
        <f xml:space="preserve"> _xlfn.TEXTJOIN(" ", FALSE,#REF!)</f>
        <v>#REF!</v>
      </c>
      <c r="BA152" s="122"/>
      <c r="BB152" s="71" t="s">
        <v>255</v>
      </c>
      <c r="BC152" s="72" t="e">
        <f xml:space="preserve"> _xlfn.TEXTJOIN(" ", FALSE,#REF!)</f>
        <v>#REF!</v>
      </c>
      <c r="BD152" s="122"/>
      <c r="BE152" s="71" t="s">
        <v>256</v>
      </c>
      <c r="BF152" s="72" t="e">
        <f xml:space="preserve"> _xlfn.TEXTJOIN(" ", FALSE,#REF!)</f>
        <v>#REF!</v>
      </c>
      <c r="BG152" s="65" t="s">
        <v>277</v>
      </c>
      <c r="BH152" s="70" t="e">
        <f t="shared" si="15"/>
        <v>#REF!</v>
      </c>
      <c r="BI152" s="64" t="s">
        <v>257</v>
      </c>
      <c r="BJ152" s="122"/>
      <c r="BK152" s="71" t="s">
        <v>258</v>
      </c>
      <c r="BL152" s="74" t="str">
        <f>_xlfn.TEXTJOIN(" ", FALSE, 'Task 2a - Mitigating the Proble'!U152:AC152)</f>
        <v xml:space="preserve">1 1 1 1 0 1 0 0 </v>
      </c>
      <c r="BM152" s="65" t="s">
        <v>277</v>
      </c>
      <c r="BN152" s="70" t="str">
        <f t="shared" si="16"/>
        <v>[Details for Task 2a:]  /Question 12: 1 1 1 1 0 1 0 0  .</v>
      </c>
      <c r="BO152" s="64" t="s">
        <v>259</v>
      </c>
      <c r="BP152" s="122"/>
      <c r="BQ152" s="71" t="s">
        <v>260</v>
      </c>
      <c r="BR152" s="73" t="e">
        <f xml:space="preserve"> _xlfn.TEXTJOIN(" ", FALSE,#REF!)</f>
        <v>#REF!</v>
      </c>
      <c r="BS152" s="122"/>
      <c r="BT152" s="71" t="s">
        <v>261</v>
      </c>
      <c r="BU152" s="73" t="e">
        <f xml:space="preserve"> _xlfn.TEXTJOIN(" ", FALSE,#REF!)</f>
        <v>#REF!</v>
      </c>
      <c r="BV152" s="122"/>
      <c r="BW152" s="71" t="s">
        <v>262</v>
      </c>
      <c r="BX152" s="73" t="e">
        <f xml:space="preserve"> _xlfn.TEXTJOIN(" ", FALSE,#REF!)</f>
        <v>#REF!</v>
      </c>
      <c r="BY152" s="122"/>
      <c r="BZ152" s="71" t="s">
        <v>263</v>
      </c>
      <c r="CA152" s="73" t="e">
        <f xml:space="preserve"> _xlfn.TEXTJOIN(" ", FALSE,#REF!)</f>
        <v>#REF!</v>
      </c>
      <c r="CB152" s="122"/>
      <c r="CC152" s="71" t="s">
        <v>264</v>
      </c>
      <c r="CD152" s="73" t="e">
        <f xml:space="preserve"> _xlfn.TEXTJOIN(" ", FALSE,#REF!)</f>
        <v>#REF!</v>
      </c>
      <c r="CE152" s="122"/>
      <c r="CF152" s="71" t="s">
        <v>265</v>
      </c>
      <c r="CG152" s="73" t="e">
        <f xml:space="preserve"> _xlfn.TEXTJOIN(" ", FALSE,#REF!)</f>
        <v>#REF!</v>
      </c>
      <c r="CH152" s="122"/>
      <c r="CI152" s="74" t="s">
        <v>278</v>
      </c>
      <c r="CJ152" s="73" t="e">
        <f xml:space="preserve"> _xlfn.TEXTJOIN(" ", FALSE,#REF!)</f>
        <v>#REF!</v>
      </c>
      <c r="CK152" s="65" t="s">
        <v>277</v>
      </c>
      <c r="CL152" s="70" t="e">
        <f t="shared" si="17"/>
        <v>#REF!</v>
      </c>
      <c r="CM152" s="64" t="s">
        <v>267</v>
      </c>
      <c r="CN152" s="122"/>
      <c r="CO152" s="71" t="s">
        <v>268</v>
      </c>
      <c r="CP152" s="73" t="e">
        <f xml:space="preserve"> _xlfn.TEXTJOIN(" ", FALSE,#REF!)</f>
        <v>#REF!</v>
      </c>
      <c r="CQ152" s="122"/>
      <c r="CR152" s="71" t="s">
        <v>269</v>
      </c>
      <c r="CS152" s="73" t="e">
        <f xml:space="preserve"> _xlfn.TEXTJOIN(" ", FALSE,#REF!)</f>
        <v>#REF!</v>
      </c>
      <c r="CT152" s="122"/>
      <c r="CU152" s="71" t="s">
        <v>270</v>
      </c>
      <c r="CV152" s="72" t="e">
        <f xml:space="preserve"> _xlfn.TEXTJOIN(" ", FALSE,#REF!)</f>
        <v>#REF!</v>
      </c>
      <c r="CW152" s="122"/>
      <c r="CX152" s="71" t="s">
        <v>271</v>
      </c>
      <c r="CY152" s="72" t="e">
        <f xml:space="preserve"> _xlfn.TEXTJOIN(" ", FALSE,#REF!)</f>
        <v>#REF!</v>
      </c>
      <c r="CZ152" s="122"/>
      <c r="DA152" s="71" t="s">
        <v>272</v>
      </c>
      <c r="DB152" s="73" t="e">
        <f xml:space="preserve"> _xlfn.TEXTJOIN(" ", FALSE,#REF!)</f>
        <v>#REF!</v>
      </c>
      <c r="DC152" s="65" t="s">
        <v>277</v>
      </c>
      <c r="DD152" s="70" t="e">
        <f t="shared" si="18"/>
        <v>#REF!</v>
      </c>
      <c r="DE152" s="64" t="s">
        <v>273</v>
      </c>
      <c r="DF152" s="122"/>
      <c r="DG152" s="71" t="s">
        <v>274</v>
      </c>
      <c r="DH152" s="72" t="e">
        <f xml:space="preserve"> _xlfn.TEXTJOIN(" ", FALSE,#REF!)</f>
        <v>#REF!</v>
      </c>
      <c r="DI152" s="122"/>
      <c r="DJ152" s="71" t="s">
        <v>275</v>
      </c>
      <c r="DK152" s="73" t="e">
        <f xml:space="preserve"> _xlfn.TEXTJOIN(" ", FALSE,#REF!)</f>
        <v>#REF!</v>
      </c>
      <c r="DL152" s="65" t="s">
        <v>277</v>
      </c>
      <c r="DM152" s="70" t="e">
        <f t="shared" si="19"/>
        <v>#REF!</v>
      </c>
      <c r="DN152" s="70" t="e">
        <f t="shared" si="20"/>
        <v>#REF!</v>
      </c>
    </row>
    <row r="153" spans="1:118" ht="108" customHeight="1">
      <c r="A153" s="122" t="e">
        <f>Summary!A153</f>
        <v>#REF!</v>
      </c>
      <c r="B153" s="64" t="s">
        <v>233</v>
      </c>
      <c r="C153" s="65" t="e">
        <f>Summary!B153</f>
        <v>#REF!</v>
      </c>
      <c r="D153" s="122"/>
      <c r="E153" s="64" t="s">
        <v>235</v>
      </c>
      <c r="F153" s="132" t="e">
        <f>Summary!C153</f>
        <v>#REF!</v>
      </c>
      <c r="G153" s="64" t="s">
        <v>236</v>
      </c>
      <c r="H153" s="132" t="e">
        <f>Summary!D153</f>
        <v>#REF!</v>
      </c>
      <c r="I153" s="64" t="s">
        <v>237</v>
      </c>
      <c r="J153" s="66">
        <f>Summary!E153</f>
        <v>6</v>
      </c>
      <c r="K153" s="64" t="s">
        <v>238</v>
      </c>
      <c r="L153" s="132" t="e">
        <f>Summary!F153</f>
        <v>#REF!</v>
      </c>
      <c r="M153" s="64" t="s">
        <v>239</v>
      </c>
      <c r="N153" s="132" t="e">
        <f>Summary!G153</f>
        <v>#REF!</v>
      </c>
      <c r="O153" s="64" t="s">
        <v>240</v>
      </c>
      <c r="P153" s="132" t="e">
        <f>Summary!H153</f>
        <v>#REF!</v>
      </c>
      <c r="Q153" s="65" t="s">
        <v>277</v>
      </c>
      <c r="R153" s="70" t="e">
        <f t="shared" si="14"/>
        <v>#REF!</v>
      </c>
      <c r="S153" s="64" t="s">
        <v>243</v>
      </c>
      <c r="T153" s="122"/>
      <c r="U153" s="71" t="s">
        <v>244</v>
      </c>
      <c r="V153" s="72" t="e">
        <f xml:space="preserve"> _xlfn.TEXTJOIN(" ", FALSE,#REF!)</f>
        <v>#REF!</v>
      </c>
      <c r="W153" s="122"/>
      <c r="X153" s="71" t="s">
        <v>245</v>
      </c>
      <c r="Y153" s="72" t="e">
        <f xml:space="preserve"> _xlfn.TEXTJOIN(" ", FALSE,#REF!)</f>
        <v>#REF!</v>
      </c>
      <c r="Z153" s="122"/>
      <c r="AA153" s="71" t="s">
        <v>246</v>
      </c>
      <c r="AB153" s="72" t="e">
        <f xml:space="preserve"> _xlfn.TEXTJOIN(" ", FALSE,#REF!)</f>
        <v>#REF!</v>
      </c>
      <c r="AC153" s="122"/>
      <c r="AD153" s="71" t="s">
        <v>247</v>
      </c>
      <c r="AE153" s="72" t="e">
        <f xml:space="preserve"> _xlfn.TEXTJOIN(" ", FALSE,#REF!)</f>
        <v>#REF!</v>
      </c>
      <c r="AF153" s="122"/>
      <c r="AG153" s="71" t="s">
        <v>248</v>
      </c>
      <c r="AH153" s="73" t="e">
        <f xml:space="preserve"> _xlfn.TEXTJOIN(" ", FALSE,#REF!)</f>
        <v>#REF!</v>
      </c>
      <c r="AI153" s="122"/>
      <c r="AJ153" s="71" t="s">
        <v>249</v>
      </c>
      <c r="AK153" s="73" t="e">
        <f xml:space="preserve"> _xlfn.TEXTJOIN(" ", FALSE,#REF!)</f>
        <v>#REF!</v>
      </c>
      <c r="AL153" s="122"/>
      <c r="AM153" s="71" t="s">
        <v>250</v>
      </c>
      <c r="AN153" s="73" t="e">
        <f xml:space="preserve"> _xlfn.TEXTJOIN(" ", FALSE,#REF!)</f>
        <v>#REF!</v>
      </c>
      <c r="AO153" s="122"/>
      <c r="AP153" s="71" t="s">
        <v>251</v>
      </c>
      <c r="AQ153" s="72" t="e">
        <f xml:space="preserve"> _xlfn.TEXTJOIN(" ", FALSE,#REF!)</f>
        <v>#REF!</v>
      </c>
      <c r="AR153" s="122"/>
      <c r="AS153" s="71" t="s">
        <v>252</v>
      </c>
      <c r="AT153" s="72" t="e">
        <f xml:space="preserve"> _xlfn.TEXTJOIN(" ", FALSE,#REF!)</f>
        <v>#REF!</v>
      </c>
      <c r="AU153" s="122"/>
      <c r="AV153" s="71" t="s">
        <v>253</v>
      </c>
      <c r="AW153" s="73" t="e">
        <f xml:space="preserve"> _xlfn.TEXTJOIN(" ", FALSE,#REF!)</f>
        <v>#REF!</v>
      </c>
      <c r="AX153" s="122"/>
      <c r="AY153" s="71" t="s">
        <v>254</v>
      </c>
      <c r="AZ153" s="72" t="e">
        <f xml:space="preserve"> _xlfn.TEXTJOIN(" ", FALSE,#REF!)</f>
        <v>#REF!</v>
      </c>
      <c r="BA153" s="122"/>
      <c r="BB153" s="71" t="s">
        <v>255</v>
      </c>
      <c r="BC153" s="72" t="e">
        <f xml:space="preserve"> _xlfn.TEXTJOIN(" ", FALSE,#REF!)</f>
        <v>#REF!</v>
      </c>
      <c r="BD153" s="122"/>
      <c r="BE153" s="71" t="s">
        <v>256</v>
      </c>
      <c r="BF153" s="72" t="e">
        <f xml:space="preserve"> _xlfn.TEXTJOIN(" ", FALSE,#REF!)</f>
        <v>#REF!</v>
      </c>
      <c r="BG153" s="65" t="s">
        <v>277</v>
      </c>
      <c r="BH153" s="70" t="e">
        <f t="shared" si="15"/>
        <v>#REF!</v>
      </c>
      <c r="BI153" s="64" t="s">
        <v>257</v>
      </c>
      <c r="BJ153" s="122"/>
      <c r="BK153" s="71" t="s">
        <v>258</v>
      </c>
      <c r="BL153" s="74" t="str">
        <f>_xlfn.TEXTJOIN(" ", FALSE, 'Task 2a - Mitigating the Proble'!U153:AC153)</f>
        <v>1 0 0 0 1 1 0 1 Good job mentioning the advantage of domain knowledge.</v>
      </c>
      <c r="BM153" s="65" t="s">
        <v>277</v>
      </c>
      <c r="BN153" s="70" t="str">
        <f t="shared" si="16"/>
        <v>[Details for Task 2a:]  /Question 12: 1 0 0 0 1 1 0 1 Good job mentioning the advantage of domain knowledge. .</v>
      </c>
      <c r="BO153" s="64" t="s">
        <v>259</v>
      </c>
      <c r="BP153" s="122"/>
      <c r="BQ153" s="71" t="s">
        <v>260</v>
      </c>
      <c r="BR153" s="73" t="e">
        <f xml:space="preserve"> _xlfn.TEXTJOIN(" ", FALSE,#REF!)</f>
        <v>#REF!</v>
      </c>
      <c r="BS153" s="122"/>
      <c r="BT153" s="71" t="s">
        <v>261</v>
      </c>
      <c r="BU153" s="73" t="e">
        <f xml:space="preserve"> _xlfn.TEXTJOIN(" ", FALSE,#REF!)</f>
        <v>#REF!</v>
      </c>
      <c r="BV153" s="122"/>
      <c r="BW153" s="71" t="s">
        <v>262</v>
      </c>
      <c r="BX153" s="73" t="e">
        <f xml:space="preserve"> _xlfn.TEXTJOIN(" ", FALSE,#REF!)</f>
        <v>#REF!</v>
      </c>
      <c r="BY153" s="122"/>
      <c r="BZ153" s="71" t="s">
        <v>263</v>
      </c>
      <c r="CA153" s="73" t="e">
        <f xml:space="preserve"> _xlfn.TEXTJOIN(" ", FALSE,#REF!)</f>
        <v>#REF!</v>
      </c>
      <c r="CB153" s="122"/>
      <c r="CC153" s="71" t="s">
        <v>264</v>
      </c>
      <c r="CD153" s="73" t="e">
        <f xml:space="preserve"> _xlfn.TEXTJOIN(" ", FALSE,#REF!)</f>
        <v>#REF!</v>
      </c>
      <c r="CE153" s="122"/>
      <c r="CF153" s="71" t="s">
        <v>265</v>
      </c>
      <c r="CG153" s="73" t="e">
        <f xml:space="preserve"> _xlfn.TEXTJOIN(" ", FALSE,#REF!)</f>
        <v>#REF!</v>
      </c>
      <c r="CH153" s="122"/>
      <c r="CI153" s="74" t="s">
        <v>278</v>
      </c>
      <c r="CJ153" s="73" t="e">
        <f xml:space="preserve"> _xlfn.TEXTJOIN(" ", FALSE,#REF!)</f>
        <v>#REF!</v>
      </c>
      <c r="CK153" s="65" t="s">
        <v>277</v>
      </c>
      <c r="CL153" s="70" t="e">
        <f t="shared" si="17"/>
        <v>#REF!</v>
      </c>
      <c r="CM153" s="64" t="s">
        <v>267</v>
      </c>
      <c r="CN153" s="122"/>
      <c r="CO153" s="71" t="s">
        <v>268</v>
      </c>
      <c r="CP153" s="73" t="e">
        <f xml:space="preserve"> _xlfn.TEXTJOIN(" ", FALSE,#REF!)</f>
        <v>#REF!</v>
      </c>
      <c r="CQ153" s="122"/>
      <c r="CR153" s="71" t="s">
        <v>269</v>
      </c>
      <c r="CS153" s="73" t="e">
        <f xml:space="preserve"> _xlfn.TEXTJOIN(" ", FALSE,#REF!)</f>
        <v>#REF!</v>
      </c>
      <c r="CT153" s="122"/>
      <c r="CU153" s="71" t="s">
        <v>270</v>
      </c>
      <c r="CV153" s="72" t="e">
        <f xml:space="preserve"> _xlfn.TEXTJOIN(" ", FALSE,#REF!)</f>
        <v>#REF!</v>
      </c>
      <c r="CW153" s="122"/>
      <c r="CX153" s="71" t="s">
        <v>271</v>
      </c>
      <c r="CY153" s="72" t="e">
        <f xml:space="preserve"> _xlfn.TEXTJOIN(" ", FALSE,#REF!)</f>
        <v>#REF!</v>
      </c>
      <c r="CZ153" s="122"/>
      <c r="DA153" s="71" t="s">
        <v>272</v>
      </c>
      <c r="DB153" s="73" t="e">
        <f xml:space="preserve"> _xlfn.TEXTJOIN(" ", FALSE,#REF!)</f>
        <v>#REF!</v>
      </c>
      <c r="DC153" s="65" t="s">
        <v>277</v>
      </c>
      <c r="DD153" s="70" t="e">
        <f t="shared" si="18"/>
        <v>#REF!</v>
      </c>
      <c r="DE153" s="64" t="s">
        <v>273</v>
      </c>
      <c r="DF153" s="122"/>
      <c r="DG153" s="71" t="s">
        <v>274</v>
      </c>
      <c r="DH153" s="72" t="e">
        <f xml:space="preserve"> _xlfn.TEXTJOIN(" ", FALSE,#REF!)</f>
        <v>#REF!</v>
      </c>
      <c r="DI153" s="122"/>
      <c r="DJ153" s="71" t="s">
        <v>275</v>
      </c>
      <c r="DK153" s="73" t="e">
        <f xml:space="preserve"> _xlfn.TEXTJOIN(" ", FALSE,#REF!)</f>
        <v>#REF!</v>
      </c>
      <c r="DL153" s="65" t="s">
        <v>277</v>
      </c>
      <c r="DM153" s="70" t="e">
        <f t="shared" si="19"/>
        <v>#REF!</v>
      </c>
      <c r="DN153" s="70" t="e">
        <f t="shared" si="20"/>
        <v>#REF!</v>
      </c>
    </row>
    <row r="154" spans="1:118" ht="108" customHeight="1">
      <c r="A154" s="122" t="e">
        <f>Summary!A154</f>
        <v>#REF!</v>
      </c>
      <c r="B154" s="64" t="s">
        <v>233</v>
      </c>
      <c r="C154" s="65" t="e">
        <f>Summary!B154</f>
        <v>#REF!</v>
      </c>
      <c r="D154" s="122"/>
      <c r="E154" s="64" t="s">
        <v>235</v>
      </c>
      <c r="F154" s="132" t="e">
        <f>Summary!C154</f>
        <v>#REF!</v>
      </c>
      <c r="G154" s="64" t="s">
        <v>236</v>
      </c>
      <c r="H154" s="132" t="e">
        <f>Summary!D154</f>
        <v>#REF!</v>
      </c>
      <c r="I154" s="64" t="s">
        <v>237</v>
      </c>
      <c r="J154" s="66">
        <f>Summary!E154</f>
        <v>6</v>
      </c>
      <c r="K154" s="64" t="s">
        <v>238</v>
      </c>
      <c r="L154" s="132" t="e">
        <f>Summary!F154</f>
        <v>#REF!</v>
      </c>
      <c r="M154" s="64" t="s">
        <v>239</v>
      </c>
      <c r="N154" s="132" t="e">
        <f>Summary!G154</f>
        <v>#REF!</v>
      </c>
      <c r="O154" s="64" t="s">
        <v>240</v>
      </c>
      <c r="P154" s="132" t="e">
        <f>Summary!H154</f>
        <v>#REF!</v>
      </c>
      <c r="Q154" s="65" t="s">
        <v>277</v>
      </c>
      <c r="R154" s="70" t="e">
        <f t="shared" si="14"/>
        <v>#REF!</v>
      </c>
      <c r="S154" s="64" t="s">
        <v>243</v>
      </c>
      <c r="T154" s="122"/>
      <c r="U154" s="71" t="s">
        <v>244</v>
      </c>
      <c r="V154" s="72" t="e">
        <f xml:space="preserve"> _xlfn.TEXTJOIN(" ", FALSE,#REF!)</f>
        <v>#REF!</v>
      </c>
      <c r="W154" s="122"/>
      <c r="X154" s="71" t="s">
        <v>245</v>
      </c>
      <c r="Y154" s="72" t="e">
        <f xml:space="preserve"> _xlfn.TEXTJOIN(" ", FALSE,#REF!)</f>
        <v>#REF!</v>
      </c>
      <c r="Z154" s="122"/>
      <c r="AA154" s="71" t="s">
        <v>246</v>
      </c>
      <c r="AB154" s="72" t="e">
        <f xml:space="preserve"> _xlfn.TEXTJOIN(" ", FALSE,#REF!)</f>
        <v>#REF!</v>
      </c>
      <c r="AC154" s="122"/>
      <c r="AD154" s="71" t="s">
        <v>247</v>
      </c>
      <c r="AE154" s="72" t="e">
        <f xml:space="preserve"> _xlfn.TEXTJOIN(" ", FALSE,#REF!)</f>
        <v>#REF!</v>
      </c>
      <c r="AF154" s="122"/>
      <c r="AG154" s="71" t="s">
        <v>248</v>
      </c>
      <c r="AH154" s="73" t="e">
        <f xml:space="preserve"> _xlfn.TEXTJOIN(" ", FALSE,#REF!)</f>
        <v>#REF!</v>
      </c>
      <c r="AI154" s="122"/>
      <c r="AJ154" s="71" t="s">
        <v>249</v>
      </c>
      <c r="AK154" s="73" t="e">
        <f xml:space="preserve"> _xlfn.TEXTJOIN(" ", FALSE,#REF!)</f>
        <v>#REF!</v>
      </c>
      <c r="AL154" s="122"/>
      <c r="AM154" s="71" t="s">
        <v>250</v>
      </c>
      <c r="AN154" s="73" t="e">
        <f xml:space="preserve"> _xlfn.TEXTJOIN(" ", FALSE,#REF!)</f>
        <v>#REF!</v>
      </c>
      <c r="AO154" s="122"/>
      <c r="AP154" s="71" t="s">
        <v>251</v>
      </c>
      <c r="AQ154" s="72" t="e">
        <f xml:space="preserve"> _xlfn.TEXTJOIN(" ", FALSE,#REF!)</f>
        <v>#REF!</v>
      </c>
      <c r="AR154" s="122"/>
      <c r="AS154" s="71" t="s">
        <v>252</v>
      </c>
      <c r="AT154" s="72" t="e">
        <f xml:space="preserve"> _xlfn.TEXTJOIN(" ", FALSE,#REF!)</f>
        <v>#REF!</v>
      </c>
      <c r="AU154" s="122"/>
      <c r="AV154" s="71" t="s">
        <v>253</v>
      </c>
      <c r="AW154" s="73" t="e">
        <f xml:space="preserve"> _xlfn.TEXTJOIN(" ", FALSE,#REF!)</f>
        <v>#REF!</v>
      </c>
      <c r="AX154" s="122"/>
      <c r="AY154" s="71" t="s">
        <v>254</v>
      </c>
      <c r="AZ154" s="72" t="e">
        <f xml:space="preserve"> _xlfn.TEXTJOIN(" ", FALSE,#REF!)</f>
        <v>#REF!</v>
      </c>
      <c r="BA154" s="122"/>
      <c r="BB154" s="71" t="s">
        <v>255</v>
      </c>
      <c r="BC154" s="72" t="e">
        <f xml:space="preserve"> _xlfn.TEXTJOIN(" ", FALSE,#REF!)</f>
        <v>#REF!</v>
      </c>
      <c r="BD154" s="122"/>
      <c r="BE154" s="71" t="s">
        <v>256</v>
      </c>
      <c r="BF154" s="72" t="e">
        <f xml:space="preserve"> _xlfn.TEXTJOIN(" ", FALSE,#REF!)</f>
        <v>#REF!</v>
      </c>
      <c r="BG154" s="65" t="s">
        <v>277</v>
      </c>
      <c r="BH154" s="70" t="e">
        <f t="shared" si="15"/>
        <v>#REF!</v>
      </c>
      <c r="BI154" s="64" t="s">
        <v>257</v>
      </c>
      <c r="BJ154" s="122"/>
      <c r="BK154" s="71" t="s">
        <v>258</v>
      </c>
      <c r="BL154" s="74" t="str">
        <f>_xlfn.TEXTJOIN(" ", FALSE, 'Task 2a - Mitigating the Proble'!U154:AC154)</f>
        <v xml:space="preserve">1 1 0 0 1 1 0 0 </v>
      </c>
      <c r="BM154" s="65" t="s">
        <v>277</v>
      </c>
      <c r="BN154" s="70" t="str">
        <f t="shared" si="16"/>
        <v>[Details for Task 2a:]  /Question 12: 1 1 0 0 1 1 0 0  .</v>
      </c>
      <c r="BO154" s="64" t="s">
        <v>259</v>
      </c>
      <c r="BP154" s="122"/>
      <c r="BQ154" s="71" t="s">
        <v>260</v>
      </c>
      <c r="BR154" s="73" t="e">
        <f xml:space="preserve"> _xlfn.TEXTJOIN(" ", FALSE,#REF!)</f>
        <v>#REF!</v>
      </c>
      <c r="BS154" s="122"/>
      <c r="BT154" s="71" t="s">
        <v>261</v>
      </c>
      <c r="BU154" s="73" t="e">
        <f xml:space="preserve"> _xlfn.TEXTJOIN(" ", FALSE,#REF!)</f>
        <v>#REF!</v>
      </c>
      <c r="BV154" s="122"/>
      <c r="BW154" s="71" t="s">
        <v>262</v>
      </c>
      <c r="BX154" s="73" t="e">
        <f xml:space="preserve"> _xlfn.TEXTJOIN(" ", FALSE,#REF!)</f>
        <v>#REF!</v>
      </c>
      <c r="BY154" s="122"/>
      <c r="BZ154" s="71" t="s">
        <v>263</v>
      </c>
      <c r="CA154" s="73" t="e">
        <f xml:space="preserve"> _xlfn.TEXTJOIN(" ", FALSE,#REF!)</f>
        <v>#REF!</v>
      </c>
      <c r="CB154" s="122"/>
      <c r="CC154" s="71" t="s">
        <v>264</v>
      </c>
      <c r="CD154" s="73" t="e">
        <f xml:space="preserve"> _xlfn.TEXTJOIN(" ", FALSE,#REF!)</f>
        <v>#REF!</v>
      </c>
      <c r="CE154" s="122"/>
      <c r="CF154" s="71" t="s">
        <v>265</v>
      </c>
      <c r="CG154" s="73" t="e">
        <f xml:space="preserve"> _xlfn.TEXTJOIN(" ", FALSE,#REF!)</f>
        <v>#REF!</v>
      </c>
      <c r="CH154" s="122"/>
      <c r="CI154" s="74" t="s">
        <v>278</v>
      </c>
      <c r="CJ154" s="73" t="e">
        <f xml:space="preserve"> _xlfn.TEXTJOIN(" ", FALSE,#REF!)</f>
        <v>#REF!</v>
      </c>
      <c r="CK154" s="65" t="s">
        <v>277</v>
      </c>
      <c r="CL154" s="70" t="e">
        <f t="shared" si="17"/>
        <v>#REF!</v>
      </c>
      <c r="CM154" s="64" t="s">
        <v>267</v>
      </c>
      <c r="CN154" s="122"/>
      <c r="CO154" s="71" t="s">
        <v>268</v>
      </c>
      <c r="CP154" s="73" t="e">
        <f xml:space="preserve"> _xlfn.TEXTJOIN(" ", FALSE,#REF!)</f>
        <v>#REF!</v>
      </c>
      <c r="CQ154" s="122"/>
      <c r="CR154" s="71" t="s">
        <v>269</v>
      </c>
      <c r="CS154" s="73" t="e">
        <f xml:space="preserve"> _xlfn.TEXTJOIN(" ", FALSE,#REF!)</f>
        <v>#REF!</v>
      </c>
      <c r="CT154" s="122"/>
      <c r="CU154" s="71" t="s">
        <v>270</v>
      </c>
      <c r="CV154" s="72" t="e">
        <f xml:space="preserve"> _xlfn.TEXTJOIN(" ", FALSE,#REF!)</f>
        <v>#REF!</v>
      </c>
      <c r="CW154" s="122"/>
      <c r="CX154" s="71" t="s">
        <v>271</v>
      </c>
      <c r="CY154" s="72" t="e">
        <f xml:space="preserve"> _xlfn.TEXTJOIN(" ", FALSE,#REF!)</f>
        <v>#REF!</v>
      </c>
      <c r="CZ154" s="122"/>
      <c r="DA154" s="71" t="s">
        <v>272</v>
      </c>
      <c r="DB154" s="73" t="e">
        <f xml:space="preserve"> _xlfn.TEXTJOIN(" ", FALSE,#REF!)</f>
        <v>#REF!</v>
      </c>
      <c r="DC154" s="65" t="s">
        <v>277</v>
      </c>
      <c r="DD154" s="70" t="e">
        <f t="shared" si="18"/>
        <v>#REF!</v>
      </c>
      <c r="DE154" s="64" t="s">
        <v>273</v>
      </c>
      <c r="DF154" s="122"/>
      <c r="DG154" s="71" t="s">
        <v>274</v>
      </c>
      <c r="DH154" s="72" t="e">
        <f xml:space="preserve"> _xlfn.TEXTJOIN(" ", FALSE,#REF!)</f>
        <v>#REF!</v>
      </c>
      <c r="DI154" s="122"/>
      <c r="DJ154" s="71" t="s">
        <v>275</v>
      </c>
      <c r="DK154" s="73" t="e">
        <f xml:space="preserve"> _xlfn.TEXTJOIN(" ", FALSE,#REF!)</f>
        <v>#REF!</v>
      </c>
      <c r="DL154" s="65" t="s">
        <v>277</v>
      </c>
      <c r="DM154" s="70" t="e">
        <f t="shared" si="19"/>
        <v>#REF!</v>
      </c>
      <c r="DN154" s="70" t="e">
        <f t="shared" si="20"/>
        <v>#REF!</v>
      </c>
    </row>
    <row r="155" spans="1:118" ht="108" customHeight="1">
      <c r="A155" s="122" t="e">
        <f>Summary!A155</f>
        <v>#REF!</v>
      </c>
      <c r="B155" s="64" t="s">
        <v>233</v>
      </c>
      <c r="C155" s="115" t="e">
        <f>Summary!B155</f>
        <v>#REF!</v>
      </c>
      <c r="D155" s="122"/>
      <c r="E155" s="64" t="s">
        <v>235</v>
      </c>
      <c r="F155" s="133" t="e">
        <f>Summary!C155</f>
        <v>#REF!</v>
      </c>
      <c r="G155" s="64" t="s">
        <v>236</v>
      </c>
      <c r="H155" s="132" t="e">
        <f>Summary!D155</f>
        <v>#REF!</v>
      </c>
      <c r="I155" s="64" t="s">
        <v>237</v>
      </c>
      <c r="J155" s="66">
        <f>Summary!E155</f>
        <v>6</v>
      </c>
      <c r="K155" s="64" t="s">
        <v>238</v>
      </c>
      <c r="L155" s="133" t="e">
        <f>Summary!F155</f>
        <v>#REF!</v>
      </c>
      <c r="M155" s="64" t="s">
        <v>239</v>
      </c>
      <c r="N155" s="132" t="e">
        <f>Summary!G155</f>
        <v>#REF!</v>
      </c>
      <c r="O155" s="64" t="s">
        <v>240</v>
      </c>
      <c r="P155" s="132" t="e">
        <f>Summary!H155</f>
        <v>#REF!</v>
      </c>
      <c r="Q155" s="65" t="s">
        <v>277</v>
      </c>
      <c r="R155" s="70" t="e">
        <f t="shared" si="14"/>
        <v>#REF!</v>
      </c>
      <c r="S155" s="64" t="s">
        <v>243</v>
      </c>
      <c r="T155" s="122"/>
      <c r="U155" s="71" t="s">
        <v>244</v>
      </c>
      <c r="V155" s="72" t="e">
        <f xml:space="preserve"> _xlfn.TEXTJOIN(" ", FALSE,#REF!)</f>
        <v>#REF!</v>
      </c>
      <c r="W155" s="122"/>
      <c r="X155" s="71" t="s">
        <v>245</v>
      </c>
      <c r="Y155" s="72" t="e">
        <f xml:space="preserve"> _xlfn.TEXTJOIN(" ", FALSE,#REF!)</f>
        <v>#REF!</v>
      </c>
      <c r="Z155" s="122"/>
      <c r="AA155" s="71" t="s">
        <v>246</v>
      </c>
      <c r="AB155" s="72" t="e">
        <f xml:space="preserve"> _xlfn.TEXTJOIN(" ", FALSE,#REF!)</f>
        <v>#REF!</v>
      </c>
      <c r="AC155" s="122"/>
      <c r="AD155" s="71" t="s">
        <v>247</v>
      </c>
      <c r="AE155" s="72" t="e">
        <f xml:space="preserve"> _xlfn.TEXTJOIN(" ", FALSE,#REF!)</f>
        <v>#REF!</v>
      </c>
      <c r="AF155" s="122"/>
      <c r="AG155" s="71" t="s">
        <v>248</v>
      </c>
      <c r="AH155" s="73" t="e">
        <f xml:space="preserve"> _xlfn.TEXTJOIN(" ", FALSE,#REF!)</f>
        <v>#REF!</v>
      </c>
      <c r="AI155" s="122"/>
      <c r="AJ155" s="71" t="s">
        <v>249</v>
      </c>
      <c r="AK155" s="73" t="e">
        <f xml:space="preserve"> _xlfn.TEXTJOIN(" ", FALSE,#REF!)</f>
        <v>#REF!</v>
      </c>
      <c r="AL155" s="122"/>
      <c r="AM155" s="71" t="s">
        <v>250</v>
      </c>
      <c r="AN155" s="73" t="e">
        <f xml:space="preserve"> _xlfn.TEXTJOIN(" ", FALSE,#REF!)</f>
        <v>#REF!</v>
      </c>
      <c r="AO155" s="122"/>
      <c r="AP155" s="71" t="s">
        <v>251</v>
      </c>
      <c r="AQ155" s="72" t="e">
        <f xml:space="preserve"> _xlfn.TEXTJOIN(" ", FALSE,#REF!)</f>
        <v>#REF!</v>
      </c>
      <c r="AR155" s="122"/>
      <c r="AS155" s="71" t="s">
        <v>252</v>
      </c>
      <c r="AT155" s="72" t="e">
        <f xml:space="preserve"> _xlfn.TEXTJOIN(" ", FALSE,#REF!)</f>
        <v>#REF!</v>
      </c>
      <c r="AU155" s="122"/>
      <c r="AV155" s="71" t="s">
        <v>253</v>
      </c>
      <c r="AW155" s="73" t="e">
        <f xml:space="preserve"> _xlfn.TEXTJOIN(" ", FALSE,#REF!)</f>
        <v>#REF!</v>
      </c>
      <c r="AX155" s="122"/>
      <c r="AY155" s="71" t="s">
        <v>254</v>
      </c>
      <c r="AZ155" s="72" t="e">
        <f xml:space="preserve"> _xlfn.TEXTJOIN(" ", FALSE,#REF!)</f>
        <v>#REF!</v>
      </c>
      <c r="BA155" s="122"/>
      <c r="BB155" s="71" t="s">
        <v>255</v>
      </c>
      <c r="BC155" s="72" t="e">
        <f xml:space="preserve"> _xlfn.TEXTJOIN(" ", FALSE,#REF!)</f>
        <v>#REF!</v>
      </c>
      <c r="BD155" s="122"/>
      <c r="BE155" s="71" t="s">
        <v>256</v>
      </c>
      <c r="BF155" s="72" t="e">
        <f xml:space="preserve"> _xlfn.TEXTJOIN(" ", FALSE,#REF!)</f>
        <v>#REF!</v>
      </c>
      <c r="BG155" s="65" t="s">
        <v>277</v>
      </c>
      <c r="BH155" s="70" t="e">
        <f t="shared" si="15"/>
        <v>#REF!</v>
      </c>
      <c r="BI155" s="64" t="s">
        <v>257</v>
      </c>
      <c r="BJ155" s="122"/>
      <c r="BK155" s="71" t="s">
        <v>258</v>
      </c>
      <c r="BL155" s="74" t="str">
        <f>_xlfn.TEXTJOIN(" ", FALSE, 'Task 2a - Mitigating the Proble'!U155:AC155)</f>
        <v xml:space="preserve">1 1 1 0 0 1 0 0 </v>
      </c>
      <c r="BM155" s="65" t="s">
        <v>277</v>
      </c>
      <c r="BN155" s="70" t="str">
        <f t="shared" si="16"/>
        <v>[Details for Task 2a:]  /Question 12: 1 1 1 0 0 1 0 0  .</v>
      </c>
      <c r="BO155" s="64" t="s">
        <v>259</v>
      </c>
      <c r="BP155" s="122"/>
      <c r="BQ155" s="71" t="s">
        <v>260</v>
      </c>
      <c r="BR155" s="73" t="e">
        <f xml:space="preserve"> _xlfn.TEXTJOIN(" ", FALSE,#REF!)</f>
        <v>#REF!</v>
      </c>
      <c r="BS155" s="122"/>
      <c r="BT155" s="71" t="s">
        <v>261</v>
      </c>
      <c r="BU155" s="73" t="e">
        <f xml:space="preserve"> _xlfn.TEXTJOIN(" ", FALSE,#REF!)</f>
        <v>#REF!</v>
      </c>
      <c r="BV155" s="122"/>
      <c r="BW155" s="71" t="s">
        <v>262</v>
      </c>
      <c r="BX155" s="73" t="e">
        <f xml:space="preserve"> _xlfn.TEXTJOIN(" ", FALSE,#REF!)</f>
        <v>#REF!</v>
      </c>
      <c r="BY155" s="122"/>
      <c r="BZ155" s="71" t="s">
        <v>263</v>
      </c>
      <c r="CA155" s="73" t="e">
        <f xml:space="preserve"> _xlfn.TEXTJOIN(" ", FALSE,#REF!)</f>
        <v>#REF!</v>
      </c>
      <c r="CB155" s="122"/>
      <c r="CC155" s="71" t="s">
        <v>264</v>
      </c>
      <c r="CD155" s="73" t="e">
        <f xml:space="preserve"> _xlfn.TEXTJOIN(" ", FALSE,#REF!)</f>
        <v>#REF!</v>
      </c>
      <c r="CE155" s="122"/>
      <c r="CF155" s="71" t="s">
        <v>265</v>
      </c>
      <c r="CG155" s="73" t="e">
        <f xml:space="preserve"> _xlfn.TEXTJOIN(" ", FALSE,#REF!)</f>
        <v>#REF!</v>
      </c>
      <c r="CH155" s="122"/>
      <c r="CI155" s="74" t="s">
        <v>278</v>
      </c>
      <c r="CJ155" s="73" t="e">
        <f xml:space="preserve"> _xlfn.TEXTJOIN(" ", FALSE,#REF!)</f>
        <v>#REF!</v>
      </c>
      <c r="CK155" s="65" t="s">
        <v>277</v>
      </c>
      <c r="CL155" s="116" t="e">
        <f t="shared" si="17"/>
        <v>#REF!</v>
      </c>
      <c r="CM155" s="64" t="s">
        <v>267</v>
      </c>
      <c r="CN155" s="122"/>
      <c r="CO155" s="71" t="s">
        <v>268</v>
      </c>
      <c r="CP155" s="73" t="e">
        <f xml:space="preserve"> _xlfn.TEXTJOIN(" ", FALSE,#REF!)</f>
        <v>#REF!</v>
      </c>
      <c r="CQ155" s="122"/>
      <c r="CR155" s="71" t="s">
        <v>269</v>
      </c>
      <c r="CS155" s="73" t="e">
        <f xml:space="preserve"> _xlfn.TEXTJOIN(" ", FALSE,#REF!)</f>
        <v>#REF!</v>
      </c>
      <c r="CT155" s="122"/>
      <c r="CU155" s="71" t="s">
        <v>270</v>
      </c>
      <c r="CV155" s="72" t="e">
        <f xml:space="preserve"> _xlfn.TEXTJOIN(" ", FALSE,#REF!)</f>
        <v>#REF!</v>
      </c>
      <c r="CW155" s="122"/>
      <c r="CX155" s="71" t="s">
        <v>271</v>
      </c>
      <c r="CY155" s="72" t="e">
        <f xml:space="preserve"> _xlfn.TEXTJOIN(" ", FALSE,#REF!)</f>
        <v>#REF!</v>
      </c>
      <c r="CZ155" s="122"/>
      <c r="DA155" s="71" t="s">
        <v>272</v>
      </c>
      <c r="DB155" s="73" t="e">
        <f xml:space="preserve"> _xlfn.TEXTJOIN(" ", FALSE,#REF!)</f>
        <v>#REF!</v>
      </c>
      <c r="DC155" s="65" t="s">
        <v>277</v>
      </c>
      <c r="DD155" s="70" t="e">
        <f t="shared" si="18"/>
        <v>#REF!</v>
      </c>
      <c r="DE155" s="64" t="s">
        <v>273</v>
      </c>
      <c r="DF155" s="122"/>
      <c r="DG155" s="71" t="s">
        <v>274</v>
      </c>
      <c r="DH155" s="72" t="e">
        <f xml:space="preserve"> _xlfn.TEXTJOIN(" ", FALSE,#REF!)</f>
        <v>#REF!</v>
      </c>
      <c r="DI155" s="122"/>
      <c r="DJ155" s="71" t="s">
        <v>275</v>
      </c>
      <c r="DK155" s="73" t="e">
        <f xml:space="preserve"> _xlfn.TEXTJOIN(" ", FALSE,#REF!)</f>
        <v>#REF!</v>
      </c>
      <c r="DL155" s="65" t="s">
        <v>277</v>
      </c>
      <c r="DM155" s="70" t="e">
        <f t="shared" si="19"/>
        <v>#REF!</v>
      </c>
      <c r="DN155" s="70" t="e">
        <f t="shared" si="20"/>
        <v>#REF!</v>
      </c>
    </row>
    <row r="156" spans="1:118" ht="108" customHeight="1">
      <c r="A156" s="122" t="e">
        <f>Summary!A156</f>
        <v>#REF!</v>
      </c>
      <c r="B156" s="64" t="s">
        <v>233</v>
      </c>
      <c r="C156" s="65" t="e">
        <f>Summary!B156</f>
        <v>#REF!</v>
      </c>
      <c r="D156" s="122"/>
      <c r="E156" s="64" t="s">
        <v>235</v>
      </c>
      <c r="F156" s="132" t="e">
        <f>Summary!C156</f>
        <v>#REF!</v>
      </c>
      <c r="G156" s="64" t="s">
        <v>236</v>
      </c>
      <c r="H156" s="132" t="e">
        <f>Summary!D156</f>
        <v>#REF!</v>
      </c>
      <c r="I156" s="64" t="s">
        <v>237</v>
      </c>
      <c r="J156" s="66">
        <f>Summary!E156</f>
        <v>6</v>
      </c>
      <c r="K156" s="64" t="s">
        <v>238</v>
      </c>
      <c r="L156" s="132" t="e">
        <f>Summary!F156</f>
        <v>#REF!</v>
      </c>
      <c r="M156" s="64" t="s">
        <v>239</v>
      </c>
      <c r="N156" s="132" t="e">
        <f>Summary!G156</f>
        <v>#REF!</v>
      </c>
      <c r="O156" s="64" t="s">
        <v>240</v>
      </c>
      <c r="P156" s="132" t="e">
        <f>Summary!H156</f>
        <v>#REF!</v>
      </c>
      <c r="Q156" s="65" t="s">
        <v>277</v>
      </c>
      <c r="R156" s="70" t="e">
        <f t="shared" si="14"/>
        <v>#REF!</v>
      </c>
      <c r="S156" s="64" t="s">
        <v>243</v>
      </c>
      <c r="T156" s="122"/>
      <c r="U156" s="71" t="s">
        <v>244</v>
      </c>
      <c r="V156" s="72" t="e">
        <f xml:space="preserve"> _xlfn.TEXTJOIN(" ", FALSE,#REF!)</f>
        <v>#REF!</v>
      </c>
      <c r="W156" s="122"/>
      <c r="X156" s="71" t="s">
        <v>245</v>
      </c>
      <c r="Y156" s="72" t="e">
        <f xml:space="preserve"> _xlfn.TEXTJOIN(" ", FALSE,#REF!)</f>
        <v>#REF!</v>
      </c>
      <c r="Z156" s="122"/>
      <c r="AA156" s="71" t="s">
        <v>246</v>
      </c>
      <c r="AB156" s="72" t="e">
        <f xml:space="preserve"> _xlfn.TEXTJOIN(" ", FALSE,#REF!)</f>
        <v>#REF!</v>
      </c>
      <c r="AC156" s="122"/>
      <c r="AD156" s="71" t="s">
        <v>247</v>
      </c>
      <c r="AE156" s="72" t="e">
        <f xml:space="preserve"> _xlfn.TEXTJOIN(" ", FALSE,#REF!)</f>
        <v>#REF!</v>
      </c>
      <c r="AF156" s="122"/>
      <c r="AG156" s="71" t="s">
        <v>248</v>
      </c>
      <c r="AH156" s="73" t="e">
        <f xml:space="preserve"> _xlfn.TEXTJOIN(" ", FALSE,#REF!)</f>
        <v>#REF!</v>
      </c>
      <c r="AI156" s="122"/>
      <c r="AJ156" s="71" t="s">
        <v>249</v>
      </c>
      <c r="AK156" s="73" t="e">
        <f xml:space="preserve"> _xlfn.TEXTJOIN(" ", FALSE,#REF!)</f>
        <v>#REF!</v>
      </c>
      <c r="AL156" s="122"/>
      <c r="AM156" s="71" t="s">
        <v>250</v>
      </c>
      <c r="AN156" s="73" t="e">
        <f xml:space="preserve"> _xlfn.TEXTJOIN(" ", FALSE,#REF!)</f>
        <v>#REF!</v>
      </c>
      <c r="AO156" s="122"/>
      <c r="AP156" s="71" t="s">
        <v>251</v>
      </c>
      <c r="AQ156" s="72" t="e">
        <f xml:space="preserve"> _xlfn.TEXTJOIN(" ", FALSE,#REF!)</f>
        <v>#REF!</v>
      </c>
      <c r="AR156" s="122"/>
      <c r="AS156" s="71" t="s">
        <v>252</v>
      </c>
      <c r="AT156" s="72" t="e">
        <f xml:space="preserve"> _xlfn.TEXTJOIN(" ", FALSE,#REF!)</f>
        <v>#REF!</v>
      </c>
      <c r="AU156" s="122"/>
      <c r="AV156" s="71" t="s">
        <v>253</v>
      </c>
      <c r="AW156" s="73" t="e">
        <f xml:space="preserve"> _xlfn.TEXTJOIN(" ", FALSE,#REF!)</f>
        <v>#REF!</v>
      </c>
      <c r="AX156" s="122"/>
      <c r="AY156" s="71" t="s">
        <v>254</v>
      </c>
      <c r="AZ156" s="72" t="e">
        <f xml:space="preserve"> _xlfn.TEXTJOIN(" ", FALSE,#REF!)</f>
        <v>#REF!</v>
      </c>
      <c r="BA156" s="122"/>
      <c r="BB156" s="71" t="s">
        <v>255</v>
      </c>
      <c r="BC156" s="72" t="e">
        <f xml:space="preserve"> _xlfn.TEXTJOIN(" ", FALSE,#REF!)</f>
        <v>#REF!</v>
      </c>
      <c r="BD156" s="122"/>
      <c r="BE156" s="71" t="s">
        <v>256</v>
      </c>
      <c r="BF156" s="72" t="e">
        <f xml:space="preserve"> _xlfn.TEXTJOIN(" ", FALSE,#REF!)</f>
        <v>#REF!</v>
      </c>
      <c r="BG156" s="65" t="s">
        <v>277</v>
      </c>
      <c r="BH156" s="70" t="e">
        <f t="shared" si="15"/>
        <v>#REF!</v>
      </c>
      <c r="BI156" s="64" t="s">
        <v>257</v>
      </c>
      <c r="BJ156" s="122"/>
      <c r="BK156" s="71" t="s">
        <v>258</v>
      </c>
      <c r="BL156" s="74" t="str">
        <f>_xlfn.TEXTJOIN(" ", FALSE, 'Task 2a - Mitigating the Proble'!U156:AC156)</f>
        <v xml:space="preserve">1 1 1 0 0 1 0 0 </v>
      </c>
      <c r="BM156" s="65" t="s">
        <v>277</v>
      </c>
      <c r="BN156" s="70" t="str">
        <f t="shared" si="16"/>
        <v>[Details for Task 2a:]  /Question 12: 1 1 1 0 0 1 0 0  .</v>
      </c>
      <c r="BO156" s="64" t="s">
        <v>259</v>
      </c>
      <c r="BP156" s="122"/>
      <c r="BQ156" s="71" t="s">
        <v>260</v>
      </c>
      <c r="BR156" s="73" t="e">
        <f xml:space="preserve"> _xlfn.TEXTJOIN(" ", FALSE,#REF!)</f>
        <v>#REF!</v>
      </c>
      <c r="BS156" s="122"/>
      <c r="BT156" s="71" t="s">
        <v>261</v>
      </c>
      <c r="BU156" s="73" t="e">
        <f xml:space="preserve"> _xlfn.TEXTJOIN(" ", FALSE,#REF!)</f>
        <v>#REF!</v>
      </c>
      <c r="BV156" s="122"/>
      <c r="BW156" s="71" t="s">
        <v>262</v>
      </c>
      <c r="BX156" s="73" t="e">
        <f xml:space="preserve"> _xlfn.TEXTJOIN(" ", FALSE,#REF!)</f>
        <v>#REF!</v>
      </c>
      <c r="BY156" s="122"/>
      <c r="BZ156" s="71" t="s">
        <v>263</v>
      </c>
      <c r="CA156" s="73" t="e">
        <f xml:space="preserve"> _xlfn.TEXTJOIN(" ", FALSE,#REF!)</f>
        <v>#REF!</v>
      </c>
      <c r="CB156" s="122"/>
      <c r="CC156" s="71" t="s">
        <v>264</v>
      </c>
      <c r="CD156" s="73" t="e">
        <f xml:space="preserve"> _xlfn.TEXTJOIN(" ", FALSE,#REF!)</f>
        <v>#REF!</v>
      </c>
      <c r="CE156" s="122"/>
      <c r="CF156" s="71" t="s">
        <v>265</v>
      </c>
      <c r="CG156" s="73" t="e">
        <f xml:space="preserve"> _xlfn.TEXTJOIN(" ", FALSE,#REF!)</f>
        <v>#REF!</v>
      </c>
      <c r="CH156" s="122"/>
      <c r="CI156" s="74" t="s">
        <v>278</v>
      </c>
      <c r="CJ156" s="73" t="e">
        <f xml:space="preserve"> _xlfn.TEXTJOIN(" ", FALSE,#REF!)</f>
        <v>#REF!</v>
      </c>
      <c r="CK156" s="65" t="s">
        <v>277</v>
      </c>
      <c r="CL156" s="70" t="e">
        <f t="shared" si="17"/>
        <v>#REF!</v>
      </c>
      <c r="CM156" s="64" t="s">
        <v>267</v>
      </c>
      <c r="CN156" s="122"/>
      <c r="CO156" s="71" t="s">
        <v>268</v>
      </c>
      <c r="CP156" s="73" t="e">
        <f xml:space="preserve"> _xlfn.TEXTJOIN(" ", FALSE,#REF!)</f>
        <v>#REF!</v>
      </c>
      <c r="CQ156" s="122"/>
      <c r="CR156" s="71" t="s">
        <v>269</v>
      </c>
      <c r="CS156" s="73" t="e">
        <f xml:space="preserve"> _xlfn.TEXTJOIN(" ", FALSE,#REF!)</f>
        <v>#REF!</v>
      </c>
      <c r="CT156" s="122"/>
      <c r="CU156" s="71" t="s">
        <v>270</v>
      </c>
      <c r="CV156" s="72" t="e">
        <f xml:space="preserve"> _xlfn.TEXTJOIN(" ", FALSE,#REF!)</f>
        <v>#REF!</v>
      </c>
      <c r="CW156" s="122"/>
      <c r="CX156" s="71" t="s">
        <v>271</v>
      </c>
      <c r="CY156" s="72" t="e">
        <f xml:space="preserve"> _xlfn.TEXTJOIN(" ", FALSE,#REF!)</f>
        <v>#REF!</v>
      </c>
      <c r="CZ156" s="122"/>
      <c r="DA156" s="71" t="s">
        <v>272</v>
      </c>
      <c r="DB156" s="73" t="e">
        <f xml:space="preserve"> _xlfn.TEXTJOIN(" ", FALSE,#REF!)</f>
        <v>#REF!</v>
      </c>
      <c r="DC156" s="65" t="s">
        <v>277</v>
      </c>
      <c r="DD156" s="70" t="e">
        <f t="shared" si="18"/>
        <v>#REF!</v>
      </c>
      <c r="DE156" s="64" t="s">
        <v>273</v>
      </c>
      <c r="DF156" s="122"/>
      <c r="DG156" s="71" t="s">
        <v>274</v>
      </c>
      <c r="DH156" s="72" t="e">
        <f xml:space="preserve"> _xlfn.TEXTJOIN(" ", FALSE,#REF!)</f>
        <v>#REF!</v>
      </c>
      <c r="DI156" s="122"/>
      <c r="DJ156" s="71" t="s">
        <v>275</v>
      </c>
      <c r="DK156" s="73" t="e">
        <f xml:space="preserve"> _xlfn.TEXTJOIN(" ", FALSE,#REF!)</f>
        <v>#REF!</v>
      </c>
      <c r="DL156" s="65" t="s">
        <v>277</v>
      </c>
      <c r="DM156" s="70" t="e">
        <f t="shared" si="19"/>
        <v>#REF!</v>
      </c>
      <c r="DN156" s="70" t="e">
        <f t="shared" si="20"/>
        <v>#REF!</v>
      </c>
    </row>
    <row r="157" spans="1:118" ht="108" customHeight="1">
      <c r="A157" s="122" t="e">
        <f>Summary!A157</f>
        <v>#REF!</v>
      </c>
      <c r="B157" s="64" t="s">
        <v>233</v>
      </c>
      <c r="C157" s="65" t="e">
        <f>Summary!B157</f>
        <v>#REF!</v>
      </c>
      <c r="D157" s="122"/>
      <c r="E157" s="64" t="s">
        <v>235</v>
      </c>
      <c r="F157" s="132" t="e">
        <f>Summary!C157</f>
        <v>#REF!</v>
      </c>
      <c r="G157" s="64" t="s">
        <v>236</v>
      </c>
      <c r="H157" s="132" t="e">
        <f>Summary!D157</f>
        <v>#REF!</v>
      </c>
      <c r="I157" s="64" t="s">
        <v>237</v>
      </c>
      <c r="J157" s="66">
        <f>Summary!E157</f>
        <v>6</v>
      </c>
      <c r="K157" s="64" t="s">
        <v>238</v>
      </c>
      <c r="L157" s="132" t="e">
        <f>Summary!F157</f>
        <v>#REF!</v>
      </c>
      <c r="M157" s="64" t="s">
        <v>239</v>
      </c>
      <c r="N157" s="132" t="e">
        <f>Summary!G157</f>
        <v>#REF!</v>
      </c>
      <c r="O157" s="64" t="s">
        <v>240</v>
      </c>
      <c r="P157" s="132" t="e">
        <f>Summary!H157</f>
        <v>#REF!</v>
      </c>
      <c r="Q157" s="65" t="s">
        <v>277</v>
      </c>
      <c r="R157" s="70" t="e">
        <f t="shared" si="14"/>
        <v>#REF!</v>
      </c>
      <c r="S157" s="64" t="s">
        <v>243</v>
      </c>
      <c r="T157" s="122"/>
      <c r="U157" s="71" t="s">
        <v>244</v>
      </c>
      <c r="V157" s="72" t="e">
        <f xml:space="preserve"> _xlfn.TEXTJOIN(" ", FALSE,#REF!)</f>
        <v>#REF!</v>
      </c>
      <c r="W157" s="122"/>
      <c r="X157" s="71" t="s">
        <v>245</v>
      </c>
      <c r="Y157" s="72" t="e">
        <f xml:space="preserve"> _xlfn.TEXTJOIN(" ", FALSE,#REF!)</f>
        <v>#REF!</v>
      </c>
      <c r="Z157" s="122"/>
      <c r="AA157" s="71" t="s">
        <v>246</v>
      </c>
      <c r="AB157" s="72" t="e">
        <f xml:space="preserve"> _xlfn.TEXTJOIN(" ", FALSE,#REF!)</f>
        <v>#REF!</v>
      </c>
      <c r="AC157" s="122"/>
      <c r="AD157" s="71" t="s">
        <v>247</v>
      </c>
      <c r="AE157" s="72" t="e">
        <f xml:space="preserve"> _xlfn.TEXTJOIN(" ", FALSE,#REF!)</f>
        <v>#REF!</v>
      </c>
      <c r="AF157" s="122"/>
      <c r="AG157" s="71" t="s">
        <v>248</v>
      </c>
      <c r="AH157" s="73" t="e">
        <f xml:space="preserve"> _xlfn.TEXTJOIN(" ", FALSE,#REF!)</f>
        <v>#REF!</v>
      </c>
      <c r="AI157" s="122"/>
      <c r="AJ157" s="71" t="s">
        <v>249</v>
      </c>
      <c r="AK157" s="73" t="e">
        <f xml:space="preserve"> _xlfn.TEXTJOIN(" ", FALSE,#REF!)</f>
        <v>#REF!</v>
      </c>
      <c r="AL157" s="122"/>
      <c r="AM157" s="71" t="s">
        <v>250</v>
      </c>
      <c r="AN157" s="73" t="e">
        <f xml:space="preserve"> _xlfn.TEXTJOIN(" ", FALSE,#REF!)</f>
        <v>#REF!</v>
      </c>
      <c r="AO157" s="122"/>
      <c r="AP157" s="71" t="s">
        <v>251</v>
      </c>
      <c r="AQ157" s="72" t="e">
        <f xml:space="preserve"> _xlfn.TEXTJOIN(" ", FALSE,#REF!)</f>
        <v>#REF!</v>
      </c>
      <c r="AR157" s="122"/>
      <c r="AS157" s="71" t="s">
        <v>252</v>
      </c>
      <c r="AT157" s="72" t="e">
        <f xml:space="preserve"> _xlfn.TEXTJOIN(" ", FALSE,#REF!)</f>
        <v>#REF!</v>
      </c>
      <c r="AU157" s="122"/>
      <c r="AV157" s="71" t="s">
        <v>253</v>
      </c>
      <c r="AW157" s="73" t="e">
        <f xml:space="preserve"> _xlfn.TEXTJOIN(" ", FALSE,#REF!)</f>
        <v>#REF!</v>
      </c>
      <c r="AX157" s="122"/>
      <c r="AY157" s="71" t="s">
        <v>254</v>
      </c>
      <c r="AZ157" s="72" t="e">
        <f xml:space="preserve"> _xlfn.TEXTJOIN(" ", FALSE,#REF!)</f>
        <v>#REF!</v>
      </c>
      <c r="BA157" s="122"/>
      <c r="BB157" s="71" t="s">
        <v>255</v>
      </c>
      <c r="BC157" s="72" t="e">
        <f xml:space="preserve"> _xlfn.TEXTJOIN(" ", FALSE,#REF!)</f>
        <v>#REF!</v>
      </c>
      <c r="BD157" s="122"/>
      <c r="BE157" s="71" t="s">
        <v>256</v>
      </c>
      <c r="BF157" s="72" t="e">
        <f xml:space="preserve"> _xlfn.TEXTJOIN(" ", FALSE,#REF!)</f>
        <v>#REF!</v>
      </c>
      <c r="BG157" s="65" t="s">
        <v>277</v>
      </c>
      <c r="BH157" s="70" t="e">
        <f t="shared" si="15"/>
        <v>#REF!</v>
      </c>
      <c r="BI157" s="64" t="s">
        <v>257</v>
      </c>
      <c r="BJ157" s="122"/>
      <c r="BK157" s="71" t="s">
        <v>258</v>
      </c>
      <c r="BL157" s="74" t="str">
        <f>_xlfn.TEXTJOIN(" ", FALSE, 'Task 2a - Mitigating the Proble'!U157:AC157)</f>
        <v xml:space="preserve">1 1 1 0 0 1 0 0 </v>
      </c>
      <c r="BM157" s="65" t="s">
        <v>277</v>
      </c>
      <c r="BN157" s="70" t="str">
        <f t="shared" si="16"/>
        <v>[Details for Task 2a:]  /Question 12: 1 1 1 0 0 1 0 0  .</v>
      </c>
      <c r="BO157" s="64" t="s">
        <v>259</v>
      </c>
      <c r="BP157" s="122"/>
      <c r="BQ157" s="71" t="s">
        <v>260</v>
      </c>
      <c r="BR157" s="73" t="e">
        <f xml:space="preserve"> _xlfn.TEXTJOIN(" ", FALSE,#REF!)</f>
        <v>#REF!</v>
      </c>
      <c r="BS157" s="122"/>
      <c r="BT157" s="71" t="s">
        <v>261</v>
      </c>
      <c r="BU157" s="73" t="e">
        <f xml:space="preserve"> _xlfn.TEXTJOIN(" ", FALSE,#REF!)</f>
        <v>#REF!</v>
      </c>
      <c r="BV157" s="122"/>
      <c r="BW157" s="71" t="s">
        <v>262</v>
      </c>
      <c r="BX157" s="73" t="e">
        <f xml:space="preserve"> _xlfn.TEXTJOIN(" ", FALSE,#REF!)</f>
        <v>#REF!</v>
      </c>
      <c r="BY157" s="122"/>
      <c r="BZ157" s="71" t="s">
        <v>263</v>
      </c>
      <c r="CA157" s="73" t="e">
        <f xml:space="preserve"> _xlfn.TEXTJOIN(" ", FALSE,#REF!)</f>
        <v>#REF!</v>
      </c>
      <c r="CB157" s="122"/>
      <c r="CC157" s="71" t="s">
        <v>264</v>
      </c>
      <c r="CD157" s="73" t="e">
        <f xml:space="preserve"> _xlfn.TEXTJOIN(" ", FALSE,#REF!)</f>
        <v>#REF!</v>
      </c>
      <c r="CE157" s="122"/>
      <c r="CF157" s="71" t="s">
        <v>265</v>
      </c>
      <c r="CG157" s="73" t="e">
        <f xml:space="preserve"> _xlfn.TEXTJOIN(" ", FALSE,#REF!)</f>
        <v>#REF!</v>
      </c>
      <c r="CH157" s="122"/>
      <c r="CI157" s="74" t="s">
        <v>278</v>
      </c>
      <c r="CJ157" s="73" t="e">
        <f xml:space="preserve"> _xlfn.TEXTJOIN(" ", FALSE,#REF!)</f>
        <v>#REF!</v>
      </c>
      <c r="CK157" s="65" t="s">
        <v>277</v>
      </c>
      <c r="CL157" s="70" t="e">
        <f t="shared" si="17"/>
        <v>#REF!</v>
      </c>
      <c r="CM157" s="64" t="s">
        <v>267</v>
      </c>
      <c r="CN157" s="122"/>
      <c r="CO157" s="71" t="s">
        <v>268</v>
      </c>
      <c r="CP157" s="73" t="e">
        <f xml:space="preserve"> _xlfn.TEXTJOIN(" ", FALSE,#REF!)</f>
        <v>#REF!</v>
      </c>
      <c r="CQ157" s="122"/>
      <c r="CR157" s="71" t="s">
        <v>269</v>
      </c>
      <c r="CS157" s="73" t="e">
        <f xml:space="preserve"> _xlfn.TEXTJOIN(" ", FALSE,#REF!)</f>
        <v>#REF!</v>
      </c>
      <c r="CT157" s="122"/>
      <c r="CU157" s="71" t="s">
        <v>270</v>
      </c>
      <c r="CV157" s="72" t="e">
        <f xml:space="preserve"> _xlfn.TEXTJOIN(" ", FALSE,#REF!)</f>
        <v>#REF!</v>
      </c>
      <c r="CW157" s="122"/>
      <c r="CX157" s="71" t="s">
        <v>271</v>
      </c>
      <c r="CY157" s="72" t="e">
        <f xml:space="preserve"> _xlfn.TEXTJOIN(" ", FALSE,#REF!)</f>
        <v>#REF!</v>
      </c>
      <c r="CZ157" s="122"/>
      <c r="DA157" s="71" t="s">
        <v>272</v>
      </c>
      <c r="DB157" s="73" t="e">
        <f xml:space="preserve"> _xlfn.TEXTJOIN(" ", FALSE,#REF!)</f>
        <v>#REF!</v>
      </c>
      <c r="DC157" s="65" t="s">
        <v>277</v>
      </c>
      <c r="DD157" s="70" t="e">
        <f t="shared" si="18"/>
        <v>#REF!</v>
      </c>
      <c r="DE157" s="64" t="s">
        <v>273</v>
      </c>
      <c r="DF157" s="122"/>
      <c r="DG157" s="71" t="s">
        <v>274</v>
      </c>
      <c r="DH157" s="72" t="e">
        <f xml:space="preserve"> _xlfn.TEXTJOIN(" ", FALSE,#REF!)</f>
        <v>#REF!</v>
      </c>
      <c r="DI157" s="122"/>
      <c r="DJ157" s="71" t="s">
        <v>275</v>
      </c>
      <c r="DK157" s="73" t="e">
        <f xml:space="preserve"> _xlfn.TEXTJOIN(" ", FALSE,#REF!)</f>
        <v>#REF!</v>
      </c>
      <c r="DL157" s="65" t="s">
        <v>277</v>
      </c>
      <c r="DM157" s="70" t="e">
        <f t="shared" si="19"/>
        <v>#REF!</v>
      </c>
      <c r="DN157" s="70" t="e">
        <f t="shared" si="20"/>
        <v>#REF!</v>
      </c>
    </row>
    <row r="158" spans="1:118" ht="108" customHeight="1">
      <c r="A158" s="122" t="e">
        <f>Summary!A158</f>
        <v>#REF!</v>
      </c>
      <c r="B158" s="64" t="s">
        <v>233</v>
      </c>
      <c r="C158" s="115" t="e">
        <f>Summary!B158</f>
        <v>#REF!</v>
      </c>
      <c r="D158" s="122"/>
      <c r="E158" s="64" t="s">
        <v>235</v>
      </c>
      <c r="F158" s="133" t="e">
        <f>Summary!C158</f>
        <v>#REF!</v>
      </c>
      <c r="G158" s="64" t="s">
        <v>236</v>
      </c>
      <c r="H158" s="132" t="e">
        <f>Summary!D158</f>
        <v>#REF!</v>
      </c>
      <c r="I158" s="64" t="s">
        <v>237</v>
      </c>
      <c r="J158" s="66">
        <f>Summary!E158</f>
        <v>6</v>
      </c>
      <c r="K158" s="64" t="s">
        <v>238</v>
      </c>
      <c r="L158" s="133" t="e">
        <f>Summary!F158</f>
        <v>#REF!</v>
      </c>
      <c r="M158" s="64" t="s">
        <v>239</v>
      </c>
      <c r="N158" s="132" t="e">
        <f>Summary!G158</f>
        <v>#REF!</v>
      </c>
      <c r="O158" s="64" t="s">
        <v>240</v>
      </c>
      <c r="P158" s="132" t="e">
        <f>Summary!H158</f>
        <v>#REF!</v>
      </c>
      <c r="Q158" s="65" t="s">
        <v>277</v>
      </c>
      <c r="R158" s="70" t="e">
        <f t="shared" si="14"/>
        <v>#REF!</v>
      </c>
      <c r="S158" s="64" t="s">
        <v>243</v>
      </c>
      <c r="T158" s="122"/>
      <c r="U158" s="71" t="s">
        <v>244</v>
      </c>
      <c r="V158" s="72" t="e">
        <f xml:space="preserve"> _xlfn.TEXTJOIN(" ", FALSE,#REF!)</f>
        <v>#REF!</v>
      </c>
      <c r="W158" s="122"/>
      <c r="X158" s="71" t="s">
        <v>245</v>
      </c>
      <c r="Y158" s="72" t="e">
        <f xml:space="preserve"> _xlfn.TEXTJOIN(" ", FALSE,#REF!)</f>
        <v>#REF!</v>
      </c>
      <c r="Z158" s="122"/>
      <c r="AA158" s="71" t="s">
        <v>246</v>
      </c>
      <c r="AB158" s="72" t="e">
        <f xml:space="preserve"> _xlfn.TEXTJOIN(" ", FALSE,#REF!)</f>
        <v>#REF!</v>
      </c>
      <c r="AC158" s="122"/>
      <c r="AD158" s="71" t="s">
        <v>247</v>
      </c>
      <c r="AE158" s="72" t="e">
        <f xml:space="preserve"> _xlfn.TEXTJOIN(" ", FALSE,#REF!)</f>
        <v>#REF!</v>
      </c>
      <c r="AF158" s="122"/>
      <c r="AG158" s="71" t="s">
        <v>248</v>
      </c>
      <c r="AH158" s="73" t="e">
        <f xml:space="preserve"> _xlfn.TEXTJOIN(" ", FALSE,#REF!)</f>
        <v>#REF!</v>
      </c>
      <c r="AI158" s="122"/>
      <c r="AJ158" s="71" t="s">
        <v>249</v>
      </c>
      <c r="AK158" s="73" t="e">
        <f xml:space="preserve"> _xlfn.TEXTJOIN(" ", FALSE,#REF!)</f>
        <v>#REF!</v>
      </c>
      <c r="AL158" s="122"/>
      <c r="AM158" s="71" t="s">
        <v>250</v>
      </c>
      <c r="AN158" s="73" t="e">
        <f xml:space="preserve"> _xlfn.TEXTJOIN(" ", FALSE,#REF!)</f>
        <v>#REF!</v>
      </c>
      <c r="AO158" s="122"/>
      <c r="AP158" s="71" t="s">
        <v>251</v>
      </c>
      <c r="AQ158" s="72" t="e">
        <f xml:space="preserve"> _xlfn.TEXTJOIN(" ", FALSE,#REF!)</f>
        <v>#REF!</v>
      </c>
      <c r="AR158" s="122"/>
      <c r="AS158" s="71" t="s">
        <v>252</v>
      </c>
      <c r="AT158" s="72" t="e">
        <f xml:space="preserve"> _xlfn.TEXTJOIN(" ", FALSE,#REF!)</f>
        <v>#REF!</v>
      </c>
      <c r="AU158" s="122"/>
      <c r="AV158" s="71" t="s">
        <v>253</v>
      </c>
      <c r="AW158" s="73" t="e">
        <f xml:space="preserve"> _xlfn.TEXTJOIN(" ", FALSE,#REF!)</f>
        <v>#REF!</v>
      </c>
      <c r="AX158" s="122"/>
      <c r="AY158" s="71" t="s">
        <v>254</v>
      </c>
      <c r="AZ158" s="72" t="e">
        <f xml:space="preserve"> _xlfn.TEXTJOIN(" ", FALSE,#REF!)</f>
        <v>#REF!</v>
      </c>
      <c r="BA158" s="122"/>
      <c r="BB158" s="71" t="s">
        <v>255</v>
      </c>
      <c r="BC158" s="72" t="e">
        <f xml:space="preserve"> _xlfn.TEXTJOIN(" ", FALSE,#REF!)</f>
        <v>#REF!</v>
      </c>
      <c r="BD158" s="122"/>
      <c r="BE158" s="71" t="s">
        <v>256</v>
      </c>
      <c r="BF158" s="72" t="e">
        <f xml:space="preserve"> _xlfn.TEXTJOIN(" ", FALSE,#REF!)</f>
        <v>#REF!</v>
      </c>
      <c r="BG158" s="65" t="s">
        <v>277</v>
      </c>
      <c r="BH158" s="70" t="e">
        <f t="shared" si="15"/>
        <v>#REF!</v>
      </c>
      <c r="BI158" s="64" t="s">
        <v>257</v>
      </c>
      <c r="BJ158" s="122"/>
      <c r="BK158" s="71" t="s">
        <v>258</v>
      </c>
      <c r="BL158" s="74" t="str">
        <f>_xlfn.TEXTJOIN(" ", FALSE, 'Task 2a - Mitigating the Proble'!U158:AC158)</f>
        <v xml:space="preserve">1 0 0 0 1 1 0 0 </v>
      </c>
      <c r="BM158" s="65" t="s">
        <v>277</v>
      </c>
      <c r="BN158" s="70" t="str">
        <f t="shared" si="16"/>
        <v>[Details for Task 2a:]  /Question 12: 1 0 0 0 1 1 0 0  .</v>
      </c>
      <c r="BO158" s="64" t="s">
        <v>259</v>
      </c>
      <c r="BP158" s="122"/>
      <c r="BQ158" s="71" t="s">
        <v>260</v>
      </c>
      <c r="BR158" s="73" t="e">
        <f xml:space="preserve"> _xlfn.TEXTJOIN(" ", FALSE,#REF!)</f>
        <v>#REF!</v>
      </c>
      <c r="BS158" s="122"/>
      <c r="BT158" s="71" t="s">
        <v>261</v>
      </c>
      <c r="BU158" s="73" t="e">
        <f xml:space="preserve"> _xlfn.TEXTJOIN(" ", FALSE,#REF!)</f>
        <v>#REF!</v>
      </c>
      <c r="BV158" s="122"/>
      <c r="BW158" s="71" t="s">
        <v>262</v>
      </c>
      <c r="BX158" s="73" t="e">
        <f xml:space="preserve"> _xlfn.TEXTJOIN(" ", FALSE,#REF!)</f>
        <v>#REF!</v>
      </c>
      <c r="BY158" s="122"/>
      <c r="BZ158" s="71" t="s">
        <v>263</v>
      </c>
      <c r="CA158" s="73" t="e">
        <f xml:space="preserve"> _xlfn.TEXTJOIN(" ", FALSE,#REF!)</f>
        <v>#REF!</v>
      </c>
      <c r="CB158" s="122"/>
      <c r="CC158" s="71" t="s">
        <v>264</v>
      </c>
      <c r="CD158" s="73" t="e">
        <f xml:space="preserve"> _xlfn.TEXTJOIN(" ", FALSE,#REF!)</f>
        <v>#REF!</v>
      </c>
      <c r="CE158" s="122"/>
      <c r="CF158" s="71" t="s">
        <v>265</v>
      </c>
      <c r="CG158" s="73" t="e">
        <f xml:space="preserve"> _xlfn.TEXTJOIN(" ", FALSE,#REF!)</f>
        <v>#REF!</v>
      </c>
      <c r="CH158" s="122"/>
      <c r="CI158" s="74" t="s">
        <v>278</v>
      </c>
      <c r="CJ158" s="73" t="e">
        <f xml:space="preserve"> _xlfn.TEXTJOIN(" ", FALSE,#REF!)</f>
        <v>#REF!</v>
      </c>
      <c r="CK158" s="65" t="s">
        <v>277</v>
      </c>
      <c r="CL158" s="116" t="e">
        <f t="shared" si="17"/>
        <v>#REF!</v>
      </c>
      <c r="CM158" s="64" t="s">
        <v>267</v>
      </c>
      <c r="CN158" s="122"/>
      <c r="CO158" s="71" t="s">
        <v>268</v>
      </c>
      <c r="CP158" s="73" t="e">
        <f xml:space="preserve"> _xlfn.TEXTJOIN(" ", FALSE,#REF!)</f>
        <v>#REF!</v>
      </c>
      <c r="CQ158" s="122"/>
      <c r="CR158" s="71" t="s">
        <v>269</v>
      </c>
      <c r="CS158" s="73" t="e">
        <f xml:space="preserve"> _xlfn.TEXTJOIN(" ", FALSE,#REF!)</f>
        <v>#REF!</v>
      </c>
      <c r="CT158" s="122"/>
      <c r="CU158" s="71" t="s">
        <v>270</v>
      </c>
      <c r="CV158" s="72" t="e">
        <f xml:space="preserve"> _xlfn.TEXTJOIN(" ", FALSE,#REF!)</f>
        <v>#REF!</v>
      </c>
      <c r="CW158" s="122"/>
      <c r="CX158" s="71" t="s">
        <v>271</v>
      </c>
      <c r="CY158" s="72" t="e">
        <f xml:space="preserve"> _xlfn.TEXTJOIN(" ", FALSE,#REF!)</f>
        <v>#REF!</v>
      </c>
      <c r="CZ158" s="122"/>
      <c r="DA158" s="71" t="s">
        <v>272</v>
      </c>
      <c r="DB158" s="73" t="e">
        <f xml:space="preserve"> _xlfn.TEXTJOIN(" ", FALSE,#REF!)</f>
        <v>#REF!</v>
      </c>
      <c r="DC158" s="65" t="s">
        <v>277</v>
      </c>
      <c r="DD158" s="70" t="e">
        <f t="shared" si="18"/>
        <v>#REF!</v>
      </c>
      <c r="DE158" s="64" t="s">
        <v>273</v>
      </c>
      <c r="DF158" s="122"/>
      <c r="DG158" s="71" t="s">
        <v>274</v>
      </c>
      <c r="DH158" s="72" t="e">
        <f xml:space="preserve"> _xlfn.TEXTJOIN(" ", FALSE,#REF!)</f>
        <v>#REF!</v>
      </c>
      <c r="DI158" s="122"/>
      <c r="DJ158" s="71" t="s">
        <v>275</v>
      </c>
      <c r="DK158" s="73" t="e">
        <f xml:space="preserve"> _xlfn.TEXTJOIN(" ", FALSE,#REF!)</f>
        <v>#REF!</v>
      </c>
      <c r="DL158" s="65" t="s">
        <v>277</v>
      </c>
      <c r="DM158" s="70" t="e">
        <f t="shared" si="19"/>
        <v>#REF!</v>
      </c>
      <c r="DN158" s="70" t="e">
        <f t="shared" si="20"/>
        <v>#REF!</v>
      </c>
    </row>
    <row r="159" spans="1:118" ht="108" customHeight="1">
      <c r="A159" s="122" t="e">
        <f>Summary!A159</f>
        <v>#REF!</v>
      </c>
      <c r="B159" s="64" t="s">
        <v>233</v>
      </c>
      <c r="C159" s="65" t="e">
        <f>Summary!B159</f>
        <v>#REF!</v>
      </c>
      <c r="D159" s="122"/>
      <c r="E159" s="64" t="s">
        <v>235</v>
      </c>
      <c r="F159" s="132" t="e">
        <f>Summary!C159</f>
        <v>#REF!</v>
      </c>
      <c r="G159" s="64" t="s">
        <v>236</v>
      </c>
      <c r="H159" s="132" t="e">
        <f>Summary!D159</f>
        <v>#REF!</v>
      </c>
      <c r="I159" s="64" t="s">
        <v>237</v>
      </c>
      <c r="J159" s="66">
        <f>Summary!E159</f>
        <v>6</v>
      </c>
      <c r="K159" s="64" t="s">
        <v>238</v>
      </c>
      <c r="L159" s="132" t="e">
        <f>Summary!F159</f>
        <v>#REF!</v>
      </c>
      <c r="M159" s="64" t="s">
        <v>239</v>
      </c>
      <c r="N159" s="132" t="e">
        <f>Summary!G159</f>
        <v>#REF!</v>
      </c>
      <c r="O159" s="64" t="s">
        <v>240</v>
      </c>
      <c r="P159" s="132" t="e">
        <f>Summary!H159</f>
        <v>#REF!</v>
      </c>
      <c r="Q159" s="65" t="s">
        <v>277</v>
      </c>
      <c r="R159" s="70" t="e">
        <f t="shared" si="14"/>
        <v>#REF!</v>
      </c>
      <c r="S159" s="64" t="s">
        <v>243</v>
      </c>
      <c r="T159" s="122"/>
      <c r="U159" s="71" t="s">
        <v>244</v>
      </c>
      <c r="V159" s="72" t="e">
        <f xml:space="preserve"> _xlfn.TEXTJOIN(" ", FALSE,#REF!)</f>
        <v>#REF!</v>
      </c>
      <c r="W159" s="122"/>
      <c r="X159" s="71" t="s">
        <v>245</v>
      </c>
      <c r="Y159" s="72" t="e">
        <f xml:space="preserve"> _xlfn.TEXTJOIN(" ", FALSE,#REF!)</f>
        <v>#REF!</v>
      </c>
      <c r="Z159" s="122"/>
      <c r="AA159" s="71" t="s">
        <v>246</v>
      </c>
      <c r="AB159" s="72" t="e">
        <f xml:space="preserve"> _xlfn.TEXTJOIN(" ", FALSE,#REF!)</f>
        <v>#REF!</v>
      </c>
      <c r="AC159" s="122"/>
      <c r="AD159" s="71" t="s">
        <v>247</v>
      </c>
      <c r="AE159" s="72" t="e">
        <f xml:space="preserve"> _xlfn.TEXTJOIN(" ", FALSE,#REF!)</f>
        <v>#REF!</v>
      </c>
      <c r="AF159" s="122"/>
      <c r="AG159" s="71" t="s">
        <v>248</v>
      </c>
      <c r="AH159" s="73" t="e">
        <f xml:space="preserve"> _xlfn.TEXTJOIN(" ", FALSE,#REF!)</f>
        <v>#REF!</v>
      </c>
      <c r="AI159" s="122"/>
      <c r="AJ159" s="71" t="s">
        <v>249</v>
      </c>
      <c r="AK159" s="73" t="e">
        <f xml:space="preserve"> _xlfn.TEXTJOIN(" ", FALSE,#REF!)</f>
        <v>#REF!</v>
      </c>
      <c r="AL159" s="122"/>
      <c r="AM159" s="71" t="s">
        <v>250</v>
      </c>
      <c r="AN159" s="73" t="e">
        <f xml:space="preserve"> _xlfn.TEXTJOIN(" ", FALSE,#REF!)</f>
        <v>#REF!</v>
      </c>
      <c r="AO159" s="122"/>
      <c r="AP159" s="71" t="s">
        <v>251</v>
      </c>
      <c r="AQ159" s="72" t="e">
        <f xml:space="preserve"> _xlfn.TEXTJOIN(" ", FALSE,#REF!)</f>
        <v>#REF!</v>
      </c>
      <c r="AR159" s="122"/>
      <c r="AS159" s="71" t="s">
        <v>252</v>
      </c>
      <c r="AT159" s="72" t="e">
        <f xml:space="preserve"> _xlfn.TEXTJOIN(" ", FALSE,#REF!)</f>
        <v>#REF!</v>
      </c>
      <c r="AU159" s="122"/>
      <c r="AV159" s="71" t="s">
        <v>253</v>
      </c>
      <c r="AW159" s="73" t="e">
        <f xml:space="preserve"> _xlfn.TEXTJOIN(" ", FALSE,#REF!)</f>
        <v>#REF!</v>
      </c>
      <c r="AX159" s="122"/>
      <c r="AY159" s="71" t="s">
        <v>254</v>
      </c>
      <c r="AZ159" s="72" t="e">
        <f xml:space="preserve"> _xlfn.TEXTJOIN(" ", FALSE,#REF!)</f>
        <v>#REF!</v>
      </c>
      <c r="BA159" s="122"/>
      <c r="BB159" s="71" t="s">
        <v>255</v>
      </c>
      <c r="BC159" s="72" t="e">
        <f xml:space="preserve"> _xlfn.TEXTJOIN(" ", FALSE,#REF!)</f>
        <v>#REF!</v>
      </c>
      <c r="BD159" s="122"/>
      <c r="BE159" s="71" t="s">
        <v>256</v>
      </c>
      <c r="BF159" s="72" t="e">
        <f xml:space="preserve"> _xlfn.TEXTJOIN(" ", FALSE,#REF!)</f>
        <v>#REF!</v>
      </c>
      <c r="BG159" s="65" t="s">
        <v>277</v>
      </c>
      <c r="BH159" s="70" t="e">
        <f t="shared" si="15"/>
        <v>#REF!</v>
      </c>
      <c r="BI159" s="64" t="s">
        <v>257</v>
      </c>
      <c r="BJ159" s="122"/>
      <c r="BK159" s="71" t="s">
        <v>258</v>
      </c>
      <c r="BL159" s="74" t="str">
        <f>_xlfn.TEXTJOIN(" ", FALSE, 'Task 2a - Mitigating the Proble'!U159:AC159)</f>
        <v xml:space="preserve">1 0 1 0 0 1 0 0 </v>
      </c>
      <c r="BM159" s="65" t="s">
        <v>277</v>
      </c>
      <c r="BN159" s="70" t="str">
        <f t="shared" si="16"/>
        <v>[Details for Task 2a:]  /Question 12: 1 0 1 0 0 1 0 0  .</v>
      </c>
      <c r="BO159" s="64" t="s">
        <v>259</v>
      </c>
      <c r="BP159" s="122"/>
      <c r="BQ159" s="71" t="s">
        <v>260</v>
      </c>
      <c r="BR159" s="73" t="e">
        <f xml:space="preserve"> _xlfn.TEXTJOIN(" ", FALSE,#REF!)</f>
        <v>#REF!</v>
      </c>
      <c r="BS159" s="122"/>
      <c r="BT159" s="71" t="s">
        <v>261</v>
      </c>
      <c r="BU159" s="73" t="e">
        <f xml:space="preserve"> _xlfn.TEXTJOIN(" ", FALSE,#REF!)</f>
        <v>#REF!</v>
      </c>
      <c r="BV159" s="122"/>
      <c r="BW159" s="71" t="s">
        <v>262</v>
      </c>
      <c r="BX159" s="73" t="e">
        <f xml:space="preserve"> _xlfn.TEXTJOIN(" ", FALSE,#REF!)</f>
        <v>#REF!</v>
      </c>
      <c r="BY159" s="122"/>
      <c r="BZ159" s="71" t="s">
        <v>263</v>
      </c>
      <c r="CA159" s="73" t="e">
        <f xml:space="preserve"> _xlfn.TEXTJOIN(" ", FALSE,#REF!)</f>
        <v>#REF!</v>
      </c>
      <c r="CB159" s="122"/>
      <c r="CC159" s="71" t="s">
        <v>264</v>
      </c>
      <c r="CD159" s="73" t="e">
        <f xml:space="preserve"> _xlfn.TEXTJOIN(" ", FALSE,#REF!)</f>
        <v>#REF!</v>
      </c>
      <c r="CE159" s="122"/>
      <c r="CF159" s="71" t="s">
        <v>265</v>
      </c>
      <c r="CG159" s="73" t="e">
        <f xml:space="preserve"> _xlfn.TEXTJOIN(" ", FALSE,#REF!)</f>
        <v>#REF!</v>
      </c>
      <c r="CH159" s="122"/>
      <c r="CI159" s="74" t="s">
        <v>278</v>
      </c>
      <c r="CJ159" s="73" t="e">
        <f xml:space="preserve"> _xlfn.TEXTJOIN(" ", FALSE,#REF!)</f>
        <v>#REF!</v>
      </c>
      <c r="CK159" s="65" t="s">
        <v>277</v>
      </c>
      <c r="CL159" s="70" t="e">
        <f t="shared" si="17"/>
        <v>#REF!</v>
      </c>
      <c r="CM159" s="64" t="s">
        <v>267</v>
      </c>
      <c r="CN159" s="122"/>
      <c r="CO159" s="71" t="s">
        <v>268</v>
      </c>
      <c r="CP159" s="73" t="e">
        <f xml:space="preserve"> _xlfn.TEXTJOIN(" ", FALSE,#REF!)</f>
        <v>#REF!</v>
      </c>
      <c r="CQ159" s="122"/>
      <c r="CR159" s="71" t="s">
        <v>269</v>
      </c>
      <c r="CS159" s="73" t="e">
        <f xml:space="preserve"> _xlfn.TEXTJOIN(" ", FALSE,#REF!)</f>
        <v>#REF!</v>
      </c>
      <c r="CT159" s="122"/>
      <c r="CU159" s="71" t="s">
        <v>270</v>
      </c>
      <c r="CV159" s="72" t="e">
        <f xml:space="preserve"> _xlfn.TEXTJOIN(" ", FALSE,#REF!)</f>
        <v>#REF!</v>
      </c>
      <c r="CW159" s="122"/>
      <c r="CX159" s="71" t="s">
        <v>271</v>
      </c>
      <c r="CY159" s="72" t="e">
        <f xml:space="preserve"> _xlfn.TEXTJOIN(" ", FALSE,#REF!)</f>
        <v>#REF!</v>
      </c>
      <c r="CZ159" s="122"/>
      <c r="DA159" s="71" t="s">
        <v>272</v>
      </c>
      <c r="DB159" s="73" t="e">
        <f xml:space="preserve"> _xlfn.TEXTJOIN(" ", FALSE,#REF!)</f>
        <v>#REF!</v>
      </c>
      <c r="DC159" s="65" t="s">
        <v>277</v>
      </c>
      <c r="DD159" s="70" t="e">
        <f t="shared" si="18"/>
        <v>#REF!</v>
      </c>
      <c r="DE159" s="64" t="s">
        <v>273</v>
      </c>
      <c r="DF159" s="122"/>
      <c r="DG159" s="71" t="s">
        <v>274</v>
      </c>
      <c r="DH159" s="72" t="e">
        <f xml:space="preserve"> _xlfn.TEXTJOIN(" ", FALSE,#REF!)</f>
        <v>#REF!</v>
      </c>
      <c r="DI159" s="122"/>
      <c r="DJ159" s="71" t="s">
        <v>275</v>
      </c>
      <c r="DK159" s="73" t="e">
        <f xml:space="preserve"> _xlfn.TEXTJOIN(" ", FALSE,#REF!)</f>
        <v>#REF!</v>
      </c>
      <c r="DL159" s="65" t="s">
        <v>277</v>
      </c>
      <c r="DM159" s="70" t="e">
        <f t="shared" si="19"/>
        <v>#REF!</v>
      </c>
      <c r="DN159" s="70" t="e">
        <f t="shared" si="20"/>
        <v>#REF!</v>
      </c>
    </row>
    <row r="160" spans="1:118" ht="108" customHeight="1">
      <c r="A160" s="122" t="e">
        <f>Summary!A160</f>
        <v>#REF!</v>
      </c>
      <c r="B160" s="64" t="s">
        <v>233</v>
      </c>
      <c r="C160" s="65" t="e">
        <f>Summary!B160</f>
        <v>#REF!</v>
      </c>
      <c r="D160" s="122"/>
      <c r="E160" s="64" t="s">
        <v>235</v>
      </c>
      <c r="F160" s="132" t="e">
        <f>Summary!C160</f>
        <v>#REF!</v>
      </c>
      <c r="G160" s="64" t="s">
        <v>236</v>
      </c>
      <c r="H160" s="132" t="e">
        <f>Summary!D160</f>
        <v>#REF!</v>
      </c>
      <c r="I160" s="64" t="s">
        <v>237</v>
      </c>
      <c r="J160" s="66">
        <f>Summary!E160</f>
        <v>6</v>
      </c>
      <c r="K160" s="64" t="s">
        <v>238</v>
      </c>
      <c r="L160" s="132" t="e">
        <f>Summary!F160</f>
        <v>#REF!</v>
      </c>
      <c r="M160" s="64" t="s">
        <v>239</v>
      </c>
      <c r="N160" s="132" t="e">
        <f>Summary!G160</f>
        <v>#REF!</v>
      </c>
      <c r="O160" s="64" t="s">
        <v>240</v>
      </c>
      <c r="P160" s="132" t="e">
        <f>Summary!H160</f>
        <v>#REF!</v>
      </c>
      <c r="Q160" s="65" t="s">
        <v>277</v>
      </c>
      <c r="R160" s="70" t="e">
        <f t="shared" si="14"/>
        <v>#REF!</v>
      </c>
      <c r="S160" s="64" t="s">
        <v>243</v>
      </c>
      <c r="T160" s="122"/>
      <c r="U160" s="71" t="s">
        <v>244</v>
      </c>
      <c r="V160" s="72" t="e">
        <f xml:space="preserve"> _xlfn.TEXTJOIN(" ", FALSE,#REF!)</f>
        <v>#REF!</v>
      </c>
      <c r="W160" s="122"/>
      <c r="X160" s="71" t="s">
        <v>245</v>
      </c>
      <c r="Y160" s="72" t="e">
        <f xml:space="preserve"> _xlfn.TEXTJOIN(" ", FALSE,#REF!)</f>
        <v>#REF!</v>
      </c>
      <c r="Z160" s="122"/>
      <c r="AA160" s="71" t="s">
        <v>246</v>
      </c>
      <c r="AB160" s="72" t="e">
        <f xml:space="preserve"> _xlfn.TEXTJOIN(" ", FALSE,#REF!)</f>
        <v>#REF!</v>
      </c>
      <c r="AC160" s="122"/>
      <c r="AD160" s="71" t="s">
        <v>247</v>
      </c>
      <c r="AE160" s="72" t="e">
        <f xml:space="preserve"> _xlfn.TEXTJOIN(" ", FALSE,#REF!)</f>
        <v>#REF!</v>
      </c>
      <c r="AF160" s="122"/>
      <c r="AG160" s="71" t="s">
        <v>248</v>
      </c>
      <c r="AH160" s="73" t="e">
        <f xml:space="preserve"> _xlfn.TEXTJOIN(" ", FALSE,#REF!)</f>
        <v>#REF!</v>
      </c>
      <c r="AI160" s="122"/>
      <c r="AJ160" s="71" t="s">
        <v>249</v>
      </c>
      <c r="AK160" s="73" t="e">
        <f xml:space="preserve"> _xlfn.TEXTJOIN(" ", FALSE,#REF!)</f>
        <v>#REF!</v>
      </c>
      <c r="AL160" s="122"/>
      <c r="AM160" s="71" t="s">
        <v>250</v>
      </c>
      <c r="AN160" s="73" t="e">
        <f xml:space="preserve"> _xlfn.TEXTJOIN(" ", FALSE,#REF!)</f>
        <v>#REF!</v>
      </c>
      <c r="AO160" s="122"/>
      <c r="AP160" s="71" t="s">
        <v>251</v>
      </c>
      <c r="AQ160" s="72" t="e">
        <f xml:space="preserve"> _xlfn.TEXTJOIN(" ", FALSE,#REF!)</f>
        <v>#REF!</v>
      </c>
      <c r="AR160" s="122"/>
      <c r="AS160" s="71" t="s">
        <v>252</v>
      </c>
      <c r="AT160" s="72" t="e">
        <f xml:space="preserve"> _xlfn.TEXTJOIN(" ", FALSE,#REF!)</f>
        <v>#REF!</v>
      </c>
      <c r="AU160" s="122"/>
      <c r="AV160" s="71" t="s">
        <v>253</v>
      </c>
      <c r="AW160" s="73" t="e">
        <f xml:space="preserve"> _xlfn.TEXTJOIN(" ", FALSE,#REF!)</f>
        <v>#REF!</v>
      </c>
      <c r="AX160" s="122"/>
      <c r="AY160" s="71" t="s">
        <v>254</v>
      </c>
      <c r="AZ160" s="72" t="e">
        <f xml:space="preserve"> _xlfn.TEXTJOIN(" ", FALSE,#REF!)</f>
        <v>#REF!</v>
      </c>
      <c r="BA160" s="122"/>
      <c r="BB160" s="71" t="s">
        <v>255</v>
      </c>
      <c r="BC160" s="72" t="e">
        <f xml:space="preserve"> _xlfn.TEXTJOIN(" ", FALSE,#REF!)</f>
        <v>#REF!</v>
      </c>
      <c r="BD160" s="122"/>
      <c r="BE160" s="71" t="s">
        <v>256</v>
      </c>
      <c r="BF160" s="72" t="e">
        <f xml:space="preserve"> _xlfn.TEXTJOIN(" ", FALSE,#REF!)</f>
        <v>#REF!</v>
      </c>
      <c r="BG160" s="65" t="s">
        <v>277</v>
      </c>
      <c r="BH160" s="70" t="e">
        <f t="shared" si="15"/>
        <v>#REF!</v>
      </c>
      <c r="BI160" s="64" t="s">
        <v>257</v>
      </c>
      <c r="BJ160" s="122"/>
      <c r="BK160" s="71" t="s">
        <v>258</v>
      </c>
      <c r="BL160" s="74" t="str">
        <f>_xlfn.TEXTJOIN(" ", FALSE, 'Task 2a - Mitigating the Proble'!U160:AC160)</f>
        <v xml:space="preserve">1 1 0 0 1 1 0 0 </v>
      </c>
      <c r="BM160" s="65" t="s">
        <v>277</v>
      </c>
      <c r="BN160" s="70" t="str">
        <f t="shared" si="16"/>
        <v>[Details for Task 2a:]  /Question 12: 1 1 0 0 1 1 0 0  .</v>
      </c>
      <c r="BO160" s="64" t="s">
        <v>259</v>
      </c>
      <c r="BP160" s="122"/>
      <c r="BQ160" s="71" t="s">
        <v>260</v>
      </c>
      <c r="BR160" s="73" t="e">
        <f xml:space="preserve"> _xlfn.TEXTJOIN(" ", FALSE,#REF!)</f>
        <v>#REF!</v>
      </c>
      <c r="BS160" s="122"/>
      <c r="BT160" s="71" t="s">
        <v>261</v>
      </c>
      <c r="BU160" s="73" t="e">
        <f xml:space="preserve"> _xlfn.TEXTJOIN(" ", FALSE,#REF!)</f>
        <v>#REF!</v>
      </c>
      <c r="BV160" s="122"/>
      <c r="BW160" s="71" t="s">
        <v>262</v>
      </c>
      <c r="BX160" s="73" t="e">
        <f xml:space="preserve"> _xlfn.TEXTJOIN(" ", FALSE,#REF!)</f>
        <v>#REF!</v>
      </c>
      <c r="BY160" s="122"/>
      <c r="BZ160" s="71" t="s">
        <v>263</v>
      </c>
      <c r="CA160" s="73" t="e">
        <f xml:space="preserve"> _xlfn.TEXTJOIN(" ", FALSE,#REF!)</f>
        <v>#REF!</v>
      </c>
      <c r="CB160" s="122"/>
      <c r="CC160" s="71" t="s">
        <v>264</v>
      </c>
      <c r="CD160" s="73" t="e">
        <f xml:space="preserve"> _xlfn.TEXTJOIN(" ", FALSE,#REF!)</f>
        <v>#REF!</v>
      </c>
      <c r="CE160" s="122"/>
      <c r="CF160" s="71" t="s">
        <v>265</v>
      </c>
      <c r="CG160" s="73" t="e">
        <f xml:space="preserve"> _xlfn.TEXTJOIN(" ", FALSE,#REF!)</f>
        <v>#REF!</v>
      </c>
      <c r="CH160" s="122"/>
      <c r="CI160" s="74" t="s">
        <v>278</v>
      </c>
      <c r="CJ160" s="73" t="e">
        <f xml:space="preserve"> _xlfn.TEXTJOIN(" ", FALSE,#REF!)</f>
        <v>#REF!</v>
      </c>
      <c r="CK160" s="65" t="s">
        <v>277</v>
      </c>
      <c r="CL160" s="70" t="e">
        <f t="shared" si="17"/>
        <v>#REF!</v>
      </c>
      <c r="CM160" s="64" t="s">
        <v>267</v>
      </c>
      <c r="CN160" s="122"/>
      <c r="CO160" s="71" t="s">
        <v>268</v>
      </c>
      <c r="CP160" s="73" t="e">
        <f xml:space="preserve"> _xlfn.TEXTJOIN(" ", FALSE,#REF!)</f>
        <v>#REF!</v>
      </c>
      <c r="CQ160" s="122"/>
      <c r="CR160" s="71" t="s">
        <v>269</v>
      </c>
      <c r="CS160" s="73" t="e">
        <f xml:space="preserve"> _xlfn.TEXTJOIN(" ", FALSE,#REF!)</f>
        <v>#REF!</v>
      </c>
      <c r="CT160" s="122"/>
      <c r="CU160" s="71" t="s">
        <v>270</v>
      </c>
      <c r="CV160" s="72" t="e">
        <f xml:space="preserve"> _xlfn.TEXTJOIN(" ", FALSE,#REF!)</f>
        <v>#REF!</v>
      </c>
      <c r="CW160" s="122"/>
      <c r="CX160" s="71" t="s">
        <v>271</v>
      </c>
      <c r="CY160" s="72" t="e">
        <f xml:space="preserve"> _xlfn.TEXTJOIN(" ", FALSE,#REF!)</f>
        <v>#REF!</v>
      </c>
      <c r="CZ160" s="122"/>
      <c r="DA160" s="71" t="s">
        <v>272</v>
      </c>
      <c r="DB160" s="73" t="e">
        <f xml:space="preserve"> _xlfn.TEXTJOIN(" ", FALSE,#REF!)</f>
        <v>#REF!</v>
      </c>
      <c r="DC160" s="65" t="s">
        <v>277</v>
      </c>
      <c r="DD160" s="70" t="e">
        <f t="shared" si="18"/>
        <v>#REF!</v>
      </c>
      <c r="DE160" s="64" t="s">
        <v>273</v>
      </c>
      <c r="DF160" s="122"/>
      <c r="DG160" s="71" t="s">
        <v>274</v>
      </c>
      <c r="DH160" s="72" t="e">
        <f xml:space="preserve"> _xlfn.TEXTJOIN(" ", FALSE,#REF!)</f>
        <v>#REF!</v>
      </c>
      <c r="DI160" s="122"/>
      <c r="DJ160" s="71" t="s">
        <v>275</v>
      </c>
      <c r="DK160" s="73" t="e">
        <f xml:space="preserve"> _xlfn.TEXTJOIN(" ", FALSE,#REF!)</f>
        <v>#REF!</v>
      </c>
      <c r="DL160" s="65" t="s">
        <v>277</v>
      </c>
      <c r="DM160" s="70" t="e">
        <f t="shared" si="19"/>
        <v>#REF!</v>
      </c>
      <c r="DN160" s="70" t="e">
        <f t="shared" si="20"/>
        <v>#REF!</v>
      </c>
    </row>
    <row r="161" spans="1:118" ht="108" customHeight="1">
      <c r="A161" s="122" t="e">
        <f>Summary!A161</f>
        <v>#REF!</v>
      </c>
      <c r="B161" s="64" t="s">
        <v>233</v>
      </c>
      <c r="C161" s="65" t="e">
        <f>Summary!B161</f>
        <v>#REF!</v>
      </c>
      <c r="D161" s="122"/>
      <c r="E161" s="64" t="s">
        <v>235</v>
      </c>
      <c r="F161" s="132" t="e">
        <f>Summary!C161</f>
        <v>#REF!</v>
      </c>
      <c r="G161" s="64" t="s">
        <v>236</v>
      </c>
      <c r="H161" s="132" t="e">
        <f>Summary!D161</f>
        <v>#REF!</v>
      </c>
      <c r="I161" s="64" t="s">
        <v>237</v>
      </c>
      <c r="J161" s="66">
        <f>Summary!E161</f>
        <v>5</v>
      </c>
      <c r="K161" s="64" t="s">
        <v>238</v>
      </c>
      <c r="L161" s="132" t="e">
        <f>Summary!F161</f>
        <v>#REF!</v>
      </c>
      <c r="M161" s="64" t="s">
        <v>239</v>
      </c>
      <c r="N161" s="132" t="e">
        <f>Summary!G161</f>
        <v>#REF!</v>
      </c>
      <c r="O161" s="64" t="s">
        <v>240</v>
      </c>
      <c r="P161" s="132" t="e">
        <f>Summary!H161</f>
        <v>#REF!</v>
      </c>
      <c r="Q161" s="65" t="s">
        <v>277</v>
      </c>
      <c r="R161" s="70" t="e">
        <f t="shared" si="14"/>
        <v>#REF!</v>
      </c>
      <c r="S161" s="64" t="s">
        <v>243</v>
      </c>
      <c r="T161" s="122"/>
      <c r="U161" s="71" t="s">
        <v>244</v>
      </c>
      <c r="V161" s="72" t="e">
        <f xml:space="preserve"> _xlfn.TEXTJOIN(" ", FALSE,#REF!)</f>
        <v>#REF!</v>
      </c>
      <c r="W161" s="122"/>
      <c r="X161" s="71" t="s">
        <v>245</v>
      </c>
      <c r="Y161" s="72" t="e">
        <f xml:space="preserve"> _xlfn.TEXTJOIN(" ", FALSE,#REF!)</f>
        <v>#REF!</v>
      </c>
      <c r="Z161" s="122"/>
      <c r="AA161" s="71" t="s">
        <v>246</v>
      </c>
      <c r="AB161" s="72" t="e">
        <f xml:space="preserve"> _xlfn.TEXTJOIN(" ", FALSE,#REF!)</f>
        <v>#REF!</v>
      </c>
      <c r="AC161" s="122"/>
      <c r="AD161" s="71" t="s">
        <v>247</v>
      </c>
      <c r="AE161" s="72" t="e">
        <f xml:space="preserve"> _xlfn.TEXTJOIN(" ", FALSE,#REF!)</f>
        <v>#REF!</v>
      </c>
      <c r="AF161" s="122"/>
      <c r="AG161" s="71" t="s">
        <v>248</v>
      </c>
      <c r="AH161" s="73" t="e">
        <f xml:space="preserve"> _xlfn.TEXTJOIN(" ", FALSE,#REF!)</f>
        <v>#REF!</v>
      </c>
      <c r="AI161" s="122"/>
      <c r="AJ161" s="71" t="s">
        <v>249</v>
      </c>
      <c r="AK161" s="73" t="e">
        <f xml:space="preserve"> _xlfn.TEXTJOIN(" ", FALSE,#REF!)</f>
        <v>#REF!</v>
      </c>
      <c r="AL161" s="122"/>
      <c r="AM161" s="71" t="s">
        <v>250</v>
      </c>
      <c r="AN161" s="73" t="e">
        <f xml:space="preserve"> _xlfn.TEXTJOIN(" ", FALSE,#REF!)</f>
        <v>#REF!</v>
      </c>
      <c r="AO161" s="122"/>
      <c r="AP161" s="71" t="s">
        <v>251</v>
      </c>
      <c r="AQ161" s="72" t="e">
        <f xml:space="preserve"> _xlfn.TEXTJOIN(" ", FALSE,#REF!)</f>
        <v>#REF!</v>
      </c>
      <c r="AR161" s="122"/>
      <c r="AS161" s="71" t="s">
        <v>252</v>
      </c>
      <c r="AT161" s="72" t="e">
        <f xml:space="preserve"> _xlfn.TEXTJOIN(" ", FALSE,#REF!)</f>
        <v>#REF!</v>
      </c>
      <c r="AU161" s="122"/>
      <c r="AV161" s="71" t="s">
        <v>253</v>
      </c>
      <c r="AW161" s="73" t="e">
        <f xml:space="preserve"> _xlfn.TEXTJOIN(" ", FALSE,#REF!)</f>
        <v>#REF!</v>
      </c>
      <c r="AX161" s="122"/>
      <c r="AY161" s="71" t="s">
        <v>254</v>
      </c>
      <c r="AZ161" s="72" t="e">
        <f xml:space="preserve"> _xlfn.TEXTJOIN(" ", FALSE,#REF!)</f>
        <v>#REF!</v>
      </c>
      <c r="BA161" s="122"/>
      <c r="BB161" s="71" t="s">
        <v>255</v>
      </c>
      <c r="BC161" s="72" t="e">
        <f xml:space="preserve"> _xlfn.TEXTJOIN(" ", FALSE,#REF!)</f>
        <v>#REF!</v>
      </c>
      <c r="BD161" s="122"/>
      <c r="BE161" s="71" t="s">
        <v>256</v>
      </c>
      <c r="BF161" s="72" t="e">
        <f xml:space="preserve"> _xlfn.TEXTJOIN(" ", FALSE,#REF!)</f>
        <v>#REF!</v>
      </c>
      <c r="BG161" s="65" t="s">
        <v>277</v>
      </c>
      <c r="BH161" s="70" t="e">
        <f t="shared" si="15"/>
        <v>#REF!</v>
      </c>
      <c r="BI161" s="64" t="s">
        <v>257</v>
      </c>
      <c r="BJ161" s="122"/>
      <c r="BK161" s="71" t="s">
        <v>258</v>
      </c>
      <c r="BL161" s="74" t="str">
        <f>_xlfn.TEXTJOIN(" ", FALSE, 'Task 2a - Mitigating the Proble'!U161:AC161)</f>
        <v xml:space="preserve">0 0 1 0 0 1 0 0 </v>
      </c>
      <c r="BM161" s="65" t="s">
        <v>277</v>
      </c>
      <c r="BN161" s="70" t="str">
        <f t="shared" si="16"/>
        <v>[Details for Task 2a:]  /Question 12: 0 0 1 0 0 1 0 0  .</v>
      </c>
      <c r="BO161" s="64" t="s">
        <v>259</v>
      </c>
      <c r="BP161" s="122"/>
      <c r="BQ161" s="71" t="s">
        <v>260</v>
      </c>
      <c r="BR161" s="73" t="e">
        <f xml:space="preserve"> _xlfn.TEXTJOIN(" ", FALSE,#REF!)</f>
        <v>#REF!</v>
      </c>
      <c r="BS161" s="122"/>
      <c r="BT161" s="71" t="s">
        <v>261</v>
      </c>
      <c r="BU161" s="73" t="e">
        <f xml:space="preserve"> _xlfn.TEXTJOIN(" ", FALSE,#REF!)</f>
        <v>#REF!</v>
      </c>
      <c r="BV161" s="122"/>
      <c r="BW161" s="71" t="s">
        <v>262</v>
      </c>
      <c r="BX161" s="73" t="e">
        <f xml:space="preserve"> _xlfn.TEXTJOIN(" ", FALSE,#REF!)</f>
        <v>#REF!</v>
      </c>
      <c r="BY161" s="122"/>
      <c r="BZ161" s="71" t="s">
        <v>263</v>
      </c>
      <c r="CA161" s="73" t="e">
        <f xml:space="preserve"> _xlfn.TEXTJOIN(" ", FALSE,#REF!)</f>
        <v>#REF!</v>
      </c>
      <c r="CB161" s="122"/>
      <c r="CC161" s="71" t="s">
        <v>264</v>
      </c>
      <c r="CD161" s="73" t="e">
        <f xml:space="preserve"> _xlfn.TEXTJOIN(" ", FALSE,#REF!)</f>
        <v>#REF!</v>
      </c>
      <c r="CE161" s="122"/>
      <c r="CF161" s="71" t="s">
        <v>265</v>
      </c>
      <c r="CG161" s="73" t="e">
        <f xml:space="preserve"> _xlfn.TEXTJOIN(" ", FALSE,#REF!)</f>
        <v>#REF!</v>
      </c>
      <c r="CH161" s="122"/>
      <c r="CI161" s="74" t="s">
        <v>278</v>
      </c>
      <c r="CJ161" s="73" t="e">
        <f xml:space="preserve"> _xlfn.TEXTJOIN(" ", FALSE,#REF!)</f>
        <v>#REF!</v>
      </c>
      <c r="CK161" s="65" t="s">
        <v>277</v>
      </c>
      <c r="CL161" s="70" t="e">
        <f t="shared" si="17"/>
        <v>#REF!</v>
      </c>
      <c r="CM161" s="64" t="s">
        <v>267</v>
      </c>
      <c r="CN161" s="122"/>
      <c r="CO161" s="71" t="s">
        <v>268</v>
      </c>
      <c r="CP161" s="73" t="e">
        <f xml:space="preserve"> _xlfn.TEXTJOIN(" ", FALSE,#REF!)</f>
        <v>#REF!</v>
      </c>
      <c r="CQ161" s="122"/>
      <c r="CR161" s="71" t="s">
        <v>269</v>
      </c>
      <c r="CS161" s="73" t="e">
        <f xml:space="preserve"> _xlfn.TEXTJOIN(" ", FALSE,#REF!)</f>
        <v>#REF!</v>
      </c>
      <c r="CT161" s="122"/>
      <c r="CU161" s="71" t="s">
        <v>270</v>
      </c>
      <c r="CV161" s="72" t="e">
        <f xml:space="preserve"> _xlfn.TEXTJOIN(" ", FALSE,#REF!)</f>
        <v>#REF!</v>
      </c>
      <c r="CW161" s="122"/>
      <c r="CX161" s="71" t="s">
        <v>271</v>
      </c>
      <c r="CY161" s="72" t="e">
        <f xml:space="preserve"> _xlfn.TEXTJOIN(" ", FALSE,#REF!)</f>
        <v>#REF!</v>
      </c>
      <c r="CZ161" s="122"/>
      <c r="DA161" s="71" t="s">
        <v>272</v>
      </c>
      <c r="DB161" s="73" t="e">
        <f xml:space="preserve"> _xlfn.TEXTJOIN(" ", FALSE,#REF!)</f>
        <v>#REF!</v>
      </c>
      <c r="DC161" s="65" t="s">
        <v>277</v>
      </c>
      <c r="DD161" s="70" t="e">
        <f t="shared" si="18"/>
        <v>#REF!</v>
      </c>
      <c r="DE161" s="64" t="s">
        <v>273</v>
      </c>
      <c r="DF161" s="122"/>
      <c r="DG161" s="71" t="s">
        <v>274</v>
      </c>
      <c r="DH161" s="72" t="e">
        <f xml:space="preserve"> _xlfn.TEXTJOIN(" ", FALSE,#REF!)</f>
        <v>#REF!</v>
      </c>
      <c r="DI161" s="122"/>
      <c r="DJ161" s="71" t="s">
        <v>275</v>
      </c>
      <c r="DK161" s="73" t="e">
        <f xml:space="preserve"> _xlfn.TEXTJOIN(" ", FALSE,#REF!)</f>
        <v>#REF!</v>
      </c>
      <c r="DL161" s="65" t="s">
        <v>277</v>
      </c>
      <c r="DM161" s="70" t="e">
        <f t="shared" si="19"/>
        <v>#REF!</v>
      </c>
      <c r="DN161" s="70" t="e">
        <f t="shared" si="20"/>
        <v>#REF!</v>
      </c>
    </row>
    <row r="162" spans="1:118" ht="108" customHeight="1">
      <c r="A162" s="122" t="e">
        <f>Summary!A162</f>
        <v>#REF!</v>
      </c>
      <c r="B162" s="64" t="s">
        <v>233</v>
      </c>
      <c r="C162" s="65" t="e">
        <f>Summary!B162</f>
        <v>#REF!</v>
      </c>
      <c r="D162" s="122"/>
      <c r="E162" s="64" t="s">
        <v>235</v>
      </c>
      <c r="F162" s="132" t="e">
        <f>Summary!C162</f>
        <v>#REF!</v>
      </c>
      <c r="G162" s="64" t="s">
        <v>236</v>
      </c>
      <c r="H162" s="132" t="e">
        <f>Summary!D162</f>
        <v>#REF!</v>
      </c>
      <c r="I162" s="64" t="s">
        <v>237</v>
      </c>
      <c r="J162" s="66">
        <f>Summary!E162</f>
        <v>5</v>
      </c>
      <c r="K162" s="64" t="s">
        <v>238</v>
      </c>
      <c r="L162" s="132" t="e">
        <f>Summary!F162</f>
        <v>#REF!</v>
      </c>
      <c r="M162" s="64" t="s">
        <v>239</v>
      </c>
      <c r="N162" s="132" t="e">
        <f>Summary!G162</f>
        <v>#REF!</v>
      </c>
      <c r="O162" s="64" t="s">
        <v>240</v>
      </c>
      <c r="P162" s="132" t="e">
        <f>Summary!H162</f>
        <v>#REF!</v>
      </c>
      <c r="Q162" s="65" t="s">
        <v>277</v>
      </c>
      <c r="R162" s="70" t="e">
        <f t="shared" si="14"/>
        <v>#REF!</v>
      </c>
      <c r="S162" s="64" t="s">
        <v>243</v>
      </c>
      <c r="T162" s="122"/>
      <c r="U162" s="71" t="s">
        <v>244</v>
      </c>
      <c r="V162" s="72" t="e">
        <f xml:space="preserve"> _xlfn.TEXTJOIN(" ", FALSE,#REF!)</f>
        <v>#REF!</v>
      </c>
      <c r="W162" s="122"/>
      <c r="X162" s="71" t="s">
        <v>245</v>
      </c>
      <c r="Y162" s="72" t="e">
        <f xml:space="preserve"> _xlfn.TEXTJOIN(" ", FALSE,#REF!)</f>
        <v>#REF!</v>
      </c>
      <c r="Z162" s="122"/>
      <c r="AA162" s="71" t="s">
        <v>246</v>
      </c>
      <c r="AB162" s="72" t="e">
        <f xml:space="preserve"> _xlfn.TEXTJOIN(" ", FALSE,#REF!)</f>
        <v>#REF!</v>
      </c>
      <c r="AC162" s="122"/>
      <c r="AD162" s="71" t="s">
        <v>247</v>
      </c>
      <c r="AE162" s="72" t="e">
        <f xml:space="preserve"> _xlfn.TEXTJOIN(" ", FALSE,#REF!)</f>
        <v>#REF!</v>
      </c>
      <c r="AF162" s="122"/>
      <c r="AG162" s="71" t="s">
        <v>248</v>
      </c>
      <c r="AH162" s="73" t="e">
        <f xml:space="preserve"> _xlfn.TEXTJOIN(" ", FALSE,#REF!)</f>
        <v>#REF!</v>
      </c>
      <c r="AI162" s="122"/>
      <c r="AJ162" s="71" t="s">
        <v>249</v>
      </c>
      <c r="AK162" s="73" t="e">
        <f xml:space="preserve"> _xlfn.TEXTJOIN(" ", FALSE,#REF!)</f>
        <v>#REF!</v>
      </c>
      <c r="AL162" s="122"/>
      <c r="AM162" s="71" t="s">
        <v>250</v>
      </c>
      <c r="AN162" s="73" t="e">
        <f xml:space="preserve"> _xlfn.TEXTJOIN(" ", FALSE,#REF!)</f>
        <v>#REF!</v>
      </c>
      <c r="AO162" s="122"/>
      <c r="AP162" s="71" t="s">
        <v>251</v>
      </c>
      <c r="AQ162" s="72" t="e">
        <f xml:space="preserve"> _xlfn.TEXTJOIN(" ", FALSE,#REF!)</f>
        <v>#REF!</v>
      </c>
      <c r="AR162" s="122"/>
      <c r="AS162" s="71" t="s">
        <v>252</v>
      </c>
      <c r="AT162" s="72" t="e">
        <f xml:space="preserve"> _xlfn.TEXTJOIN(" ", FALSE,#REF!)</f>
        <v>#REF!</v>
      </c>
      <c r="AU162" s="122"/>
      <c r="AV162" s="71" t="s">
        <v>253</v>
      </c>
      <c r="AW162" s="73" t="e">
        <f xml:space="preserve"> _xlfn.TEXTJOIN(" ", FALSE,#REF!)</f>
        <v>#REF!</v>
      </c>
      <c r="AX162" s="122"/>
      <c r="AY162" s="71" t="s">
        <v>254</v>
      </c>
      <c r="AZ162" s="72" t="e">
        <f xml:space="preserve"> _xlfn.TEXTJOIN(" ", FALSE,#REF!)</f>
        <v>#REF!</v>
      </c>
      <c r="BA162" s="122"/>
      <c r="BB162" s="71" t="s">
        <v>255</v>
      </c>
      <c r="BC162" s="72" t="e">
        <f xml:space="preserve"> _xlfn.TEXTJOIN(" ", FALSE,#REF!)</f>
        <v>#REF!</v>
      </c>
      <c r="BD162" s="122"/>
      <c r="BE162" s="71" t="s">
        <v>256</v>
      </c>
      <c r="BF162" s="72" t="e">
        <f xml:space="preserve"> _xlfn.TEXTJOIN(" ", FALSE,#REF!)</f>
        <v>#REF!</v>
      </c>
      <c r="BG162" s="65" t="s">
        <v>277</v>
      </c>
      <c r="BH162" s="70" t="e">
        <f t="shared" si="15"/>
        <v>#REF!</v>
      </c>
      <c r="BI162" s="64" t="s">
        <v>257</v>
      </c>
      <c r="BJ162" s="122"/>
      <c r="BK162" s="71" t="s">
        <v>258</v>
      </c>
      <c r="BL162" s="74" t="str">
        <f>_xlfn.TEXTJOIN(" ", FALSE, 'Task 2a - Mitigating the Proble'!U162:AC162)</f>
        <v xml:space="preserve">1 0 0 0 0 1 0 0 </v>
      </c>
      <c r="BM162" s="65" t="s">
        <v>277</v>
      </c>
      <c r="BN162" s="70" t="str">
        <f t="shared" si="16"/>
        <v>[Details for Task 2a:]  /Question 12: 1 0 0 0 0 1 0 0  .</v>
      </c>
      <c r="BO162" s="64" t="s">
        <v>259</v>
      </c>
      <c r="BP162" s="122"/>
      <c r="BQ162" s="71" t="s">
        <v>260</v>
      </c>
      <c r="BR162" s="73" t="e">
        <f xml:space="preserve"> _xlfn.TEXTJOIN(" ", FALSE,#REF!)</f>
        <v>#REF!</v>
      </c>
      <c r="BS162" s="122"/>
      <c r="BT162" s="71" t="s">
        <v>261</v>
      </c>
      <c r="BU162" s="73" t="e">
        <f xml:space="preserve"> _xlfn.TEXTJOIN(" ", FALSE,#REF!)</f>
        <v>#REF!</v>
      </c>
      <c r="BV162" s="122"/>
      <c r="BW162" s="71" t="s">
        <v>262</v>
      </c>
      <c r="BX162" s="73" t="e">
        <f xml:space="preserve"> _xlfn.TEXTJOIN(" ", FALSE,#REF!)</f>
        <v>#REF!</v>
      </c>
      <c r="BY162" s="122"/>
      <c r="BZ162" s="71" t="s">
        <v>263</v>
      </c>
      <c r="CA162" s="73" t="e">
        <f xml:space="preserve"> _xlfn.TEXTJOIN(" ", FALSE,#REF!)</f>
        <v>#REF!</v>
      </c>
      <c r="CB162" s="122"/>
      <c r="CC162" s="71" t="s">
        <v>264</v>
      </c>
      <c r="CD162" s="73" t="e">
        <f xml:space="preserve"> _xlfn.TEXTJOIN(" ", FALSE,#REF!)</f>
        <v>#REF!</v>
      </c>
      <c r="CE162" s="122"/>
      <c r="CF162" s="71" t="s">
        <v>265</v>
      </c>
      <c r="CG162" s="73" t="e">
        <f xml:space="preserve"> _xlfn.TEXTJOIN(" ", FALSE,#REF!)</f>
        <v>#REF!</v>
      </c>
      <c r="CH162" s="122"/>
      <c r="CI162" s="74" t="s">
        <v>278</v>
      </c>
      <c r="CJ162" s="73" t="e">
        <f xml:space="preserve"> _xlfn.TEXTJOIN(" ", FALSE,#REF!)</f>
        <v>#REF!</v>
      </c>
      <c r="CK162" s="65" t="s">
        <v>277</v>
      </c>
      <c r="CL162" s="70" t="e">
        <f t="shared" si="17"/>
        <v>#REF!</v>
      </c>
      <c r="CM162" s="64" t="s">
        <v>267</v>
      </c>
      <c r="CN162" s="122"/>
      <c r="CO162" s="71" t="s">
        <v>268</v>
      </c>
      <c r="CP162" s="73" t="e">
        <f xml:space="preserve"> _xlfn.TEXTJOIN(" ", FALSE,#REF!)</f>
        <v>#REF!</v>
      </c>
      <c r="CQ162" s="122"/>
      <c r="CR162" s="71" t="s">
        <v>269</v>
      </c>
      <c r="CS162" s="73" t="e">
        <f xml:space="preserve"> _xlfn.TEXTJOIN(" ", FALSE,#REF!)</f>
        <v>#REF!</v>
      </c>
      <c r="CT162" s="122"/>
      <c r="CU162" s="71" t="s">
        <v>270</v>
      </c>
      <c r="CV162" s="72" t="e">
        <f xml:space="preserve"> _xlfn.TEXTJOIN(" ", FALSE,#REF!)</f>
        <v>#REF!</v>
      </c>
      <c r="CW162" s="122"/>
      <c r="CX162" s="71" t="s">
        <v>271</v>
      </c>
      <c r="CY162" s="72" t="e">
        <f xml:space="preserve"> _xlfn.TEXTJOIN(" ", FALSE,#REF!)</f>
        <v>#REF!</v>
      </c>
      <c r="CZ162" s="122"/>
      <c r="DA162" s="71" t="s">
        <v>272</v>
      </c>
      <c r="DB162" s="73" t="e">
        <f xml:space="preserve"> _xlfn.TEXTJOIN(" ", FALSE,#REF!)</f>
        <v>#REF!</v>
      </c>
      <c r="DC162" s="65" t="s">
        <v>277</v>
      </c>
      <c r="DD162" s="70" t="e">
        <f t="shared" si="18"/>
        <v>#REF!</v>
      </c>
      <c r="DE162" s="64" t="s">
        <v>273</v>
      </c>
      <c r="DF162" s="122"/>
      <c r="DG162" s="71" t="s">
        <v>274</v>
      </c>
      <c r="DH162" s="72" t="e">
        <f xml:space="preserve"> _xlfn.TEXTJOIN(" ", FALSE,#REF!)</f>
        <v>#REF!</v>
      </c>
      <c r="DI162" s="122"/>
      <c r="DJ162" s="71" t="s">
        <v>275</v>
      </c>
      <c r="DK162" s="73" t="e">
        <f xml:space="preserve"> _xlfn.TEXTJOIN(" ", FALSE,#REF!)</f>
        <v>#REF!</v>
      </c>
      <c r="DL162" s="65" t="s">
        <v>277</v>
      </c>
      <c r="DM162" s="70" t="e">
        <f t="shared" si="19"/>
        <v>#REF!</v>
      </c>
      <c r="DN162" s="70" t="e">
        <f t="shared" si="20"/>
        <v>#REF!</v>
      </c>
    </row>
    <row r="163" spans="1:118" ht="108" customHeight="1">
      <c r="A163" s="122" t="e">
        <f>Summary!A163</f>
        <v>#REF!</v>
      </c>
      <c r="B163" s="64" t="s">
        <v>233</v>
      </c>
      <c r="C163" s="65" t="e">
        <f>Summary!B163</f>
        <v>#REF!</v>
      </c>
      <c r="D163" s="122"/>
      <c r="E163" s="64" t="s">
        <v>235</v>
      </c>
      <c r="F163" s="132" t="e">
        <f>Summary!C163</f>
        <v>#REF!</v>
      </c>
      <c r="G163" s="64" t="s">
        <v>236</v>
      </c>
      <c r="H163" s="132" t="e">
        <f>Summary!D163</f>
        <v>#REF!</v>
      </c>
      <c r="I163" s="64" t="s">
        <v>237</v>
      </c>
      <c r="J163" s="66">
        <f>Summary!E163</f>
        <v>7</v>
      </c>
      <c r="K163" s="64" t="s">
        <v>238</v>
      </c>
      <c r="L163" s="132" t="e">
        <f>Summary!F163</f>
        <v>#REF!</v>
      </c>
      <c r="M163" s="64" t="s">
        <v>239</v>
      </c>
      <c r="N163" s="132" t="e">
        <f>Summary!G163</f>
        <v>#REF!</v>
      </c>
      <c r="O163" s="64" t="s">
        <v>240</v>
      </c>
      <c r="P163" s="132" t="e">
        <f>Summary!H163</f>
        <v>#REF!</v>
      </c>
      <c r="Q163" s="65" t="s">
        <v>277</v>
      </c>
      <c r="R163" s="70" t="e">
        <f t="shared" si="14"/>
        <v>#REF!</v>
      </c>
      <c r="S163" s="64" t="s">
        <v>243</v>
      </c>
      <c r="T163" s="122"/>
      <c r="U163" s="71" t="s">
        <v>244</v>
      </c>
      <c r="V163" s="72" t="e">
        <f xml:space="preserve"> _xlfn.TEXTJOIN(" ", FALSE,#REF!)</f>
        <v>#REF!</v>
      </c>
      <c r="W163" s="122"/>
      <c r="X163" s="71" t="s">
        <v>245</v>
      </c>
      <c r="Y163" s="72" t="e">
        <f xml:space="preserve"> _xlfn.TEXTJOIN(" ", FALSE,#REF!)</f>
        <v>#REF!</v>
      </c>
      <c r="Z163" s="122"/>
      <c r="AA163" s="71" t="s">
        <v>246</v>
      </c>
      <c r="AB163" s="72" t="e">
        <f xml:space="preserve"> _xlfn.TEXTJOIN(" ", FALSE,#REF!)</f>
        <v>#REF!</v>
      </c>
      <c r="AC163" s="122"/>
      <c r="AD163" s="71" t="s">
        <v>247</v>
      </c>
      <c r="AE163" s="72" t="e">
        <f xml:space="preserve"> _xlfn.TEXTJOIN(" ", FALSE,#REF!)</f>
        <v>#REF!</v>
      </c>
      <c r="AF163" s="122"/>
      <c r="AG163" s="71" t="s">
        <v>248</v>
      </c>
      <c r="AH163" s="73" t="e">
        <f xml:space="preserve"> _xlfn.TEXTJOIN(" ", FALSE,#REF!)</f>
        <v>#REF!</v>
      </c>
      <c r="AI163" s="122"/>
      <c r="AJ163" s="71" t="s">
        <v>249</v>
      </c>
      <c r="AK163" s="73" t="e">
        <f xml:space="preserve"> _xlfn.TEXTJOIN(" ", FALSE,#REF!)</f>
        <v>#REF!</v>
      </c>
      <c r="AL163" s="122"/>
      <c r="AM163" s="71" t="s">
        <v>250</v>
      </c>
      <c r="AN163" s="73" t="e">
        <f xml:space="preserve"> _xlfn.TEXTJOIN(" ", FALSE,#REF!)</f>
        <v>#REF!</v>
      </c>
      <c r="AO163" s="122"/>
      <c r="AP163" s="71" t="s">
        <v>251</v>
      </c>
      <c r="AQ163" s="72" t="e">
        <f xml:space="preserve"> _xlfn.TEXTJOIN(" ", FALSE,#REF!)</f>
        <v>#REF!</v>
      </c>
      <c r="AR163" s="122"/>
      <c r="AS163" s="71" t="s">
        <v>252</v>
      </c>
      <c r="AT163" s="72" t="e">
        <f xml:space="preserve"> _xlfn.TEXTJOIN(" ", FALSE,#REF!)</f>
        <v>#REF!</v>
      </c>
      <c r="AU163" s="122"/>
      <c r="AV163" s="71" t="s">
        <v>253</v>
      </c>
      <c r="AW163" s="73" t="e">
        <f xml:space="preserve"> _xlfn.TEXTJOIN(" ", FALSE,#REF!)</f>
        <v>#REF!</v>
      </c>
      <c r="AX163" s="122"/>
      <c r="AY163" s="71" t="s">
        <v>254</v>
      </c>
      <c r="AZ163" s="72" t="e">
        <f xml:space="preserve"> _xlfn.TEXTJOIN(" ", FALSE,#REF!)</f>
        <v>#REF!</v>
      </c>
      <c r="BA163" s="122"/>
      <c r="BB163" s="71" t="s">
        <v>255</v>
      </c>
      <c r="BC163" s="72" t="e">
        <f xml:space="preserve"> _xlfn.TEXTJOIN(" ", FALSE,#REF!)</f>
        <v>#REF!</v>
      </c>
      <c r="BD163" s="122"/>
      <c r="BE163" s="71" t="s">
        <v>256</v>
      </c>
      <c r="BF163" s="72" t="e">
        <f xml:space="preserve"> _xlfn.TEXTJOIN(" ", FALSE,#REF!)</f>
        <v>#REF!</v>
      </c>
      <c r="BG163" s="65" t="s">
        <v>277</v>
      </c>
      <c r="BH163" s="70" t="e">
        <f t="shared" si="15"/>
        <v>#REF!</v>
      </c>
      <c r="BI163" s="64" t="s">
        <v>257</v>
      </c>
      <c r="BJ163" s="122"/>
      <c r="BK163" s="71" t="s">
        <v>258</v>
      </c>
      <c r="BL163" s="74" t="str">
        <f>_xlfn.TEXTJOIN(" ", FALSE, 'Task 2a - Mitigating the Proble'!U163:AC163)</f>
        <v xml:space="preserve">1 1 1 1 0 1 0 0 </v>
      </c>
      <c r="BM163" s="65" t="s">
        <v>277</v>
      </c>
      <c r="BN163" s="70" t="str">
        <f t="shared" si="16"/>
        <v>[Details for Task 2a:]  /Question 12: 1 1 1 1 0 1 0 0  .</v>
      </c>
      <c r="BO163" s="64" t="s">
        <v>259</v>
      </c>
      <c r="BP163" s="122"/>
      <c r="BQ163" s="71" t="s">
        <v>260</v>
      </c>
      <c r="BR163" s="73" t="e">
        <f xml:space="preserve"> _xlfn.TEXTJOIN(" ", FALSE,#REF!)</f>
        <v>#REF!</v>
      </c>
      <c r="BS163" s="122"/>
      <c r="BT163" s="71" t="s">
        <v>261</v>
      </c>
      <c r="BU163" s="73" t="e">
        <f xml:space="preserve"> _xlfn.TEXTJOIN(" ", FALSE,#REF!)</f>
        <v>#REF!</v>
      </c>
      <c r="BV163" s="122"/>
      <c r="BW163" s="71" t="s">
        <v>262</v>
      </c>
      <c r="BX163" s="73" t="e">
        <f xml:space="preserve"> _xlfn.TEXTJOIN(" ", FALSE,#REF!)</f>
        <v>#REF!</v>
      </c>
      <c r="BY163" s="122"/>
      <c r="BZ163" s="71" t="s">
        <v>263</v>
      </c>
      <c r="CA163" s="73" t="e">
        <f xml:space="preserve"> _xlfn.TEXTJOIN(" ", FALSE,#REF!)</f>
        <v>#REF!</v>
      </c>
      <c r="CB163" s="122"/>
      <c r="CC163" s="71" t="s">
        <v>264</v>
      </c>
      <c r="CD163" s="73" t="e">
        <f xml:space="preserve"> _xlfn.TEXTJOIN(" ", FALSE,#REF!)</f>
        <v>#REF!</v>
      </c>
      <c r="CE163" s="122"/>
      <c r="CF163" s="71" t="s">
        <v>265</v>
      </c>
      <c r="CG163" s="73" t="e">
        <f xml:space="preserve"> _xlfn.TEXTJOIN(" ", FALSE,#REF!)</f>
        <v>#REF!</v>
      </c>
      <c r="CH163" s="122"/>
      <c r="CI163" s="74" t="s">
        <v>278</v>
      </c>
      <c r="CJ163" s="73" t="e">
        <f xml:space="preserve"> _xlfn.TEXTJOIN(" ", FALSE,#REF!)</f>
        <v>#REF!</v>
      </c>
      <c r="CK163" s="65" t="s">
        <v>277</v>
      </c>
      <c r="CL163" s="70" t="e">
        <f t="shared" si="17"/>
        <v>#REF!</v>
      </c>
      <c r="CM163" s="64" t="s">
        <v>267</v>
      </c>
      <c r="CN163" s="122"/>
      <c r="CO163" s="71" t="s">
        <v>268</v>
      </c>
      <c r="CP163" s="73" t="e">
        <f xml:space="preserve"> _xlfn.TEXTJOIN(" ", FALSE,#REF!)</f>
        <v>#REF!</v>
      </c>
      <c r="CQ163" s="122"/>
      <c r="CR163" s="71" t="s">
        <v>269</v>
      </c>
      <c r="CS163" s="73" t="e">
        <f xml:space="preserve"> _xlfn.TEXTJOIN(" ", FALSE,#REF!)</f>
        <v>#REF!</v>
      </c>
      <c r="CT163" s="122"/>
      <c r="CU163" s="71" t="s">
        <v>270</v>
      </c>
      <c r="CV163" s="72" t="e">
        <f xml:space="preserve"> _xlfn.TEXTJOIN(" ", FALSE,#REF!)</f>
        <v>#REF!</v>
      </c>
      <c r="CW163" s="122"/>
      <c r="CX163" s="71" t="s">
        <v>271</v>
      </c>
      <c r="CY163" s="72" t="e">
        <f xml:space="preserve"> _xlfn.TEXTJOIN(" ", FALSE,#REF!)</f>
        <v>#REF!</v>
      </c>
      <c r="CZ163" s="122"/>
      <c r="DA163" s="71" t="s">
        <v>272</v>
      </c>
      <c r="DB163" s="73" t="e">
        <f xml:space="preserve"> _xlfn.TEXTJOIN(" ", FALSE,#REF!)</f>
        <v>#REF!</v>
      </c>
      <c r="DC163" s="65" t="s">
        <v>277</v>
      </c>
      <c r="DD163" s="70" t="e">
        <f t="shared" si="18"/>
        <v>#REF!</v>
      </c>
      <c r="DE163" s="64" t="s">
        <v>273</v>
      </c>
      <c r="DF163" s="122"/>
      <c r="DG163" s="71" t="s">
        <v>274</v>
      </c>
      <c r="DH163" s="72" t="e">
        <f xml:space="preserve"> _xlfn.TEXTJOIN(" ", FALSE,#REF!)</f>
        <v>#REF!</v>
      </c>
      <c r="DI163" s="122"/>
      <c r="DJ163" s="71" t="s">
        <v>275</v>
      </c>
      <c r="DK163" s="73" t="e">
        <f xml:space="preserve"> _xlfn.TEXTJOIN(" ", FALSE,#REF!)</f>
        <v>#REF!</v>
      </c>
      <c r="DL163" s="65" t="s">
        <v>277</v>
      </c>
      <c r="DM163" s="70" t="e">
        <f t="shared" si="19"/>
        <v>#REF!</v>
      </c>
      <c r="DN163" s="70" t="e">
        <f t="shared" si="20"/>
        <v>#REF!</v>
      </c>
    </row>
    <row r="164" spans="1:118" ht="108" customHeight="1">
      <c r="A164" s="122" t="e">
        <f>Summary!A164</f>
        <v>#REF!</v>
      </c>
      <c r="B164" s="64" t="s">
        <v>233</v>
      </c>
      <c r="C164" s="65" t="e">
        <f>Summary!B164</f>
        <v>#REF!</v>
      </c>
      <c r="D164" s="122"/>
      <c r="E164" s="64" t="s">
        <v>235</v>
      </c>
      <c r="F164" s="132" t="e">
        <f>Summary!C164</f>
        <v>#REF!</v>
      </c>
      <c r="G164" s="64" t="s">
        <v>236</v>
      </c>
      <c r="H164" s="132" t="e">
        <f>Summary!D164</f>
        <v>#REF!</v>
      </c>
      <c r="I164" s="64" t="s">
        <v>237</v>
      </c>
      <c r="J164" s="66">
        <f>Summary!E164</f>
        <v>7</v>
      </c>
      <c r="K164" s="64" t="s">
        <v>238</v>
      </c>
      <c r="L164" s="132" t="e">
        <f>Summary!F164</f>
        <v>#REF!</v>
      </c>
      <c r="M164" s="64" t="s">
        <v>239</v>
      </c>
      <c r="N164" s="132" t="e">
        <f>Summary!G164</f>
        <v>#REF!</v>
      </c>
      <c r="O164" s="64" t="s">
        <v>240</v>
      </c>
      <c r="P164" s="132" t="e">
        <f>Summary!H164</f>
        <v>#REF!</v>
      </c>
      <c r="Q164" s="65" t="s">
        <v>277</v>
      </c>
      <c r="R164" s="70" t="e">
        <f t="shared" si="14"/>
        <v>#REF!</v>
      </c>
      <c r="S164" s="64" t="s">
        <v>243</v>
      </c>
      <c r="T164" s="122"/>
      <c r="U164" s="71" t="s">
        <v>244</v>
      </c>
      <c r="V164" s="72" t="e">
        <f xml:space="preserve"> _xlfn.TEXTJOIN(" ", FALSE,#REF!)</f>
        <v>#REF!</v>
      </c>
      <c r="W164" s="122"/>
      <c r="X164" s="71" t="s">
        <v>245</v>
      </c>
      <c r="Y164" s="72" t="e">
        <f xml:space="preserve"> _xlfn.TEXTJOIN(" ", FALSE,#REF!)</f>
        <v>#REF!</v>
      </c>
      <c r="Z164" s="122"/>
      <c r="AA164" s="71" t="s">
        <v>246</v>
      </c>
      <c r="AB164" s="72" t="e">
        <f xml:space="preserve"> _xlfn.TEXTJOIN(" ", FALSE,#REF!)</f>
        <v>#REF!</v>
      </c>
      <c r="AC164" s="122"/>
      <c r="AD164" s="71" t="s">
        <v>247</v>
      </c>
      <c r="AE164" s="72" t="e">
        <f xml:space="preserve"> _xlfn.TEXTJOIN(" ", FALSE,#REF!)</f>
        <v>#REF!</v>
      </c>
      <c r="AF164" s="122"/>
      <c r="AG164" s="71" t="s">
        <v>248</v>
      </c>
      <c r="AH164" s="73" t="e">
        <f xml:space="preserve"> _xlfn.TEXTJOIN(" ", FALSE,#REF!)</f>
        <v>#REF!</v>
      </c>
      <c r="AI164" s="122"/>
      <c r="AJ164" s="71" t="s">
        <v>249</v>
      </c>
      <c r="AK164" s="73" t="e">
        <f xml:space="preserve"> _xlfn.TEXTJOIN(" ", FALSE,#REF!)</f>
        <v>#REF!</v>
      </c>
      <c r="AL164" s="122"/>
      <c r="AM164" s="71" t="s">
        <v>250</v>
      </c>
      <c r="AN164" s="73" t="e">
        <f xml:space="preserve"> _xlfn.TEXTJOIN(" ", FALSE,#REF!)</f>
        <v>#REF!</v>
      </c>
      <c r="AO164" s="122"/>
      <c r="AP164" s="71" t="s">
        <v>251</v>
      </c>
      <c r="AQ164" s="72" t="e">
        <f xml:space="preserve"> _xlfn.TEXTJOIN(" ", FALSE,#REF!)</f>
        <v>#REF!</v>
      </c>
      <c r="AR164" s="122"/>
      <c r="AS164" s="71" t="s">
        <v>252</v>
      </c>
      <c r="AT164" s="72" t="e">
        <f xml:space="preserve"> _xlfn.TEXTJOIN(" ", FALSE,#REF!)</f>
        <v>#REF!</v>
      </c>
      <c r="AU164" s="122"/>
      <c r="AV164" s="71" t="s">
        <v>253</v>
      </c>
      <c r="AW164" s="73" t="e">
        <f xml:space="preserve"> _xlfn.TEXTJOIN(" ", FALSE,#REF!)</f>
        <v>#REF!</v>
      </c>
      <c r="AX164" s="122"/>
      <c r="AY164" s="71" t="s">
        <v>254</v>
      </c>
      <c r="AZ164" s="72" t="e">
        <f xml:space="preserve"> _xlfn.TEXTJOIN(" ", FALSE,#REF!)</f>
        <v>#REF!</v>
      </c>
      <c r="BA164" s="122"/>
      <c r="BB164" s="71" t="s">
        <v>255</v>
      </c>
      <c r="BC164" s="72" t="e">
        <f xml:space="preserve"> _xlfn.TEXTJOIN(" ", FALSE,#REF!)</f>
        <v>#REF!</v>
      </c>
      <c r="BD164" s="122"/>
      <c r="BE164" s="71" t="s">
        <v>256</v>
      </c>
      <c r="BF164" s="72" t="e">
        <f xml:space="preserve"> _xlfn.TEXTJOIN(" ", FALSE,#REF!)</f>
        <v>#REF!</v>
      </c>
      <c r="BG164" s="65" t="s">
        <v>277</v>
      </c>
      <c r="BH164" s="70" t="e">
        <f t="shared" si="15"/>
        <v>#REF!</v>
      </c>
      <c r="BI164" s="64" t="s">
        <v>257</v>
      </c>
      <c r="BJ164" s="122"/>
      <c r="BK164" s="71" t="s">
        <v>258</v>
      </c>
      <c r="BL164" s="74" t="str">
        <f>_xlfn.TEXTJOIN(" ", FALSE, 'Task 2a - Mitigating the Proble'!U164:AC164)</f>
        <v xml:space="preserve">1 1 1 1 0 1 0 0 </v>
      </c>
      <c r="BM164" s="65" t="s">
        <v>277</v>
      </c>
      <c r="BN164" s="70" t="str">
        <f t="shared" si="16"/>
        <v>[Details for Task 2a:]  /Question 12: 1 1 1 1 0 1 0 0  .</v>
      </c>
      <c r="BO164" s="64" t="s">
        <v>259</v>
      </c>
      <c r="BP164" s="122"/>
      <c r="BQ164" s="71" t="s">
        <v>260</v>
      </c>
      <c r="BR164" s="73" t="e">
        <f xml:space="preserve"> _xlfn.TEXTJOIN(" ", FALSE,#REF!)</f>
        <v>#REF!</v>
      </c>
      <c r="BS164" s="122"/>
      <c r="BT164" s="71" t="s">
        <v>261</v>
      </c>
      <c r="BU164" s="73" t="e">
        <f xml:space="preserve"> _xlfn.TEXTJOIN(" ", FALSE,#REF!)</f>
        <v>#REF!</v>
      </c>
      <c r="BV164" s="122"/>
      <c r="BW164" s="71" t="s">
        <v>262</v>
      </c>
      <c r="BX164" s="73" t="e">
        <f xml:space="preserve"> _xlfn.TEXTJOIN(" ", FALSE,#REF!)</f>
        <v>#REF!</v>
      </c>
      <c r="BY164" s="122"/>
      <c r="BZ164" s="71" t="s">
        <v>263</v>
      </c>
      <c r="CA164" s="73" t="e">
        <f xml:space="preserve"> _xlfn.TEXTJOIN(" ", FALSE,#REF!)</f>
        <v>#REF!</v>
      </c>
      <c r="CB164" s="122"/>
      <c r="CC164" s="71" t="s">
        <v>264</v>
      </c>
      <c r="CD164" s="73" t="e">
        <f xml:space="preserve"> _xlfn.TEXTJOIN(" ", FALSE,#REF!)</f>
        <v>#REF!</v>
      </c>
      <c r="CE164" s="122"/>
      <c r="CF164" s="71" t="s">
        <v>265</v>
      </c>
      <c r="CG164" s="73" t="e">
        <f xml:space="preserve"> _xlfn.TEXTJOIN(" ", FALSE,#REF!)</f>
        <v>#REF!</v>
      </c>
      <c r="CH164" s="122"/>
      <c r="CI164" s="74" t="s">
        <v>278</v>
      </c>
      <c r="CJ164" s="73" t="e">
        <f xml:space="preserve"> _xlfn.TEXTJOIN(" ", FALSE,#REF!)</f>
        <v>#REF!</v>
      </c>
      <c r="CK164" s="65" t="s">
        <v>277</v>
      </c>
      <c r="CL164" s="70" t="e">
        <f t="shared" si="17"/>
        <v>#REF!</v>
      </c>
      <c r="CM164" s="64" t="s">
        <v>267</v>
      </c>
      <c r="CN164" s="122"/>
      <c r="CO164" s="71" t="s">
        <v>268</v>
      </c>
      <c r="CP164" s="73" t="e">
        <f xml:space="preserve"> _xlfn.TEXTJOIN(" ", FALSE,#REF!)</f>
        <v>#REF!</v>
      </c>
      <c r="CQ164" s="122"/>
      <c r="CR164" s="71" t="s">
        <v>269</v>
      </c>
      <c r="CS164" s="73" t="e">
        <f xml:space="preserve"> _xlfn.TEXTJOIN(" ", FALSE,#REF!)</f>
        <v>#REF!</v>
      </c>
      <c r="CT164" s="122"/>
      <c r="CU164" s="71" t="s">
        <v>270</v>
      </c>
      <c r="CV164" s="72" t="e">
        <f xml:space="preserve"> _xlfn.TEXTJOIN(" ", FALSE,#REF!)</f>
        <v>#REF!</v>
      </c>
      <c r="CW164" s="122"/>
      <c r="CX164" s="71" t="s">
        <v>271</v>
      </c>
      <c r="CY164" s="72" t="e">
        <f xml:space="preserve"> _xlfn.TEXTJOIN(" ", FALSE,#REF!)</f>
        <v>#REF!</v>
      </c>
      <c r="CZ164" s="122"/>
      <c r="DA164" s="71" t="s">
        <v>272</v>
      </c>
      <c r="DB164" s="73" t="e">
        <f xml:space="preserve"> _xlfn.TEXTJOIN(" ", FALSE,#REF!)</f>
        <v>#REF!</v>
      </c>
      <c r="DC164" s="65" t="s">
        <v>277</v>
      </c>
      <c r="DD164" s="70" t="e">
        <f t="shared" si="18"/>
        <v>#REF!</v>
      </c>
      <c r="DE164" s="64" t="s">
        <v>273</v>
      </c>
      <c r="DF164" s="122"/>
      <c r="DG164" s="71" t="s">
        <v>274</v>
      </c>
      <c r="DH164" s="72" t="e">
        <f xml:space="preserve"> _xlfn.TEXTJOIN(" ", FALSE,#REF!)</f>
        <v>#REF!</v>
      </c>
      <c r="DI164" s="122"/>
      <c r="DJ164" s="71" t="s">
        <v>275</v>
      </c>
      <c r="DK164" s="73" t="e">
        <f xml:space="preserve"> _xlfn.TEXTJOIN(" ", FALSE,#REF!)</f>
        <v>#REF!</v>
      </c>
      <c r="DL164" s="65" t="s">
        <v>277</v>
      </c>
      <c r="DM164" s="70" t="e">
        <f t="shared" si="19"/>
        <v>#REF!</v>
      </c>
      <c r="DN164" s="70" t="e">
        <f t="shared" si="20"/>
        <v>#REF!</v>
      </c>
    </row>
    <row r="165" spans="1:118" ht="108" customHeight="1">
      <c r="A165" s="122" t="e">
        <f>Summary!A165</f>
        <v>#REF!</v>
      </c>
      <c r="B165" s="64" t="s">
        <v>233</v>
      </c>
      <c r="C165" s="115" t="e">
        <f>Summary!B165</f>
        <v>#REF!</v>
      </c>
      <c r="D165" s="122"/>
      <c r="E165" s="64" t="s">
        <v>235</v>
      </c>
      <c r="F165" s="133" t="e">
        <f>Summary!C165</f>
        <v>#REF!</v>
      </c>
      <c r="G165" s="64" t="s">
        <v>236</v>
      </c>
      <c r="H165" s="132" t="e">
        <f>Summary!D165</f>
        <v>#REF!</v>
      </c>
      <c r="I165" s="64" t="s">
        <v>237</v>
      </c>
      <c r="J165" s="66">
        <f>Summary!E165</f>
        <v>6</v>
      </c>
      <c r="K165" s="64" t="s">
        <v>238</v>
      </c>
      <c r="L165" s="133" t="e">
        <f>Summary!F165</f>
        <v>#REF!</v>
      </c>
      <c r="M165" s="64" t="s">
        <v>239</v>
      </c>
      <c r="N165" s="132" t="e">
        <f>Summary!G165</f>
        <v>#REF!</v>
      </c>
      <c r="O165" s="64" t="s">
        <v>240</v>
      </c>
      <c r="P165" s="132" t="e">
        <f>Summary!H165</f>
        <v>#REF!</v>
      </c>
      <c r="Q165" s="65" t="s">
        <v>277</v>
      </c>
      <c r="R165" s="70" t="e">
        <f t="shared" si="14"/>
        <v>#REF!</v>
      </c>
      <c r="S165" s="64" t="s">
        <v>243</v>
      </c>
      <c r="T165" s="122"/>
      <c r="U165" s="71" t="s">
        <v>244</v>
      </c>
      <c r="V165" s="72" t="e">
        <f xml:space="preserve"> _xlfn.TEXTJOIN(" ", FALSE,#REF!)</f>
        <v>#REF!</v>
      </c>
      <c r="W165" s="122"/>
      <c r="X165" s="71" t="s">
        <v>245</v>
      </c>
      <c r="Y165" s="72" t="e">
        <f xml:space="preserve"> _xlfn.TEXTJOIN(" ", FALSE,#REF!)</f>
        <v>#REF!</v>
      </c>
      <c r="Z165" s="122"/>
      <c r="AA165" s="71" t="s">
        <v>246</v>
      </c>
      <c r="AB165" s="72" t="e">
        <f xml:space="preserve"> _xlfn.TEXTJOIN(" ", FALSE,#REF!)</f>
        <v>#REF!</v>
      </c>
      <c r="AC165" s="122"/>
      <c r="AD165" s="71" t="s">
        <v>247</v>
      </c>
      <c r="AE165" s="72" t="e">
        <f xml:space="preserve"> _xlfn.TEXTJOIN(" ", FALSE,#REF!)</f>
        <v>#REF!</v>
      </c>
      <c r="AF165" s="122"/>
      <c r="AG165" s="71" t="s">
        <v>248</v>
      </c>
      <c r="AH165" s="73" t="e">
        <f xml:space="preserve"> _xlfn.TEXTJOIN(" ", FALSE,#REF!)</f>
        <v>#REF!</v>
      </c>
      <c r="AI165" s="122"/>
      <c r="AJ165" s="71" t="s">
        <v>249</v>
      </c>
      <c r="AK165" s="73" t="e">
        <f xml:space="preserve"> _xlfn.TEXTJOIN(" ", FALSE,#REF!)</f>
        <v>#REF!</v>
      </c>
      <c r="AL165" s="122"/>
      <c r="AM165" s="71" t="s">
        <v>250</v>
      </c>
      <c r="AN165" s="73" t="e">
        <f xml:space="preserve"> _xlfn.TEXTJOIN(" ", FALSE,#REF!)</f>
        <v>#REF!</v>
      </c>
      <c r="AO165" s="122"/>
      <c r="AP165" s="71" t="s">
        <v>251</v>
      </c>
      <c r="AQ165" s="72" t="e">
        <f xml:space="preserve"> _xlfn.TEXTJOIN(" ", FALSE,#REF!)</f>
        <v>#REF!</v>
      </c>
      <c r="AR165" s="122"/>
      <c r="AS165" s="71" t="s">
        <v>252</v>
      </c>
      <c r="AT165" s="72" t="e">
        <f xml:space="preserve"> _xlfn.TEXTJOIN(" ", FALSE,#REF!)</f>
        <v>#REF!</v>
      </c>
      <c r="AU165" s="122"/>
      <c r="AV165" s="71" t="s">
        <v>253</v>
      </c>
      <c r="AW165" s="73" t="e">
        <f xml:space="preserve"> _xlfn.TEXTJOIN(" ", FALSE,#REF!)</f>
        <v>#REF!</v>
      </c>
      <c r="AX165" s="122"/>
      <c r="AY165" s="71" t="s">
        <v>254</v>
      </c>
      <c r="AZ165" s="72" t="e">
        <f xml:space="preserve"> _xlfn.TEXTJOIN(" ", FALSE,#REF!)</f>
        <v>#REF!</v>
      </c>
      <c r="BA165" s="122"/>
      <c r="BB165" s="71" t="s">
        <v>255</v>
      </c>
      <c r="BC165" s="72" t="e">
        <f xml:space="preserve"> _xlfn.TEXTJOIN(" ", FALSE,#REF!)</f>
        <v>#REF!</v>
      </c>
      <c r="BD165" s="122"/>
      <c r="BE165" s="71" t="s">
        <v>256</v>
      </c>
      <c r="BF165" s="72" t="e">
        <f xml:space="preserve"> _xlfn.TEXTJOIN(" ", FALSE,#REF!)</f>
        <v>#REF!</v>
      </c>
      <c r="BG165" s="65" t="s">
        <v>277</v>
      </c>
      <c r="BH165" s="70" t="e">
        <f t="shared" si="15"/>
        <v>#REF!</v>
      </c>
      <c r="BI165" s="64" t="s">
        <v>257</v>
      </c>
      <c r="BJ165" s="122"/>
      <c r="BK165" s="71" t="s">
        <v>258</v>
      </c>
      <c r="BL165" s="74" t="str">
        <f>_xlfn.TEXTJOIN(" ", FALSE, 'Task 2a - Mitigating the Proble'!U165:AC165)</f>
        <v xml:space="preserve">1 0 1 1 0 1 0 0 </v>
      </c>
      <c r="BM165" s="65" t="s">
        <v>277</v>
      </c>
      <c r="BN165" s="70" t="str">
        <f t="shared" si="16"/>
        <v>[Details for Task 2a:]  /Question 12: 1 0 1 1 0 1 0 0  .</v>
      </c>
      <c r="BO165" s="64" t="s">
        <v>259</v>
      </c>
      <c r="BP165" s="122"/>
      <c r="BQ165" s="71" t="s">
        <v>260</v>
      </c>
      <c r="BR165" s="73" t="e">
        <f xml:space="preserve"> _xlfn.TEXTJOIN(" ", FALSE,#REF!)</f>
        <v>#REF!</v>
      </c>
      <c r="BS165" s="122"/>
      <c r="BT165" s="71" t="s">
        <v>261</v>
      </c>
      <c r="BU165" s="73" t="e">
        <f xml:space="preserve"> _xlfn.TEXTJOIN(" ", FALSE,#REF!)</f>
        <v>#REF!</v>
      </c>
      <c r="BV165" s="122"/>
      <c r="BW165" s="71" t="s">
        <v>262</v>
      </c>
      <c r="BX165" s="73" t="e">
        <f xml:space="preserve"> _xlfn.TEXTJOIN(" ", FALSE,#REF!)</f>
        <v>#REF!</v>
      </c>
      <c r="BY165" s="122"/>
      <c r="BZ165" s="71" t="s">
        <v>263</v>
      </c>
      <c r="CA165" s="73" t="e">
        <f xml:space="preserve"> _xlfn.TEXTJOIN(" ", FALSE,#REF!)</f>
        <v>#REF!</v>
      </c>
      <c r="CB165" s="122"/>
      <c r="CC165" s="71" t="s">
        <v>264</v>
      </c>
      <c r="CD165" s="73" t="e">
        <f xml:space="preserve"> _xlfn.TEXTJOIN(" ", FALSE,#REF!)</f>
        <v>#REF!</v>
      </c>
      <c r="CE165" s="122"/>
      <c r="CF165" s="71" t="s">
        <v>265</v>
      </c>
      <c r="CG165" s="73" t="e">
        <f xml:space="preserve"> _xlfn.TEXTJOIN(" ", FALSE,#REF!)</f>
        <v>#REF!</v>
      </c>
      <c r="CH165" s="122"/>
      <c r="CI165" s="74" t="s">
        <v>278</v>
      </c>
      <c r="CJ165" s="73" t="e">
        <f xml:space="preserve"> _xlfn.TEXTJOIN(" ", FALSE,#REF!)</f>
        <v>#REF!</v>
      </c>
      <c r="CK165" s="65" t="s">
        <v>277</v>
      </c>
      <c r="CL165" s="116" t="e">
        <f t="shared" si="17"/>
        <v>#REF!</v>
      </c>
      <c r="CM165" s="64" t="s">
        <v>267</v>
      </c>
      <c r="CN165" s="122"/>
      <c r="CO165" s="71" t="s">
        <v>268</v>
      </c>
      <c r="CP165" s="73" t="e">
        <f xml:space="preserve"> _xlfn.TEXTJOIN(" ", FALSE,#REF!)</f>
        <v>#REF!</v>
      </c>
      <c r="CQ165" s="122"/>
      <c r="CR165" s="71" t="s">
        <v>269</v>
      </c>
      <c r="CS165" s="73" t="e">
        <f xml:space="preserve"> _xlfn.TEXTJOIN(" ", FALSE,#REF!)</f>
        <v>#REF!</v>
      </c>
      <c r="CT165" s="122"/>
      <c r="CU165" s="71" t="s">
        <v>270</v>
      </c>
      <c r="CV165" s="72" t="e">
        <f xml:space="preserve"> _xlfn.TEXTJOIN(" ", FALSE,#REF!)</f>
        <v>#REF!</v>
      </c>
      <c r="CW165" s="122"/>
      <c r="CX165" s="71" t="s">
        <v>271</v>
      </c>
      <c r="CY165" s="72" t="e">
        <f xml:space="preserve"> _xlfn.TEXTJOIN(" ", FALSE,#REF!)</f>
        <v>#REF!</v>
      </c>
      <c r="CZ165" s="122"/>
      <c r="DA165" s="71" t="s">
        <v>272</v>
      </c>
      <c r="DB165" s="73" t="e">
        <f xml:space="preserve"> _xlfn.TEXTJOIN(" ", FALSE,#REF!)</f>
        <v>#REF!</v>
      </c>
      <c r="DC165" s="65" t="s">
        <v>277</v>
      </c>
      <c r="DD165" s="70" t="e">
        <f t="shared" si="18"/>
        <v>#REF!</v>
      </c>
      <c r="DE165" s="64" t="s">
        <v>273</v>
      </c>
      <c r="DF165" s="122"/>
      <c r="DG165" s="71" t="s">
        <v>274</v>
      </c>
      <c r="DH165" s="72" t="e">
        <f xml:space="preserve"> _xlfn.TEXTJOIN(" ", FALSE,#REF!)</f>
        <v>#REF!</v>
      </c>
      <c r="DI165" s="122"/>
      <c r="DJ165" s="71" t="s">
        <v>275</v>
      </c>
      <c r="DK165" s="73" t="e">
        <f xml:space="preserve"> _xlfn.TEXTJOIN(" ", FALSE,#REF!)</f>
        <v>#REF!</v>
      </c>
      <c r="DL165" s="65" t="s">
        <v>277</v>
      </c>
      <c r="DM165" s="70" t="e">
        <f t="shared" si="19"/>
        <v>#REF!</v>
      </c>
      <c r="DN165" s="70" t="e">
        <f t="shared" si="20"/>
        <v>#REF!</v>
      </c>
    </row>
    <row r="166" spans="1:118" ht="108" customHeight="1">
      <c r="A166" s="122" t="e">
        <f>Summary!A166</f>
        <v>#REF!</v>
      </c>
      <c r="B166" s="64" t="s">
        <v>233</v>
      </c>
      <c r="C166" s="65" t="e">
        <f>Summary!B166</f>
        <v>#REF!</v>
      </c>
      <c r="D166" s="122"/>
      <c r="E166" s="64" t="s">
        <v>235</v>
      </c>
      <c r="F166" s="132" t="e">
        <f>Summary!C166</f>
        <v>#REF!</v>
      </c>
      <c r="G166" s="64" t="s">
        <v>236</v>
      </c>
      <c r="H166" s="132" t="e">
        <f>Summary!D166</f>
        <v>#REF!</v>
      </c>
      <c r="I166" s="64" t="s">
        <v>237</v>
      </c>
      <c r="J166" s="66">
        <f>Summary!E166</f>
        <v>9</v>
      </c>
      <c r="K166" s="64" t="s">
        <v>238</v>
      </c>
      <c r="L166" s="132" t="e">
        <f>Summary!F166</f>
        <v>#REF!</v>
      </c>
      <c r="M166" s="64" t="s">
        <v>239</v>
      </c>
      <c r="N166" s="132" t="e">
        <f>Summary!G166</f>
        <v>#REF!</v>
      </c>
      <c r="O166" s="64" t="s">
        <v>240</v>
      </c>
      <c r="P166" s="132" t="e">
        <f>Summary!H166</f>
        <v>#REF!</v>
      </c>
      <c r="Q166" s="65" t="s">
        <v>277</v>
      </c>
      <c r="R166" s="70" t="e">
        <f t="shared" si="14"/>
        <v>#REF!</v>
      </c>
      <c r="S166" s="64" t="s">
        <v>243</v>
      </c>
      <c r="T166" s="122"/>
      <c r="U166" s="71" t="s">
        <v>244</v>
      </c>
      <c r="V166" s="72" t="e">
        <f xml:space="preserve"> _xlfn.TEXTJOIN(" ", FALSE,#REF!)</f>
        <v>#REF!</v>
      </c>
      <c r="W166" s="122"/>
      <c r="X166" s="71" t="s">
        <v>245</v>
      </c>
      <c r="Y166" s="72" t="e">
        <f xml:space="preserve"> _xlfn.TEXTJOIN(" ", FALSE,#REF!)</f>
        <v>#REF!</v>
      </c>
      <c r="Z166" s="122"/>
      <c r="AA166" s="71" t="s">
        <v>246</v>
      </c>
      <c r="AB166" s="72" t="e">
        <f xml:space="preserve"> _xlfn.TEXTJOIN(" ", FALSE,#REF!)</f>
        <v>#REF!</v>
      </c>
      <c r="AC166" s="122"/>
      <c r="AD166" s="71" t="s">
        <v>247</v>
      </c>
      <c r="AE166" s="72" t="e">
        <f xml:space="preserve"> _xlfn.TEXTJOIN(" ", FALSE,#REF!)</f>
        <v>#REF!</v>
      </c>
      <c r="AF166" s="122"/>
      <c r="AG166" s="71" t="s">
        <v>248</v>
      </c>
      <c r="AH166" s="73" t="e">
        <f xml:space="preserve"> _xlfn.TEXTJOIN(" ", FALSE,#REF!)</f>
        <v>#REF!</v>
      </c>
      <c r="AI166" s="122"/>
      <c r="AJ166" s="71" t="s">
        <v>249</v>
      </c>
      <c r="AK166" s="73" t="e">
        <f xml:space="preserve"> _xlfn.TEXTJOIN(" ", FALSE,#REF!)</f>
        <v>#REF!</v>
      </c>
      <c r="AL166" s="122"/>
      <c r="AM166" s="71" t="s">
        <v>250</v>
      </c>
      <c r="AN166" s="73" t="e">
        <f xml:space="preserve"> _xlfn.TEXTJOIN(" ", FALSE,#REF!)</f>
        <v>#REF!</v>
      </c>
      <c r="AO166" s="122"/>
      <c r="AP166" s="71" t="s">
        <v>251</v>
      </c>
      <c r="AQ166" s="72" t="e">
        <f xml:space="preserve"> _xlfn.TEXTJOIN(" ", FALSE,#REF!)</f>
        <v>#REF!</v>
      </c>
      <c r="AR166" s="122"/>
      <c r="AS166" s="71" t="s">
        <v>252</v>
      </c>
      <c r="AT166" s="72" t="e">
        <f xml:space="preserve"> _xlfn.TEXTJOIN(" ", FALSE,#REF!)</f>
        <v>#REF!</v>
      </c>
      <c r="AU166" s="122"/>
      <c r="AV166" s="71" t="s">
        <v>253</v>
      </c>
      <c r="AW166" s="73" t="e">
        <f xml:space="preserve"> _xlfn.TEXTJOIN(" ", FALSE,#REF!)</f>
        <v>#REF!</v>
      </c>
      <c r="AX166" s="122"/>
      <c r="AY166" s="71" t="s">
        <v>254</v>
      </c>
      <c r="AZ166" s="72" t="e">
        <f xml:space="preserve"> _xlfn.TEXTJOIN(" ", FALSE,#REF!)</f>
        <v>#REF!</v>
      </c>
      <c r="BA166" s="122"/>
      <c r="BB166" s="71" t="s">
        <v>255</v>
      </c>
      <c r="BC166" s="72" t="e">
        <f xml:space="preserve"> _xlfn.TEXTJOIN(" ", FALSE,#REF!)</f>
        <v>#REF!</v>
      </c>
      <c r="BD166" s="122"/>
      <c r="BE166" s="71" t="s">
        <v>256</v>
      </c>
      <c r="BF166" s="72" t="e">
        <f xml:space="preserve"> _xlfn.TEXTJOIN(" ", FALSE,#REF!)</f>
        <v>#REF!</v>
      </c>
      <c r="BG166" s="65" t="s">
        <v>277</v>
      </c>
      <c r="BH166" s="70" t="e">
        <f t="shared" si="15"/>
        <v>#REF!</v>
      </c>
      <c r="BI166" s="64" t="s">
        <v>257</v>
      </c>
      <c r="BJ166" s="122"/>
      <c r="BK166" s="71" t="s">
        <v>258</v>
      </c>
      <c r="BL166" s="74" t="str">
        <f>_xlfn.TEXTJOIN(" ", FALSE, 'Task 2a - Mitigating the Proble'!U166:AC166)</f>
        <v>1 1 1 1 1 1 0 1 Good job mentioning properties of elastic net.</v>
      </c>
      <c r="BM166" s="65" t="s">
        <v>277</v>
      </c>
      <c r="BN166" s="70" t="str">
        <f t="shared" si="16"/>
        <v>[Details for Task 2a:]  /Question 12: 1 1 1 1 1 1 0 1 Good job mentioning properties of elastic net. .</v>
      </c>
      <c r="BO166" s="64" t="s">
        <v>259</v>
      </c>
      <c r="BP166" s="122"/>
      <c r="BQ166" s="71" t="s">
        <v>260</v>
      </c>
      <c r="BR166" s="73" t="e">
        <f xml:space="preserve"> _xlfn.TEXTJOIN(" ", FALSE,#REF!)</f>
        <v>#REF!</v>
      </c>
      <c r="BS166" s="122"/>
      <c r="BT166" s="71" t="s">
        <v>261</v>
      </c>
      <c r="BU166" s="73" t="e">
        <f xml:space="preserve"> _xlfn.TEXTJOIN(" ", FALSE,#REF!)</f>
        <v>#REF!</v>
      </c>
      <c r="BV166" s="122"/>
      <c r="BW166" s="71" t="s">
        <v>262</v>
      </c>
      <c r="BX166" s="73" t="e">
        <f xml:space="preserve"> _xlfn.TEXTJOIN(" ", FALSE,#REF!)</f>
        <v>#REF!</v>
      </c>
      <c r="BY166" s="122"/>
      <c r="BZ166" s="71" t="s">
        <v>263</v>
      </c>
      <c r="CA166" s="73" t="e">
        <f xml:space="preserve"> _xlfn.TEXTJOIN(" ", FALSE,#REF!)</f>
        <v>#REF!</v>
      </c>
      <c r="CB166" s="122"/>
      <c r="CC166" s="71" t="s">
        <v>264</v>
      </c>
      <c r="CD166" s="73" t="e">
        <f xml:space="preserve"> _xlfn.TEXTJOIN(" ", FALSE,#REF!)</f>
        <v>#REF!</v>
      </c>
      <c r="CE166" s="122"/>
      <c r="CF166" s="71" t="s">
        <v>265</v>
      </c>
      <c r="CG166" s="73" t="e">
        <f xml:space="preserve"> _xlfn.TEXTJOIN(" ", FALSE,#REF!)</f>
        <v>#REF!</v>
      </c>
      <c r="CH166" s="122"/>
      <c r="CI166" s="74" t="s">
        <v>278</v>
      </c>
      <c r="CJ166" s="73" t="e">
        <f xml:space="preserve"> _xlfn.TEXTJOIN(" ", FALSE,#REF!)</f>
        <v>#REF!</v>
      </c>
      <c r="CK166" s="65" t="s">
        <v>277</v>
      </c>
      <c r="CL166" s="70" t="e">
        <f t="shared" si="17"/>
        <v>#REF!</v>
      </c>
      <c r="CM166" s="64" t="s">
        <v>267</v>
      </c>
      <c r="CN166" s="122"/>
      <c r="CO166" s="71" t="s">
        <v>268</v>
      </c>
      <c r="CP166" s="73" t="e">
        <f xml:space="preserve"> _xlfn.TEXTJOIN(" ", FALSE,#REF!)</f>
        <v>#REF!</v>
      </c>
      <c r="CQ166" s="122"/>
      <c r="CR166" s="71" t="s">
        <v>269</v>
      </c>
      <c r="CS166" s="73" t="e">
        <f xml:space="preserve"> _xlfn.TEXTJOIN(" ", FALSE,#REF!)</f>
        <v>#REF!</v>
      </c>
      <c r="CT166" s="122"/>
      <c r="CU166" s="71" t="s">
        <v>270</v>
      </c>
      <c r="CV166" s="72" t="e">
        <f xml:space="preserve"> _xlfn.TEXTJOIN(" ", FALSE,#REF!)</f>
        <v>#REF!</v>
      </c>
      <c r="CW166" s="122"/>
      <c r="CX166" s="71" t="s">
        <v>271</v>
      </c>
      <c r="CY166" s="72" t="e">
        <f xml:space="preserve"> _xlfn.TEXTJOIN(" ", FALSE,#REF!)</f>
        <v>#REF!</v>
      </c>
      <c r="CZ166" s="122"/>
      <c r="DA166" s="71" t="s">
        <v>272</v>
      </c>
      <c r="DB166" s="73" t="e">
        <f xml:space="preserve"> _xlfn.TEXTJOIN(" ", FALSE,#REF!)</f>
        <v>#REF!</v>
      </c>
      <c r="DC166" s="65" t="s">
        <v>277</v>
      </c>
      <c r="DD166" s="70" t="e">
        <f t="shared" si="18"/>
        <v>#REF!</v>
      </c>
      <c r="DE166" s="64" t="s">
        <v>273</v>
      </c>
      <c r="DF166" s="122"/>
      <c r="DG166" s="71" t="s">
        <v>274</v>
      </c>
      <c r="DH166" s="72" t="e">
        <f xml:space="preserve"> _xlfn.TEXTJOIN(" ", FALSE,#REF!)</f>
        <v>#REF!</v>
      </c>
      <c r="DI166" s="122"/>
      <c r="DJ166" s="71" t="s">
        <v>275</v>
      </c>
      <c r="DK166" s="73" t="e">
        <f xml:space="preserve"> _xlfn.TEXTJOIN(" ", FALSE,#REF!)</f>
        <v>#REF!</v>
      </c>
      <c r="DL166" s="65" t="s">
        <v>277</v>
      </c>
      <c r="DM166" s="70" t="e">
        <f t="shared" si="19"/>
        <v>#REF!</v>
      </c>
      <c r="DN166" s="70" t="e">
        <f t="shared" si="20"/>
        <v>#REF!</v>
      </c>
    </row>
    <row r="167" spans="1:118" ht="108" customHeight="1">
      <c r="A167" s="122" t="e">
        <f>Summary!A167</f>
        <v>#REF!</v>
      </c>
      <c r="B167" s="64" t="s">
        <v>233</v>
      </c>
      <c r="C167" s="65" t="e">
        <f>Summary!B167</f>
        <v>#REF!</v>
      </c>
      <c r="D167" s="122"/>
      <c r="E167" s="64" t="s">
        <v>235</v>
      </c>
      <c r="F167" s="132" t="e">
        <f>Summary!C167</f>
        <v>#REF!</v>
      </c>
      <c r="G167" s="64" t="s">
        <v>236</v>
      </c>
      <c r="H167" s="132" t="e">
        <f>Summary!D167</f>
        <v>#REF!</v>
      </c>
      <c r="I167" s="64" t="s">
        <v>237</v>
      </c>
      <c r="J167" s="66">
        <f>Summary!E167</f>
        <v>6</v>
      </c>
      <c r="K167" s="64" t="s">
        <v>238</v>
      </c>
      <c r="L167" s="132" t="e">
        <f>Summary!F167</f>
        <v>#REF!</v>
      </c>
      <c r="M167" s="64" t="s">
        <v>239</v>
      </c>
      <c r="N167" s="132" t="e">
        <f>Summary!G167</f>
        <v>#REF!</v>
      </c>
      <c r="O167" s="64" t="s">
        <v>240</v>
      </c>
      <c r="P167" s="132" t="e">
        <f>Summary!H167</f>
        <v>#REF!</v>
      </c>
      <c r="Q167" s="65" t="s">
        <v>277</v>
      </c>
      <c r="R167" s="70" t="e">
        <f t="shared" si="14"/>
        <v>#REF!</v>
      </c>
      <c r="S167" s="64" t="s">
        <v>243</v>
      </c>
      <c r="T167" s="122"/>
      <c r="U167" s="71" t="s">
        <v>244</v>
      </c>
      <c r="V167" s="72" t="e">
        <f xml:space="preserve"> _xlfn.TEXTJOIN(" ", FALSE,#REF!)</f>
        <v>#REF!</v>
      </c>
      <c r="W167" s="122"/>
      <c r="X167" s="71" t="s">
        <v>245</v>
      </c>
      <c r="Y167" s="72" t="e">
        <f xml:space="preserve"> _xlfn.TEXTJOIN(" ", FALSE,#REF!)</f>
        <v>#REF!</v>
      </c>
      <c r="Z167" s="122"/>
      <c r="AA167" s="71" t="s">
        <v>246</v>
      </c>
      <c r="AB167" s="72" t="e">
        <f xml:space="preserve"> _xlfn.TEXTJOIN(" ", FALSE,#REF!)</f>
        <v>#REF!</v>
      </c>
      <c r="AC167" s="122"/>
      <c r="AD167" s="71" t="s">
        <v>247</v>
      </c>
      <c r="AE167" s="72" t="e">
        <f xml:space="preserve"> _xlfn.TEXTJOIN(" ", FALSE,#REF!)</f>
        <v>#REF!</v>
      </c>
      <c r="AF167" s="122"/>
      <c r="AG167" s="71" t="s">
        <v>248</v>
      </c>
      <c r="AH167" s="73" t="e">
        <f xml:space="preserve"> _xlfn.TEXTJOIN(" ", FALSE,#REF!)</f>
        <v>#REF!</v>
      </c>
      <c r="AI167" s="122"/>
      <c r="AJ167" s="71" t="s">
        <v>249</v>
      </c>
      <c r="AK167" s="73" t="e">
        <f xml:space="preserve"> _xlfn.TEXTJOIN(" ", FALSE,#REF!)</f>
        <v>#REF!</v>
      </c>
      <c r="AL167" s="122"/>
      <c r="AM167" s="71" t="s">
        <v>250</v>
      </c>
      <c r="AN167" s="73" t="e">
        <f xml:space="preserve"> _xlfn.TEXTJOIN(" ", FALSE,#REF!)</f>
        <v>#REF!</v>
      </c>
      <c r="AO167" s="122"/>
      <c r="AP167" s="71" t="s">
        <v>251</v>
      </c>
      <c r="AQ167" s="72" t="e">
        <f xml:space="preserve"> _xlfn.TEXTJOIN(" ", FALSE,#REF!)</f>
        <v>#REF!</v>
      </c>
      <c r="AR167" s="122"/>
      <c r="AS167" s="71" t="s">
        <v>252</v>
      </c>
      <c r="AT167" s="72" t="e">
        <f xml:space="preserve"> _xlfn.TEXTJOIN(" ", FALSE,#REF!)</f>
        <v>#REF!</v>
      </c>
      <c r="AU167" s="122"/>
      <c r="AV167" s="71" t="s">
        <v>253</v>
      </c>
      <c r="AW167" s="73" t="e">
        <f xml:space="preserve"> _xlfn.TEXTJOIN(" ", FALSE,#REF!)</f>
        <v>#REF!</v>
      </c>
      <c r="AX167" s="122"/>
      <c r="AY167" s="71" t="s">
        <v>254</v>
      </c>
      <c r="AZ167" s="72" t="e">
        <f xml:space="preserve"> _xlfn.TEXTJOIN(" ", FALSE,#REF!)</f>
        <v>#REF!</v>
      </c>
      <c r="BA167" s="122"/>
      <c r="BB167" s="71" t="s">
        <v>255</v>
      </c>
      <c r="BC167" s="72" t="e">
        <f xml:space="preserve"> _xlfn.TEXTJOIN(" ", FALSE,#REF!)</f>
        <v>#REF!</v>
      </c>
      <c r="BD167" s="122"/>
      <c r="BE167" s="71" t="s">
        <v>256</v>
      </c>
      <c r="BF167" s="72" t="e">
        <f xml:space="preserve"> _xlfn.TEXTJOIN(" ", FALSE,#REF!)</f>
        <v>#REF!</v>
      </c>
      <c r="BG167" s="65" t="s">
        <v>277</v>
      </c>
      <c r="BH167" s="70" t="e">
        <f t="shared" si="15"/>
        <v>#REF!</v>
      </c>
      <c r="BI167" s="64" t="s">
        <v>257</v>
      </c>
      <c r="BJ167" s="122"/>
      <c r="BK167" s="71" t="s">
        <v>258</v>
      </c>
      <c r="BL167" s="74" t="str">
        <f>_xlfn.TEXTJOIN(" ", FALSE, 'Task 2a - Mitigating the Proble'!U167:AC167)</f>
        <v xml:space="preserve">1 0 0 0 1 1 0 0 </v>
      </c>
      <c r="BM167" s="65" t="s">
        <v>277</v>
      </c>
      <c r="BN167" s="70" t="str">
        <f t="shared" si="16"/>
        <v>[Details for Task 2a:]  /Question 12: 1 0 0 0 1 1 0 0  .</v>
      </c>
      <c r="BO167" s="64" t="s">
        <v>259</v>
      </c>
      <c r="BP167" s="122"/>
      <c r="BQ167" s="71" t="s">
        <v>260</v>
      </c>
      <c r="BR167" s="73" t="e">
        <f xml:space="preserve"> _xlfn.TEXTJOIN(" ", FALSE,#REF!)</f>
        <v>#REF!</v>
      </c>
      <c r="BS167" s="122"/>
      <c r="BT167" s="71" t="s">
        <v>261</v>
      </c>
      <c r="BU167" s="73" t="e">
        <f xml:space="preserve"> _xlfn.TEXTJOIN(" ", FALSE,#REF!)</f>
        <v>#REF!</v>
      </c>
      <c r="BV167" s="122"/>
      <c r="BW167" s="71" t="s">
        <v>262</v>
      </c>
      <c r="BX167" s="73" t="e">
        <f xml:space="preserve"> _xlfn.TEXTJOIN(" ", FALSE,#REF!)</f>
        <v>#REF!</v>
      </c>
      <c r="BY167" s="122"/>
      <c r="BZ167" s="71" t="s">
        <v>263</v>
      </c>
      <c r="CA167" s="73" t="e">
        <f xml:space="preserve"> _xlfn.TEXTJOIN(" ", FALSE,#REF!)</f>
        <v>#REF!</v>
      </c>
      <c r="CB167" s="122"/>
      <c r="CC167" s="71" t="s">
        <v>264</v>
      </c>
      <c r="CD167" s="73" t="e">
        <f xml:space="preserve"> _xlfn.TEXTJOIN(" ", FALSE,#REF!)</f>
        <v>#REF!</v>
      </c>
      <c r="CE167" s="122"/>
      <c r="CF167" s="71" t="s">
        <v>265</v>
      </c>
      <c r="CG167" s="73" t="e">
        <f xml:space="preserve"> _xlfn.TEXTJOIN(" ", FALSE,#REF!)</f>
        <v>#REF!</v>
      </c>
      <c r="CH167" s="122"/>
      <c r="CI167" s="74" t="s">
        <v>278</v>
      </c>
      <c r="CJ167" s="73" t="e">
        <f xml:space="preserve"> _xlfn.TEXTJOIN(" ", FALSE,#REF!)</f>
        <v>#REF!</v>
      </c>
      <c r="CK167" s="65" t="s">
        <v>277</v>
      </c>
      <c r="CL167" s="70" t="e">
        <f t="shared" si="17"/>
        <v>#REF!</v>
      </c>
      <c r="CM167" s="64" t="s">
        <v>267</v>
      </c>
      <c r="CN167" s="122"/>
      <c r="CO167" s="71" t="s">
        <v>268</v>
      </c>
      <c r="CP167" s="73" t="e">
        <f xml:space="preserve"> _xlfn.TEXTJOIN(" ", FALSE,#REF!)</f>
        <v>#REF!</v>
      </c>
      <c r="CQ167" s="122"/>
      <c r="CR167" s="71" t="s">
        <v>269</v>
      </c>
      <c r="CS167" s="73" t="e">
        <f xml:space="preserve"> _xlfn.TEXTJOIN(" ", FALSE,#REF!)</f>
        <v>#REF!</v>
      </c>
      <c r="CT167" s="122"/>
      <c r="CU167" s="71" t="s">
        <v>270</v>
      </c>
      <c r="CV167" s="72" t="e">
        <f xml:space="preserve"> _xlfn.TEXTJOIN(" ", FALSE,#REF!)</f>
        <v>#REF!</v>
      </c>
      <c r="CW167" s="122"/>
      <c r="CX167" s="71" t="s">
        <v>271</v>
      </c>
      <c r="CY167" s="72" t="e">
        <f xml:space="preserve"> _xlfn.TEXTJOIN(" ", FALSE,#REF!)</f>
        <v>#REF!</v>
      </c>
      <c r="CZ167" s="122"/>
      <c r="DA167" s="71" t="s">
        <v>272</v>
      </c>
      <c r="DB167" s="73" t="e">
        <f xml:space="preserve"> _xlfn.TEXTJOIN(" ", FALSE,#REF!)</f>
        <v>#REF!</v>
      </c>
      <c r="DC167" s="65" t="s">
        <v>277</v>
      </c>
      <c r="DD167" s="70" t="e">
        <f t="shared" si="18"/>
        <v>#REF!</v>
      </c>
      <c r="DE167" s="64" t="s">
        <v>273</v>
      </c>
      <c r="DF167" s="122"/>
      <c r="DG167" s="71" t="s">
        <v>274</v>
      </c>
      <c r="DH167" s="72" t="e">
        <f xml:space="preserve"> _xlfn.TEXTJOIN(" ", FALSE,#REF!)</f>
        <v>#REF!</v>
      </c>
      <c r="DI167" s="122"/>
      <c r="DJ167" s="71" t="s">
        <v>275</v>
      </c>
      <c r="DK167" s="73" t="e">
        <f xml:space="preserve"> _xlfn.TEXTJOIN(" ", FALSE,#REF!)</f>
        <v>#REF!</v>
      </c>
      <c r="DL167" s="65" t="s">
        <v>277</v>
      </c>
      <c r="DM167" s="70" t="e">
        <f t="shared" si="19"/>
        <v>#REF!</v>
      </c>
      <c r="DN167" s="70" t="e">
        <f t="shared" si="20"/>
        <v>#REF!</v>
      </c>
    </row>
    <row r="168" spans="1:118" ht="108" customHeight="1">
      <c r="A168" s="122" t="e">
        <f>Summary!A168</f>
        <v>#REF!</v>
      </c>
      <c r="B168" s="64" t="s">
        <v>233</v>
      </c>
      <c r="C168" s="65" t="e">
        <f>Summary!B168</f>
        <v>#REF!</v>
      </c>
      <c r="D168" s="122"/>
      <c r="E168" s="64" t="s">
        <v>235</v>
      </c>
      <c r="F168" s="132" t="e">
        <f>Summary!C168</f>
        <v>#REF!</v>
      </c>
      <c r="G168" s="64" t="s">
        <v>236</v>
      </c>
      <c r="H168" s="132" t="e">
        <f>Summary!D168</f>
        <v>#REF!</v>
      </c>
      <c r="I168" s="64" t="s">
        <v>237</v>
      </c>
      <c r="J168" s="66">
        <f>Summary!E168</f>
        <v>7</v>
      </c>
      <c r="K168" s="64" t="s">
        <v>238</v>
      </c>
      <c r="L168" s="132" t="e">
        <f>Summary!F168</f>
        <v>#REF!</v>
      </c>
      <c r="M168" s="64" t="s">
        <v>239</v>
      </c>
      <c r="N168" s="132" t="e">
        <f>Summary!G168</f>
        <v>#REF!</v>
      </c>
      <c r="O168" s="64" t="s">
        <v>240</v>
      </c>
      <c r="P168" s="132" t="e">
        <f>Summary!H168</f>
        <v>#REF!</v>
      </c>
      <c r="Q168" s="65" t="s">
        <v>277</v>
      </c>
      <c r="R168" s="70" t="e">
        <f t="shared" si="14"/>
        <v>#REF!</v>
      </c>
      <c r="S168" s="64" t="s">
        <v>243</v>
      </c>
      <c r="T168" s="122"/>
      <c r="U168" s="71" t="s">
        <v>244</v>
      </c>
      <c r="V168" s="72" t="e">
        <f xml:space="preserve"> _xlfn.TEXTJOIN(" ", FALSE,#REF!)</f>
        <v>#REF!</v>
      </c>
      <c r="W168" s="122"/>
      <c r="X168" s="71" t="s">
        <v>245</v>
      </c>
      <c r="Y168" s="72" t="e">
        <f xml:space="preserve"> _xlfn.TEXTJOIN(" ", FALSE,#REF!)</f>
        <v>#REF!</v>
      </c>
      <c r="Z168" s="122"/>
      <c r="AA168" s="71" t="s">
        <v>246</v>
      </c>
      <c r="AB168" s="72" t="e">
        <f xml:space="preserve"> _xlfn.TEXTJOIN(" ", FALSE,#REF!)</f>
        <v>#REF!</v>
      </c>
      <c r="AC168" s="122"/>
      <c r="AD168" s="71" t="s">
        <v>247</v>
      </c>
      <c r="AE168" s="72" t="e">
        <f xml:space="preserve"> _xlfn.TEXTJOIN(" ", FALSE,#REF!)</f>
        <v>#REF!</v>
      </c>
      <c r="AF168" s="122"/>
      <c r="AG168" s="71" t="s">
        <v>248</v>
      </c>
      <c r="AH168" s="73" t="e">
        <f xml:space="preserve"> _xlfn.TEXTJOIN(" ", FALSE,#REF!)</f>
        <v>#REF!</v>
      </c>
      <c r="AI168" s="122"/>
      <c r="AJ168" s="71" t="s">
        <v>249</v>
      </c>
      <c r="AK168" s="73" t="e">
        <f xml:space="preserve"> _xlfn.TEXTJOIN(" ", FALSE,#REF!)</f>
        <v>#REF!</v>
      </c>
      <c r="AL168" s="122"/>
      <c r="AM168" s="71" t="s">
        <v>250</v>
      </c>
      <c r="AN168" s="73" t="e">
        <f xml:space="preserve"> _xlfn.TEXTJOIN(" ", FALSE,#REF!)</f>
        <v>#REF!</v>
      </c>
      <c r="AO168" s="122"/>
      <c r="AP168" s="71" t="s">
        <v>251</v>
      </c>
      <c r="AQ168" s="72" t="e">
        <f xml:space="preserve"> _xlfn.TEXTJOIN(" ", FALSE,#REF!)</f>
        <v>#REF!</v>
      </c>
      <c r="AR168" s="122"/>
      <c r="AS168" s="71" t="s">
        <v>252</v>
      </c>
      <c r="AT168" s="72" t="e">
        <f xml:space="preserve"> _xlfn.TEXTJOIN(" ", FALSE,#REF!)</f>
        <v>#REF!</v>
      </c>
      <c r="AU168" s="122"/>
      <c r="AV168" s="71" t="s">
        <v>253</v>
      </c>
      <c r="AW168" s="73" t="e">
        <f xml:space="preserve"> _xlfn.TEXTJOIN(" ", FALSE,#REF!)</f>
        <v>#REF!</v>
      </c>
      <c r="AX168" s="122"/>
      <c r="AY168" s="71" t="s">
        <v>254</v>
      </c>
      <c r="AZ168" s="72" t="e">
        <f xml:space="preserve"> _xlfn.TEXTJOIN(" ", FALSE,#REF!)</f>
        <v>#REF!</v>
      </c>
      <c r="BA168" s="122"/>
      <c r="BB168" s="71" t="s">
        <v>255</v>
      </c>
      <c r="BC168" s="72" t="e">
        <f xml:space="preserve"> _xlfn.TEXTJOIN(" ", FALSE,#REF!)</f>
        <v>#REF!</v>
      </c>
      <c r="BD168" s="122"/>
      <c r="BE168" s="71" t="s">
        <v>256</v>
      </c>
      <c r="BF168" s="72" t="e">
        <f xml:space="preserve"> _xlfn.TEXTJOIN(" ", FALSE,#REF!)</f>
        <v>#REF!</v>
      </c>
      <c r="BG168" s="65" t="s">
        <v>277</v>
      </c>
      <c r="BH168" s="70" t="e">
        <f t="shared" si="15"/>
        <v>#REF!</v>
      </c>
      <c r="BI168" s="64" t="s">
        <v>257</v>
      </c>
      <c r="BJ168" s="122"/>
      <c r="BK168" s="71" t="s">
        <v>258</v>
      </c>
      <c r="BL168" s="74" t="str">
        <f>_xlfn.TEXTJOIN(" ", FALSE, 'Task 2a - Mitigating the Proble'!U168:AC168)</f>
        <v xml:space="preserve">1 0 1 1 1 1 0 0 </v>
      </c>
      <c r="BM168" s="65" t="s">
        <v>277</v>
      </c>
      <c r="BN168" s="70" t="str">
        <f t="shared" si="16"/>
        <v>[Details for Task 2a:]  /Question 12: 1 0 1 1 1 1 0 0  .</v>
      </c>
      <c r="BO168" s="64" t="s">
        <v>259</v>
      </c>
      <c r="BP168" s="122"/>
      <c r="BQ168" s="71" t="s">
        <v>260</v>
      </c>
      <c r="BR168" s="73" t="e">
        <f xml:space="preserve"> _xlfn.TEXTJOIN(" ", FALSE,#REF!)</f>
        <v>#REF!</v>
      </c>
      <c r="BS168" s="122"/>
      <c r="BT168" s="71" t="s">
        <v>261</v>
      </c>
      <c r="BU168" s="73" t="e">
        <f xml:space="preserve"> _xlfn.TEXTJOIN(" ", FALSE,#REF!)</f>
        <v>#REF!</v>
      </c>
      <c r="BV168" s="122"/>
      <c r="BW168" s="71" t="s">
        <v>262</v>
      </c>
      <c r="BX168" s="73" t="e">
        <f xml:space="preserve"> _xlfn.TEXTJOIN(" ", FALSE,#REF!)</f>
        <v>#REF!</v>
      </c>
      <c r="BY168" s="122"/>
      <c r="BZ168" s="71" t="s">
        <v>263</v>
      </c>
      <c r="CA168" s="73" t="e">
        <f xml:space="preserve"> _xlfn.TEXTJOIN(" ", FALSE,#REF!)</f>
        <v>#REF!</v>
      </c>
      <c r="CB168" s="122"/>
      <c r="CC168" s="71" t="s">
        <v>264</v>
      </c>
      <c r="CD168" s="73" t="e">
        <f xml:space="preserve"> _xlfn.TEXTJOIN(" ", FALSE,#REF!)</f>
        <v>#REF!</v>
      </c>
      <c r="CE168" s="122"/>
      <c r="CF168" s="71" t="s">
        <v>265</v>
      </c>
      <c r="CG168" s="73" t="e">
        <f xml:space="preserve"> _xlfn.TEXTJOIN(" ", FALSE,#REF!)</f>
        <v>#REF!</v>
      </c>
      <c r="CH168" s="122"/>
      <c r="CI168" s="74" t="s">
        <v>278</v>
      </c>
      <c r="CJ168" s="73" t="e">
        <f xml:space="preserve"> _xlfn.TEXTJOIN(" ", FALSE,#REF!)</f>
        <v>#REF!</v>
      </c>
      <c r="CK168" s="65" t="s">
        <v>277</v>
      </c>
      <c r="CL168" s="70" t="e">
        <f t="shared" si="17"/>
        <v>#REF!</v>
      </c>
      <c r="CM168" s="64" t="s">
        <v>267</v>
      </c>
      <c r="CN168" s="122"/>
      <c r="CO168" s="71" t="s">
        <v>268</v>
      </c>
      <c r="CP168" s="73" t="e">
        <f xml:space="preserve"> _xlfn.TEXTJOIN(" ", FALSE,#REF!)</f>
        <v>#REF!</v>
      </c>
      <c r="CQ168" s="122"/>
      <c r="CR168" s="71" t="s">
        <v>269</v>
      </c>
      <c r="CS168" s="73" t="e">
        <f xml:space="preserve"> _xlfn.TEXTJOIN(" ", FALSE,#REF!)</f>
        <v>#REF!</v>
      </c>
      <c r="CT168" s="122"/>
      <c r="CU168" s="71" t="s">
        <v>270</v>
      </c>
      <c r="CV168" s="72" t="e">
        <f xml:space="preserve"> _xlfn.TEXTJOIN(" ", FALSE,#REF!)</f>
        <v>#REF!</v>
      </c>
      <c r="CW168" s="122"/>
      <c r="CX168" s="71" t="s">
        <v>271</v>
      </c>
      <c r="CY168" s="72" t="e">
        <f xml:space="preserve"> _xlfn.TEXTJOIN(" ", FALSE,#REF!)</f>
        <v>#REF!</v>
      </c>
      <c r="CZ168" s="122"/>
      <c r="DA168" s="71" t="s">
        <v>272</v>
      </c>
      <c r="DB168" s="73" t="e">
        <f xml:space="preserve"> _xlfn.TEXTJOIN(" ", FALSE,#REF!)</f>
        <v>#REF!</v>
      </c>
      <c r="DC168" s="65" t="s">
        <v>277</v>
      </c>
      <c r="DD168" s="70" t="e">
        <f t="shared" si="18"/>
        <v>#REF!</v>
      </c>
      <c r="DE168" s="64" t="s">
        <v>273</v>
      </c>
      <c r="DF168" s="122"/>
      <c r="DG168" s="71" t="s">
        <v>274</v>
      </c>
      <c r="DH168" s="72" t="e">
        <f xml:space="preserve"> _xlfn.TEXTJOIN(" ", FALSE,#REF!)</f>
        <v>#REF!</v>
      </c>
      <c r="DI168" s="122"/>
      <c r="DJ168" s="71" t="s">
        <v>275</v>
      </c>
      <c r="DK168" s="73" t="e">
        <f xml:space="preserve"> _xlfn.TEXTJOIN(" ", FALSE,#REF!)</f>
        <v>#REF!</v>
      </c>
      <c r="DL168" s="65" t="s">
        <v>277</v>
      </c>
      <c r="DM168" s="70" t="e">
        <f t="shared" si="19"/>
        <v>#REF!</v>
      </c>
      <c r="DN168" s="70" t="e">
        <f t="shared" si="20"/>
        <v>#REF!</v>
      </c>
    </row>
    <row r="169" spans="1:118" ht="108" customHeight="1">
      <c r="A169" s="122" t="e">
        <f>Summary!A169</f>
        <v>#REF!</v>
      </c>
      <c r="B169" s="64" t="s">
        <v>233</v>
      </c>
      <c r="C169" s="65" t="e">
        <f>Summary!B169</f>
        <v>#REF!</v>
      </c>
      <c r="D169" s="122"/>
      <c r="E169" s="64" t="s">
        <v>235</v>
      </c>
      <c r="F169" s="132" t="e">
        <f>Summary!C169</f>
        <v>#REF!</v>
      </c>
      <c r="G169" s="64" t="s">
        <v>236</v>
      </c>
      <c r="H169" s="132" t="e">
        <f>Summary!D169</f>
        <v>#REF!</v>
      </c>
      <c r="I169" s="64" t="s">
        <v>237</v>
      </c>
      <c r="J169" s="66">
        <f>Summary!E169</f>
        <v>6</v>
      </c>
      <c r="K169" s="64" t="s">
        <v>238</v>
      </c>
      <c r="L169" s="132" t="e">
        <f>Summary!F169</f>
        <v>#REF!</v>
      </c>
      <c r="M169" s="64" t="s">
        <v>239</v>
      </c>
      <c r="N169" s="132" t="e">
        <f>Summary!G169</f>
        <v>#REF!</v>
      </c>
      <c r="O169" s="64" t="s">
        <v>240</v>
      </c>
      <c r="P169" s="132" t="e">
        <f>Summary!H169</f>
        <v>#REF!</v>
      </c>
      <c r="Q169" s="65" t="s">
        <v>277</v>
      </c>
      <c r="R169" s="70" t="e">
        <f t="shared" si="14"/>
        <v>#REF!</v>
      </c>
      <c r="S169" s="64" t="s">
        <v>243</v>
      </c>
      <c r="T169" s="122"/>
      <c r="U169" s="71" t="s">
        <v>244</v>
      </c>
      <c r="V169" s="72" t="e">
        <f xml:space="preserve"> _xlfn.TEXTJOIN(" ", FALSE,#REF!)</f>
        <v>#REF!</v>
      </c>
      <c r="W169" s="122"/>
      <c r="X169" s="71" t="s">
        <v>245</v>
      </c>
      <c r="Y169" s="72" t="e">
        <f xml:space="preserve"> _xlfn.TEXTJOIN(" ", FALSE,#REF!)</f>
        <v>#REF!</v>
      </c>
      <c r="Z169" s="122"/>
      <c r="AA169" s="71" t="s">
        <v>246</v>
      </c>
      <c r="AB169" s="72" t="e">
        <f xml:space="preserve"> _xlfn.TEXTJOIN(" ", FALSE,#REF!)</f>
        <v>#REF!</v>
      </c>
      <c r="AC169" s="122"/>
      <c r="AD169" s="71" t="s">
        <v>247</v>
      </c>
      <c r="AE169" s="72" t="e">
        <f xml:space="preserve"> _xlfn.TEXTJOIN(" ", FALSE,#REF!)</f>
        <v>#REF!</v>
      </c>
      <c r="AF169" s="122"/>
      <c r="AG169" s="71" t="s">
        <v>248</v>
      </c>
      <c r="AH169" s="73" t="e">
        <f xml:space="preserve"> _xlfn.TEXTJOIN(" ", FALSE,#REF!)</f>
        <v>#REF!</v>
      </c>
      <c r="AI169" s="122"/>
      <c r="AJ169" s="71" t="s">
        <v>249</v>
      </c>
      <c r="AK169" s="73" t="e">
        <f xml:space="preserve"> _xlfn.TEXTJOIN(" ", FALSE,#REF!)</f>
        <v>#REF!</v>
      </c>
      <c r="AL169" s="122"/>
      <c r="AM169" s="71" t="s">
        <v>250</v>
      </c>
      <c r="AN169" s="73" t="e">
        <f xml:space="preserve"> _xlfn.TEXTJOIN(" ", FALSE,#REF!)</f>
        <v>#REF!</v>
      </c>
      <c r="AO169" s="122"/>
      <c r="AP169" s="71" t="s">
        <v>251</v>
      </c>
      <c r="AQ169" s="72" t="e">
        <f xml:space="preserve"> _xlfn.TEXTJOIN(" ", FALSE,#REF!)</f>
        <v>#REF!</v>
      </c>
      <c r="AR169" s="122"/>
      <c r="AS169" s="71" t="s">
        <v>252</v>
      </c>
      <c r="AT169" s="72" t="e">
        <f xml:space="preserve"> _xlfn.TEXTJOIN(" ", FALSE,#REF!)</f>
        <v>#REF!</v>
      </c>
      <c r="AU169" s="122"/>
      <c r="AV169" s="71" t="s">
        <v>253</v>
      </c>
      <c r="AW169" s="73" t="e">
        <f xml:space="preserve"> _xlfn.TEXTJOIN(" ", FALSE,#REF!)</f>
        <v>#REF!</v>
      </c>
      <c r="AX169" s="122"/>
      <c r="AY169" s="71" t="s">
        <v>254</v>
      </c>
      <c r="AZ169" s="72" t="e">
        <f xml:space="preserve"> _xlfn.TEXTJOIN(" ", FALSE,#REF!)</f>
        <v>#REF!</v>
      </c>
      <c r="BA169" s="122"/>
      <c r="BB169" s="71" t="s">
        <v>255</v>
      </c>
      <c r="BC169" s="72" t="e">
        <f xml:space="preserve"> _xlfn.TEXTJOIN(" ", FALSE,#REF!)</f>
        <v>#REF!</v>
      </c>
      <c r="BD169" s="122"/>
      <c r="BE169" s="71" t="s">
        <v>256</v>
      </c>
      <c r="BF169" s="72" t="e">
        <f xml:space="preserve"> _xlfn.TEXTJOIN(" ", FALSE,#REF!)</f>
        <v>#REF!</v>
      </c>
      <c r="BG169" s="65" t="s">
        <v>277</v>
      </c>
      <c r="BH169" s="70" t="e">
        <f t="shared" si="15"/>
        <v>#REF!</v>
      </c>
      <c r="BI169" s="64" t="s">
        <v>257</v>
      </c>
      <c r="BJ169" s="122"/>
      <c r="BK169" s="71" t="s">
        <v>258</v>
      </c>
      <c r="BL169" s="74" t="str">
        <f>_xlfn.TEXTJOIN(" ", FALSE, 'Task 2a - Mitigating the Proble'!U169:AC169)</f>
        <v xml:space="preserve">1 1 1 0 0 1 0 0 </v>
      </c>
      <c r="BM169" s="65" t="s">
        <v>277</v>
      </c>
      <c r="BN169" s="70" t="str">
        <f t="shared" si="16"/>
        <v>[Details for Task 2a:]  /Question 12: 1 1 1 0 0 1 0 0  .</v>
      </c>
      <c r="BO169" s="64" t="s">
        <v>259</v>
      </c>
      <c r="BP169" s="122"/>
      <c r="BQ169" s="71" t="s">
        <v>260</v>
      </c>
      <c r="BR169" s="73" t="e">
        <f xml:space="preserve"> _xlfn.TEXTJOIN(" ", FALSE,#REF!)</f>
        <v>#REF!</v>
      </c>
      <c r="BS169" s="122"/>
      <c r="BT169" s="71" t="s">
        <v>261</v>
      </c>
      <c r="BU169" s="73" t="e">
        <f xml:space="preserve"> _xlfn.TEXTJOIN(" ", FALSE,#REF!)</f>
        <v>#REF!</v>
      </c>
      <c r="BV169" s="122"/>
      <c r="BW169" s="71" t="s">
        <v>262</v>
      </c>
      <c r="BX169" s="73" t="e">
        <f xml:space="preserve"> _xlfn.TEXTJOIN(" ", FALSE,#REF!)</f>
        <v>#REF!</v>
      </c>
      <c r="BY169" s="122"/>
      <c r="BZ169" s="71" t="s">
        <v>263</v>
      </c>
      <c r="CA169" s="73" t="e">
        <f xml:space="preserve"> _xlfn.TEXTJOIN(" ", FALSE,#REF!)</f>
        <v>#REF!</v>
      </c>
      <c r="CB169" s="122"/>
      <c r="CC169" s="71" t="s">
        <v>264</v>
      </c>
      <c r="CD169" s="73" t="e">
        <f xml:space="preserve"> _xlfn.TEXTJOIN(" ", FALSE,#REF!)</f>
        <v>#REF!</v>
      </c>
      <c r="CE169" s="122"/>
      <c r="CF169" s="71" t="s">
        <v>265</v>
      </c>
      <c r="CG169" s="73" t="e">
        <f xml:space="preserve"> _xlfn.TEXTJOIN(" ", FALSE,#REF!)</f>
        <v>#REF!</v>
      </c>
      <c r="CH169" s="122"/>
      <c r="CI169" s="74" t="s">
        <v>278</v>
      </c>
      <c r="CJ169" s="73" t="e">
        <f xml:space="preserve"> _xlfn.TEXTJOIN(" ", FALSE,#REF!)</f>
        <v>#REF!</v>
      </c>
      <c r="CK169" s="65" t="s">
        <v>277</v>
      </c>
      <c r="CL169" s="70" t="e">
        <f t="shared" si="17"/>
        <v>#REF!</v>
      </c>
      <c r="CM169" s="64" t="s">
        <v>267</v>
      </c>
      <c r="CN169" s="122"/>
      <c r="CO169" s="71" t="s">
        <v>268</v>
      </c>
      <c r="CP169" s="73" t="e">
        <f xml:space="preserve"> _xlfn.TEXTJOIN(" ", FALSE,#REF!)</f>
        <v>#REF!</v>
      </c>
      <c r="CQ169" s="122"/>
      <c r="CR169" s="71" t="s">
        <v>269</v>
      </c>
      <c r="CS169" s="73" t="e">
        <f xml:space="preserve"> _xlfn.TEXTJOIN(" ", FALSE,#REF!)</f>
        <v>#REF!</v>
      </c>
      <c r="CT169" s="122"/>
      <c r="CU169" s="71" t="s">
        <v>270</v>
      </c>
      <c r="CV169" s="72" t="e">
        <f xml:space="preserve"> _xlfn.TEXTJOIN(" ", FALSE,#REF!)</f>
        <v>#REF!</v>
      </c>
      <c r="CW169" s="122"/>
      <c r="CX169" s="71" t="s">
        <v>271</v>
      </c>
      <c r="CY169" s="72" t="e">
        <f xml:space="preserve"> _xlfn.TEXTJOIN(" ", FALSE,#REF!)</f>
        <v>#REF!</v>
      </c>
      <c r="CZ169" s="122"/>
      <c r="DA169" s="71" t="s">
        <v>272</v>
      </c>
      <c r="DB169" s="73" t="e">
        <f xml:space="preserve"> _xlfn.TEXTJOIN(" ", FALSE,#REF!)</f>
        <v>#REF!</v>
      </c>
      <c r="DC169" s="65" t="s">
        <v>277</v>
      </c>
      <c r="DD169" s="70" t="e">
        <f t="shared" si="18"/>
        <v>#REF!</v>
      </c>
      <c r="DE169" s="64" t="s">
        <v>273</v>
      </c>
      <c r="DF169" s="122"/>
      <c r="DG169" s="71" t="s">
        <v>274</v>
      </c>
      <c r="DH169" s="72" t="e">
        <f xml:space="preserve"> _xlfn.TEXTJOIN(" ", FALSE,#REF!)</f>
        <v>#REF!</v>
      </c>
      <c r="DI169" s="122"/>
      <c r="DJ169" s="71" t="s">
        <v>275</v>
      </c>
      <c r="DK169" s="73" t="e">
        <f xml:space="preserve"> _xlfn.TEXTJOIN(" ", FALSE,#REF!)</f>
        <v>#REF!</v>
      </c>
      <c r="DL169" s="65" t="s">
        <v>277</v>
      </c>
      <c r="DM169" s="70" t="e">
        <f t="shared" si="19"/>
        <v>#REF!</v>
      </c>
      <c r="DN169" s="70" t="e">
        <f t="shared" si="20"/>
        <v>#REF!</v>
      </c>
    </row>
    <row r="170" spans="1:118" ht="108" customHeight="1">
      <c r="A170" s="122" t="e">
        <f>Summary!A170</f>
        <v>#REF!</v>
      </c>
      <c r="B170" s="64" t="s">
        <v>233</v>
      </c>
      <c r="C170" s="65" t="e">
        <f>Summary!B170</f>
        <v>#REF!</v>
      </c>
      <c r="D170" s="122"/>
      <c r="E170" s="64" t="s">
        <v>235</v>
      </c>
      <c r="F170" s="132" t="e">
        <f>Summary!C170</f>
        <v>#REF!</v>
      </c>
      <c r="G170" s="64" t="s">
        <v>236</v>
      </c>
      <c r="H170" s="132" t="e">
        <f>Summary!D170</f>
        <v>#REF!</v>
      </c>
      <c r="I170" s="64" t="s">
        <v>237</v>
      </c>
      <c r="J170" s="66">
        <f>Summary!E170</f>
        <v>5</v>
      </c>
      <c r="K170" s="64" t="s">
        <v>238</v>
      </c>
      <c r="L170" s="132" t="e">
        <f>Summary!F170</f>
        <v>#REF!</v>
      </c>
      <c r="M170" s="64" t="s">
        <v>239</v>
      </c>
      <c r="N170" s="132" t="e">
        <f>Summary!G170</f>
        <v>#REF!</v>
      </c>
      <c r="O170" s="64" t="s">
        <v>240</v>
      </c>
      <c r="P170" s="132" t="e">
        <f>Summary!H170</f>
        <v>#REF!</v>
      </c>
      <c r="Q170" s="65" t="s">
        <v>277</v>
      </c>
      <c r="R170" s="70" t="e">
        <f t="shared" si="14"/>
        <v>#REF!</v>
      </c>
      <c r="S170" s="64" t="s">
        <v>243</v>
      </c>
      <c r="T170" s="122"/>
      <c r="U170" s="71" t="s">
        <v>244</v>
      </c>
      <c r="V170" s="72" t="e">
        <f xml:space="preserve"> _xlfn.TEXTJOIN(" ", FALSE,#REF!)</f>
        <v>#REF!</v>
      </c>
      <c r="W170" s="122"/>
      <c r="X170" s="71" t="s">
        <v>245</v>
      </c>
      <c r="Y170" s="72" t="e">
        <f xml:space="preserve"> _xlfn.TEXTJOIN(" ", FALSE,#REF!)</f>
        <v>#REF!</v>
      </c>
      <c r="Z170" s="122"/>
      <c r="AA170" s="71" t="s">
        <v>246</v>
      </c>
      <c r="AB170" s="72" t="e">
        <f xml:space="preserve"> _xlfn.TEXTJOIN(" ", FALSE,#REF!)</f>
        <v>#REF!</v>
      </c>
      <c r="AC170" s="122"/>
      <c r="AD170" s="71" t="s">
        <v>247</v>
      </c>
      <c r="AE170" s="72" t="e">
        <f xml:space="preserve"> _xlfn.TEXTJOIN(" ", FALSE,#REF!)</f>
        <v>#REF!</v>
      </c>
      <c r="AF170" s="122"/>
      <c r="AG170" s="71" t="s">
        <v>248</v>
      </c>
      <c r="AH170" s="73" t="e">
        <f xml:space="preserve"> _xlfn.TEXTJOIN(" ", FALSE,#REF!)</f>
        <v>#REF!</v>
      </c>
      <c r="AI170" s="122"/>
      <c r="AJ170" s="71" t="s">
        <v>249</v>
      </c>
      <c r="AK170" s="73" t="e">
        <f xml:space="preserve"> _xlfn.TEXTJOIN(" ", FALSE,#REF!)</f>
        <v>#REF!</v>
      </c>
      <c r="AL170" s="122"/>
      <c r="AM170" s="71" t="s">
        <v>250</v>
      </c>
      <c r="AN170" s="73" t="e">
        <f xml:space="preserve"> _xlfn.TEXTJOIN(" ", FALSE,#REF!)</f>
        <v>#REF!</v>
      </c>
      <c r="AO170" s="122"/>
      <c r="AP170" s="71" t="s">
        <v>251</v>
      </c>
      <c r="AQ170" s="72" t="e">
        <f xml:space="preserve"> _xlfn.TEXTJOIN(" ", FALSE,#REF!)</f>
        <v>#REF!</v>
      </c>
      <c r="AR170" s="122"/>
      <c r="AS170" s="71" t="s">
        <v>252</v>
      </c>
      <c r="AT170" s="72" t="e">
        <f xml:space="preserve"> _xlfn.TEXTJOIN(" ", FALSE,#REF!)</f>
        <v>#REF!</v>
      </c>
      <c r="AU170" s="122"/>
      <c r="AV170" s="71" t="s">
        <v>253</v>
      </c>
      <c r="AW170" s="73" t="e">
        <f xml:space="preserve"> _xlfn.TEXTJOIN(" ", FALSE,#REF!)</f>
        <v>#REF!</v>
      </c>
      <c r="AX170" s="122"/>
      <c r="AY170" s="71" t="s">
        <v>254</v>
      </c>
      <c r="AZ170" s="72" t="e">
        <f xml:space="preserve"> _xlfn.TEXTJOIN(" ", FALSE,#REF!)</f>
        <v>#REF!</v>
      </c>
      <c r="BA170" s="122"/>
      <c r="BB170" s="71" t="s">
        <v>255</v>
      </c>
      <c r="BC170" s="72" t="e">
        <f xml:space="preserve"> _xlfn.TEXTJOIN(" ", FALSE,#REF!)</f>
        <v>#REF!</v>
      </c>
      <c r="BD170" s="122"/>
      <c r="BE170" s="71" t="s">
        <v>256</v>
      </c>
      <c r="BF170" s="72" t="e">
        <f xml:space="preserve"> _xlfn.TEXTJOIN(" ", FALSE,#REF!)</f>
        <v>#REF!</v>
      </c>
      <c r="BG170" s="65" t="s">
        <v>277</v>
      </c>
      <c r="BH170" s="70" t="e">
        <f t="shared" si="15"/>
        <v>#REF!</v>
      </c>
      <c r="BI170" s="64" t="s">
        <v>257</v>
      </c>
      <c r="BJ170" s="122"/>
      <c r="BK170" s="71" t="s">
        <v>258</v>
      </c>
      <c r="BL170" s="74" t="str">
        <f>_xlfn.TEXTJOIN(" ", FALSE, 'Task 2a - Mitigating the Proble'!U170:AC170)</f>
        <v xml:space="preserve">1 0 0 0 0 1 0 0 </v>
      </c>
      <c r="BM170" s="65" t="s">
        <v>277</v>
      </c>
      <c r="BN170" s="70" t="str">
        <f t="shared" si="16"/>
        <v>[Details for Task 2a:]  /Question 12: 1 0 0 0 0 1 0 0  .</v>
      </c>
      <c r="BO170" s="64" t="s">
        <v>259</v>
      </c>
      <c r="BP170" s="122"/>
      <c r="BQ170" s="71" t="s">
        <v>260</v>
      </c>
      <c r="BR170" s="73" t="e">
        <f xml:space="preserve"> _xlfn.TEXTJOIN(" ", FALSE,#REF!)</f>
        <v>#REF!</v>
      </c>
      <c r="BS170" s="122"/>
      <c r="BT170" s="71" t="s">
        <v>261</v>
      </c>
      <c r="BU170" s="73" t="e">
        <f xml:space="preserve"> _xlfn.TEXTJOIN(" ", FALSE,#REF!)</f>
        <v>#REF!</v>
      </c>
      <c r="BV170" s="122"/>
      <c r="BW170" s="71" t="s">
        <v>262</v>
      </c>
      <c r="BX170" s="73" t="e">
        <f xml:space="preserve"> _xlfn.TEXTJOIN(" ", FALSE,#REF!)</f>
        <v>#REF!</v>
      </c>
      <c r="BY170" s="122"/>
      <c r="BZ170" s="71" t="s">
        <v>263</v>
      </c>
      <c r="CA170" s="73" t="e">
        <f xml:space="preserve"> _xlfn.TEXTJOIN(" ", FALSE,#REF!)</f>
        <v>#REF!</v>
      </c>
      <c r="CB170" s="122"/>
      <c r="CC170" s="71" t="s">
        <v>264</v>
      </c>
      <c r="CD170" s="73" t="e">
        <f xml:space="preserve"> _xlfn.TEXTJOIN(" ", FALSE,#REF!)</f>
        <v>#REF!</v>
      </c>
      <c r="CE170" s="122"/>
      <c r="CF170" s="71" t="s">
        <v>265</v>
      </c>
      <c r="CG170" s="73" t="e">
        <f xml:space="preserve"> _xlfn.TEXTJOIN(" ", FALSE,#REF!)</f>
        <v>#REF!</v>
      </c>
      <c r="CH170" s="122"/>
      <c r="CI170" s="74" t="s">
        <v>278</v>
      </c>
      <c r="CJ170" s="73" t="e">
        <f xml:space="preserve"> _xlfn.TEXTJOIN(" ", FALSE,#REF!)</f>
        <v>#REF!</v>
      </c>
      <c r="CK170" s="65" t="s">
        <v>277</v>
      </c>
      <c r="CL170" s="70" t="e">
        <f t="shared" si="17"/>
        <v>#REF!</v>
      </c>
      <c r="CM170" s="64" t="s">
        <v>267</v>
      </c>
      <c r="CN170" s="122"/>
      <c r="CO170" s="71" t="s">
        <v>268</v>
      </c>
      <c r="CP170" s="73" t="e">
        <f xml:space="preserve"> _xlfn.TEXTJOIN(" ", FALSE,#REF!)</f>
        <v>#REF!</v>
      </c>
      <c r="CQ170" s="122"/>
      <c r="CR170" s="71" t="s">
        <v>269</v>
      </c>
      <c r="CS170" s="73" t="e">
        <f xml:space="preserve"> _xlfn.TEXTJOIN(" ", FALSE,#REF!)</f>
        <v>#REF!</v>
      </c>
      <c r="CT170" s="122"/>
      <c r="CU170" s="71" t="s">
        <v>270</v>
      </c>
      <c r="CV170" s="72" t="e">
        <f xml:space="preserve"> _xlfn.TEXTJOIN(" ", FALSE,#REF!)</f>
        <v>#REF!</v>
      </c>
      <c r="CW170" s="122"/>
      <c r="CX170" s="71" t="s">
        <v>271</v>
      </c>
      <c r="CY170" s="72" t="e">
        <f xml:space="preserve"> _xlfn.TEXTJOIN(" ", FALSE,#REF!)</f>
        <v>#REF!</v>
      </c>
      <c r="CZ170" s="122"/>
      <c r="DA170" s="71" t="s">
        <v>272</v>
      </c>
      <c r="DB170" s="73" t="e">
        <f xml:space="preserve"> _xlfn.TEXTJOIN(" ", FALSE,#REF!)</f>
        <v>#REF!</v>
      </c>
      <c r="DC170" s="65" t="s">
        <v>277</v>
      </c>
      <c r="DD170" s="70" t="e">
        <f t="shared" si="18"/>
        <v>#REF!</v>
      </c>
      <c r="DE170" s="64" t="s">
        <v>273</v>
      </c>
      <c r="DF170" s="122"/>
      <c r="DG170" s="71" t="s">
        <v>274</v>
      </c>
      <c r="DH170" s="72" t="e">
        <f xml:space="preserve"> _xlfn.TEXTJOIN(" ", FALSE,#REF!)</f>
        <v>#REF!</v>
      </c>
      <c r="DI170" s="122"/>
      <c r="DJ170" s="71" t="s">
        <v>275</v>
      </c>
      <c r="DK170" s="73" t="e">
        <f xml:space="preserve"> _xlfn.TEXTJOIN(" ", FALSE,#REF!)</f>
        <v>#REF!</v>
      </c>
      <c r="DL170" s="65" t="s">
        <v>277</v>
      </c>
      <c r="DM170" s="70" t="e">
        <f t="shared" si="19"/>
        <v>#REF!</v>
      </c>
      <c r="DN170" s="70" t="e">
        <f t="shared" si="20"/>
        <v>#REF!</v>
      </c>
    </row>
    <row r="171" spans="1:118" ht="108" customHeight="1">
      <c r="A171" s="122" t="e">
        <f>Summary!A171</f>
        <v>#REF!</v>
      </c>
      <c r="B171" s="64" t="s">
        <v>233</v>
      </c>
      <c r="C171" s="65" t="e">
        <f>Summary!B171</f>
        <v>#REF!</v>
      </c>
      <c r="D171" s="122"/>
      <c r="E171" s="64" t="s">
        <v>235</v>
      </c>
      <c r="F171" s="132" t="e">
        <f>Summary!C171</f>
        <v>#REF!</v>
      </c>
      <c r="G171" s="64" t="s">
        <v>236</v>
      </c>
      <c r="H171" s="132" t="e">
        <f>Summary!D171</f>
        <v>#REF!</v>
      </c>
      <c r="I171" s="64" t="s">
        <v>237</v>
      </c>
      <c r="J171" s="66">
        <f>Summary!E171</f>
        <v>5</v>
      </c>
      <c r="K171" s="64" t="s">
        <v>238</v>
      </c>
      <c r="L171" s="132" t="e">
        <f>Summary!F171</f>
        <v>#REF!</v>
      </c>
      <c r="M171" s="64" t="s">
        <v>239</v>
      </c>
      <c r="N171" s="132" t="e">
        <f>Summary!G171</f>
        <v>#REF!</v>
      </c>
      <c r="O171" s="64" t="s">
        <v>240</v>
      </c>
      <c r="P171" s="132" t="e">
        <f>Summary!H171</f>
        <v>#REF!</v>
      </c>
      <c r="Q171" s="65" t="s">
        <v>277</v>
      </c>
      <c r="R171" s="70" t="e">
        <f t="shared" si="14"/>
        <v>#REF!</v>
      </c>
      <c r="S171" s="64" t="s">
        <v>243</v>
      </c>
      <c r="T171" s="122"/>
      <c r="U171" s="71" t="s">
        <v>244</v>
      </c>
      <c r="V171" s="72" t="e">
        <f xml:space="preserve"> _xlfn.TEXTJOIN(" ", FALSE,#REF!)</f>
        <v>#REF!</v>
      </c>
      <c r="W171" s="122"/>
      <c r="X171" s="71" t="s">
        <v>245</v>
      </c>
      <c r="Y171" s="72" t="e">
        <f xml:space="preserve"> _xlfn.TEXTJOIN(" ", FALSE,#REF!)</f>
        <v>#REF!</v>
      </c>
      <c r="Z171" s="122"/>
      <c r="AA171" s="71" t="s">
        <v>246</v>
      </c>
      <c r="AB171" s="72" t="e">
        <f xml:space="preserve"> _xlfn.TEXTJOIN(" ", FALSE,#REF!)</f>
        <v>#REF!</v>
      </c>
      <c r="AC171" s="122"/>
      <c r="AD171" s="71" t="s">
        <v>247</v>
      </c>
      <c r="AE171" s="72" t="e">
        <f xml:space="preserve"> _xlfn.TEXTJOIN(" ", FALSE,#REF!)</f>
        <v>#REF!</v>
      </c>
      <c r="AF171" s="122"/>
      <c r="AG171" s="71" t="s">
        <v>248</v>
      </c>
      <c r="AH171" s="73" t="e">
        <f xml:space="preserve"> _xlfn.TEXTJOIN(" ", FALSE,#REF!)</f>
        <v>#REF!</v>
      </c>
      <c r="AI171" s="122"/>
      <c r="AJ171" s="71" t="s">
        <v>249</v>
      </c>
      <c r="AK171" s="73" t="e">
        <f xml:space="preserve"> _xlfn.TEXTJOIN(" ", FALSE,#REF!)</f>
        <v>#REF!</v>
      </c>
      <c r="AL171" s="122"/>
      <c r="AM171" s="71" t="s">
        <v>250</v>
      </c>
      <c r="AN171" s="73" t="e">
        <f xml:space="preserve"> _xlfn.TEXTJOIN(" ", FALSE,#REF!)</f>
        <v>#REF!</v>
      </c>
      <c r="AO171" s="122"/>
      <c r="AP171" s="71" t="s">
        <v>251</v>
      </c>
      <c r="AQ171" s="72" t="e">
        <f xml:space="preserve"> _xlfn.TEXTJOIN(" ", FALSE,#REF!)</f>
        <v>#REF!</v>
      </c>
      <c r="AR171" s="122"/>
      <c r="AS171" s="71" t="s">
        <v>252</v>
      </c>
      <c r="AT171" s="72" t="e">
        <f xml:space="preserve"> _xlfn.TEXTJOIN(" ", FALSE,#REF!)</f>
        <v>#REF!</v>
      </c>
      <c r="AU171" s="122"/>
      <c r="AV171" s="71" t="s">
        <v>253</v>
      </c>
      <c r="AW171" s="73" t="e">
        <f xml:space="preserve"> _xlfn.TEXTJOIN(" ", FALSE,#REF!)</f>
        <v>#REF!</v>
      </c>
      <c r="AX171" s="122"/>
      <c r="AY171" s="71" t="s">
        <v>254</v>
      </c>
      <c r="AZ171" s="72" t="e">
        <f xml:space="preserve"> _xlfn.TEXTJOIN(" ", FALSE,#REF!)</f>
        <v>#REF!</v>
      </c>
      <c r="BA171" s="122"/>
      <c r="BB171" s="71" t="s">
        <v>255</v>
      </c>
      <c r="BC171" s="72" t="e">
        <f xml:space="preserve"> _xlfn.TEXTJOIN(" ", FALSE,#REF!)</f>
        <v>#REF!</v>
      </c>
      <c r="BD171" s="122"/>
      <c r="BE171" s="71" t="s">
        <v>256</v>
      </c>
      <c r="BF171" s="72" t="e">
        <f xml:space="preserve"> _xlfn.TEXTJOIN(" ", FALSE,#REF!)</f>
        <v>#REF!</v>
      </c>
      <c r="BG171" s="65" t="s">
        <v>277</v>
      </c>
      <c r="BH171" s="70" t="e">
        <f t="shared" si="15"/>
        <v>#REF!</v>
      </c>
      <c r="BI171" s="64" t="s">
        <v>257</v>
      </c>
      <c r="BJ171" s="122"/>
      <c r="BK171" s="71" t="s">
        <v>258</v>
      </c>
      <c r="BL171" s="74" t="str">
        <f>_xlfn.TEXTJOIN(" ", FALSE, 'Task 2a - Mitigating the Proble'!U171:AC171)</f>
        <v xml:space="preserve">1 0 0 0 0 1 0 0 </v>
      </c>
      <c r="BM171" s="65" t="s">
        <v>277</v>
      </c>
      <c r="BN171" s="70" t="str">
        <f t="shared" si="16"/>
        <v>[Details for Task 2a:]  /Question 12: 1 0 0 0 0 1 0 0  .</v>
      </c>
      <c r="BO171" s="64" t="s">
        <v>259</v>
      </c>
      <c r="BP171" s="122"/>
      <c r="BQ171" s="71" t="s">
        <v>260</v>
      </c>
      <c r="BR171" s="73" t="e">
        <f xml:space="preserve"> _xlfn.TEXTJOIN(" ", FALSE,#REF!)</f>
        <v>#REF!</v>
      </c>
      <c r="BS171" s="122"/>
      <c r="BT171" s="71" t="s">
        <v>261</v>
      </c>
      <c r="BU171" s="73" t="e">
        <f xml:space="preserve"> _xlfn.TEXTJOIN(" ", FALSE,#REF!)</f>
        <v>#REF!</v>
      </c>
      <c r="BV171" s="122"/>
      <c r="BW171" s="71" t="s">
        <v>262</v>
      </c>
      <c r="BX171" s="73" t="e">
        <f xml:space="preserve"> _xlfn.TEXTJOIN(" ", FALSE,#REF!)</f>
        <v>#REF!</v>
      </c>
      <c r="BY171" s="122"/>
      <c r="BZ171" s="71" t="s">
        <v>263</v>
      </c>
      <c r="CA171" s="73" t="e">
        <f xml:space="preserve"> _xlfn.TEXTJOIN(" ", FALSE,#REF!)</f>
        <v>#REF!</v>
      </c>
      <c r="CB171" s="122"/>
      <c r="CC171" s="71" t="s">
        <v>264</v>
      </c>
      <c r="CD171" s="73" t="e">
        <f xml:space="preserve"> _xlfn.TEXTJOIN(" ", FALSE,#REF!)</f>
        <v>#REF!</v>
      </c>
      <c r="CE171" s="122"/>
      <c r="CF171" s="71" t="s">
        <v>265</v>
      </c>
      <c r="CG171" s="73" t="e">
        <f xml:space="preserve"> _xlfn.TEXTJOIN(" ", FALSE,#REF!)</f>
        <v>#REF!</v>
      </c>
      <c r="CH171" s="122"/>
      <c r="CI171" s="74" t="s">
        <v>278</v>
      </c>
      <c r="CJ171" s="73" t="e">
        <f xml:space="preserve"> _xlfn.TEXTJOIN(" ", FALSE,#REF!)</f>
        <v>#REF!</v>
      </c>
      <c r="CK171" s="65" t="s">
        <v>277</v>
      </c>
      <c r="CL171" s="70" t="e">
        <f t="shared" si="17"/>
        <v>#REF!</v>
      </c>
      <c r="CM171" s="64" t="s">
        <v>267</v>
      </c>
      <c r="CN171" s="122"/>
      <c r="CO171" s="71" t="s">
        <v>268</v>
      </c>
      <c r="CP171" s="73" t="e">
        <f xml:space="preserve"> _xlfn.TEXTJOIN(" ", FALSE,#REF!)</f>
        <v>#REF!</v>
      </c>
      <c r="CQ171" s="122"/>
      <c r="CR171" s="71" t="s">
        <v>269</v>
      </c>
      <c r="CS171" s="73" t="e">
        <f xml:space="preserve"> _xlfn.TEXTJOIN(" ", FALSE,#REF!)</f>
        <v>#REF!</v>
      </c>
      <c r="CT171" s="122"/>
      <c r="CU171" s="71" t="s">
        <v>270</v>
      </c>
      <c r="CV171" s="72" t="e">
        <f xml:space="preserve"> _xlfn.TEXTJOIN(" ", FALSE,#REF!)</f>
        <v>#REF!</v>
      </c>
      <c r="CW171" s="122"/>
      <c r="CX171" s="71" t="s">
        <v>271</v>
      </c>
      <c r="CY171" s="72" t="e">
        <f xml:space="preserve"> _xlfn.TEXTJOIN(" ", FALSE,#REF!)</f>
        <v>#REF!</v>
      </c>
      <c r="CZ171" s="122"/>
      <c r="DA171" s="71" t="s">
        <v>272</v>
      </c>
      <c r="DB171" s="73" t="e">
        <f xml:space="preserve"> _xlfn.TEXTJOIN(" ", FALSE,#REF!)</f>
        <v>#REF!</v>
      </c>
      <c r="DC171" s="65" t="s">
        <v>277</v>
      </c>
      <c r="DD171" s="70" t="e">
        <f t="shared" si="18"/>
        <v>#REF!</v>
      </c>
      <c r="DE171" s="64" t="s">
        <v>273</v>
      </c>
      <c r="DF171" s="122"/>
      <c r="DG171" s="71" t="s">
        <v>274</v>
      </c>
      <c r="DH171" s="72" t="e">
        <f xml:space="preserve"> _xlfn.TEXTJOIN(" ", FALSE,#REF!)</f>
        <v>#REF!</v>
      </c>
      <c r="DI171" s="122"/>
      <c r="DJ171" s="71" t="s">
        <v>275</v>
      </c>
      <c r="DK171" s="73" t="e">
        <f xml:space="preserve"> _xlfn.TEXTJOIN(" ", FALSE,#REF!)</f>
        <v>#REF!</v>
      </c>
      <c r="DL171" s="65" t="s">
        <v>277</v>
      </c>
      <c r="DM171" s="70" t="e">
        <f t="shared" si="19"/>
        <v>#REF!</v>
      </c>
      <c r="DN171" s="70" t="e">
        <f t="shared" si="20"/>
        <v>#REF!</v>
      </c>
    </row>
    <row r="172" spans="1:118" ht="108" customHeight="1">
      <c r="A172" s="122" t="e">
        <f>Summary!A172</f>
        <v>#REF!</v>
      </c>
      <c r="B172" s="64" t="s">
        <v>233</v>
      </c>
      <c r="C172" s="65" t="e">
        <f>Summary!B172</f>
        <v>#REF!</v>
      </c>
      <c r="D172" s="122"/>
      <c r="E172" s="64" t="s">
        <v>235</v>
      </c>
      <c r="F172" s="132" t="e">
        <f>Summary!C172</f>
        <v>#REF!</v>
      </c>
      <c r="G172" s="64" t="s">
        <v>236</v>
      </c>
      <c r="H172" s="132" t="e">
        <f>Summary!D172</f>
        <v>#REF!</v>
      </c>
      <c r="I172" s="64" t="s">
        <v>237</v>
      </c>
      <c r="J172" s="66">
        <f>Summary!E172</f>
        <v>5</v>
      </c>
      <c r="K172" s="64" t="s">
        <v>238</v>
      </c>
      <c r="L172" s="132" t="e">
        <f>Summary!F172</f>
        <v>#REF!</v>
      </c>
      <c r="M172" s="64" t="s">
        <v>239</v>
      </c>
      <c r="N172" s="132" t="e">
        <f>Summary!G172</f>
        <v>#REF!</v>
      </c>
      <c r="O172" s="64" t="s">
        <v>240</v>
      </c>
      <c r="P172" s="132" t="e">
        <f>Summary!H172</f>
        <v>#REF!</v>
      </c>
      <c r="Q172" s="65" t="s">
        <v>277</v>
      </c>
      <c r="R172" s="70" t="e">
        <f t="shared" si="14"/>
        <v>#REF!</v>
      </c>
      <c r="S172" s="64" t="s">
        <v>243</v>
      </c>
      <c r="T172" s="122"/>
      <c r="U172" s="71" t="s">
        <v>244</v>
      </c>
      <c r="V172" s="72" t="e">
        <f xml:space="preserve"> _xlfn.TEXTJOIN(" ", FALSE,#REF!)</f>
        <v>#REF!</v>
      </c>
      <c r="W172" s="122"/>
      <c r="X172" s="71" t="s">
        <v>245</v>
      </c>
      <c r="Y172" s="72" t="e">
        <f xml:space="preserve"> _xlfn.TEXTJOIN(" ", FALSE,#REF!)</f>
        <v>#REF!</v>
      </c>
      <c r="Z172" s="122"/>
      <c r="AA172" s="71" t="s">
        <v>246</v>
      </c>
      <c r="AB172" s="72" t="e">
        <f xml:space="preserve"> _xlfn.TEXTJOIN(" ", FALSE,#REF!)</f>
        <v>#REF!</v>
      </c>
      <c r="AC172" s="122"/>
      <c r="AD172" s="71" t="s">
        <v>247</v>
      </c>
      <c r="AE172" s="72" t="e">
        <f xml:space="preserve"> _xlfn.TEXTJOIN(" ", FALSE,#REF!)</f>
        <v>#REF!</v>
      </c>
      <c r="AF172" s="122"/>
      <c r="AG172" s="71" t="s">
        <v>248</v>
      </c>
      <c r="AH172" s="73" t="e">
        <f xml:space="preserve"> _xlfn.TEXTJOIN(" ", FALSE,#REF!)</f>
        <v>#REF!</v>
      </c>
      <c r="AI172" s="122"/>
      <c r="AJ172" s="71" t="s">
        <v>249</v>
      </c>
      <c r="AK172" s="73" t="e">
        <f xml:space="preserve"> _xlfn.TEXTJOIN(" ", FALSE,#REF!)</f>
        <v>#REF!</v>
      </c>
      <c r="AL172" s="122"/>
      <c r="AM172" s="71" t="s">
        <v>250</v>
      </c>
      <c r="AN172" s="73" t="e">
        <f xml:space="preserve"> _xlfn.TEXTJOIN(" ", FALSE,#REF!)</f>
        <v>#REF!</v>
      </c>
      <c r="AO172" s="122"/>
      <c r="AP172" s="71" t="s">
        <v>251</v>
      </c>
      <c r="AQ172" s="72" t="e">
        <f xml:space="preserve"> _xlfn.TEXTJOIN(" ", FALSE,#REF!)</f>
        <v>#REF!</v>
      </c>
      <c r="AR172" s="122"/>
      <c r="AS172" s="71" t="s">
        <v>252</v>
      </c>
      <c r="AT172" s="72" t="e">
        <f xml:space="preserve"> _xlfn.TEXTJOIN(" ", FALSE,#REF!)</f>
        <v>#REF!</v>
      </c>
      <c r="AU172" s="122"/>
      <c r="AV172" s="71" t="s">
        <v>253</v>
      </c>
      <c r="AW172" s="73" t="e">
        <f xml:space="preserve"> _xlfn.TEXTJOIN(" ", FALSE,#REF!)</f>
        <v>#REF!</v>
      </c>
      <c r="AX172" s="122"/>
      <c r="AY172" s="71" t="s">
        <v>254</v>
      </c>
      <c r="AZ172" s="72" t="e">
        <f xml:space="preserve"> _xlfn.TEXTJOIN(" ", FALSE,#REF!)</f>
        <v>#REF!</v>
      </c>
      <c r="BA172" s="122"/>
      <c r="BB172" s="71" t="s">
        <v>255</v>
      </c>
      <c r="BC172" s="72" t="e">
        <f xml:space="preserve"> _xlfn.TEXTJOIN(" ", FALSE,#REF!)</f>
        <v>#REF!</v>
      </c>
      <c r="BD172" s="122"/>
      <c r="BE172" s="71" t="s">
        <v>256</v>
      </c>
      <c r="BF172" s="72" t="e">
        <f xml:space="preserve"> _xlfn.TEXTJOIN(" ", FALSE,#REF!)</f>
        <v>#REF!</v>
      </c>
      <c r="BG172" s="65" t="s">
        <v>277</v>
      </c>
      <c r="BH172" s="70" t="e">
        <f t="shared" si="15"/>
        <v>#REF!</v>
      </c>
      <c r="BI172" s="64" t="s">
        <v>257</v>
      </c>
      <c r="BJ172" s="122"/>
      <c r="BK172" s="71" t="s">
        <v>258</v>
      </c>
      <c r="BL172" s="74" t="str">
        <f>_xlfn.TEXTJOIN(" ", FALSE, 'Task 2a - Mitigating the Proble'!U172:AC172)</f>
        <v xml:space="preserve">1 1 1 1 0 0 0 0 </v>
      </c>
      <c r="BM172" s="65" t="s">
        <v>277</v>
      </c>
      <c r="BN172" s="70" t="str">
        <f t="shared" si="16"/>
        <v>[Details for Task 2a:]  /Question 12: 1 1 1 1 0 0 0 0  .</v>
      </c>
      <c r="BO172" s="64" t="s">
        <v>259</v>
      </c>
      <c r="BP172" s="122"/>
      <c r="BQ172" s="71" t="s">
        <v>260</v>
      </c>
      <c r="BR172" s="73" t="e">
        <f xml:space="preserve"> _xlfn.TEXTJOIN(" ", FALSE,#REF!)</f>
        <v>#REF!</v>
      </c>
      <c r="BS172" s="122"/>
      <c r="BT172" s="71" t="s">
        <v>261</v>
      </c>
      <c r="BU172" s="73" t="e">
        <f xml:space="preserve"> _xlfn.TEXTJOIN(" ", FALSE,#REF!)</f>
        <v>#REF!</v>
      </c>
      <c r="BV172" s="122"/>
      <c r="BW172" s="71" t="s">
        <v>262</v>
      </c>
      <c r="BX172" s="73" t="e">
        <f xml:space="preserve"> _xlfn.TEXTJOIN(" ", FALSE,#REF!)</f>
        <v>#REF!</v>
      </c>
      <c r="BY172" s="122"/>
      <c r="BZ172" s="71" t="s">
        <v>263</v>
      </c>
      <c r="CA172" s="73" t="e">
        <f xml:space="preserve"> _xlfn.TEXTJOIN(" ", FALSE,#REF!)</f>
        <v>#REF!</v>
      </c>
      <c r="CB172" s="122"/>
      <c r="CC172" s="71" t="s">
        <v>264</v>
      </c>
      <c r="CD172" s="73" t="e">
        <f xml:space="preserve"> _xlfn.TEXTJOIN(" ", FALSE,#REF!)</f>
        <v>#REF!</v>
      </c>
      <c r="CE172" s="122"/>
      <c r="CF172" s="71" t="s">
        <v>265</v>
      </c>
      <c r="CG172" s="73" t="e">
        <f xml:space="preserve"> _xlfn.TEXTJOIN(" ", FALSE,#REF!)</f>
        <v>#REF!</v>
      </c>
      <c r="CH172" s="122"/>
      <c r="CI172" s="74" t="s">
        <v>278</v>
      </c>
      <c r="CJ172" s="73" t="e">
        <f xml:space="preserve"> _xlfn.TEXTJOIN(" ", FALSE,#REF!)</f>
        <v>#REF!</v>
      </c>
      <c r="CK172" s="65" t="s">
        <v>277</v>
      </c>
      <c r="CL172" s="70" t="e">
        <f t="shared" si="17"/>
        <v>#REF!</v>
      </c>
      <c r="CM172" s="64" t="s">
        <v>267</v>
      </c>
      <c r="CN172" s="122"/>
      <c r="CO172" s="71" t="s">
        <v>268</v>
      </c>
      <c r="CP172" s="73" t="e">
        <f xml:space="preserve"> _xlfn.TEXTJOIN(" ", FALSE,#REF!)</f>
        <v>#REF!</v>
      </c>
      <c r="CQ172" s="122"/>
      <c r="CR172" s="71" t="s">
        <v>269</v>
      </c>
      <c r="CS172" s="73" t="e">
        <f xml:space="preserve"> _xlfn.TEXTJOIN(" ", FALSE,#REF!)</f>
        <v>#REF!</v>
      </c>
      <c r="CT172" s="122"/>
      <c r="CU172" s="71" t="s">
        <v>270</v>
      </c>
      <c r="CV172" s="72" t="e">
        <f xml:space="preserve"> _xlfn.TEXTJOIN(" ", FALSE,#REF!)</f>
        <v>#REF!</v>
      </c>
      <c r="CW172" s="122"/>
      <c r="CX172" s="71" t="s">
        <v>271</v>
      </c>
      <c r="CY172" s="72" t="e">
        <f xml:space="preserve"> _xlfn.TEXTJOIN(" ", FALSE,#REF!)</f>
        <v>#REF!</v>
      </c>
      <c r="CZ172" s="122"/>
      <c r="DA172" s="71" t="s">
        <v>272</v>
      </c>
      <c r="DB172" s="73" t="e">
        <f xml:space="preserve"> _xlfn.TEXTJOIN(" ", FALSE,#REF!)</f>
        <v>#REF!</v>
      </c>
      <c r="DC172" s="65" t="s">
        <v>277</v>
      </c>
      <c r="DD172" s="70" t="e">
        <f t="shared" si="18"/>
        <v>#REF!</v>
      </c>
      <c r="DE172" s="64" t="s">
        <v>273</v>
      </c>
      <c r="DF172" s="122"/>
      <c r="DG172" s="71" t="s">
        <v>274</v>
      </c>
      <c r="DH172" s="72" t="e">
        <f xml:space="preserve"> _xlfn.TEXTJOIN(" ", FALSE,#REF!)</f>
        <v>#REF!</v>
      </c>
      <c r="DI172" s="122"/>
      <c r="DJ172" s="71" t="s">
        <v>275</v>
      </c>
      <c r="DK172" s="73" t="e">
        <f xml:space="preserve"> _xlfn.TEXTJOIN(" ", FALSE,#REF!)</f>
        <v>#REF!</v>
      </c>
      <c r="DL172" s="65" t="s">
        <v>277</v>
      </c>
      <c r="DM172" s="70" t="e">
        <f t="shared" si="19"/>
        <v>#REF!</v>
      </c>
      <c r="DN172" s="70" t="e">
        <f t="shared" si="20"/>
        <v>#REF!</v>
      </c>
    </row>
    <row r="173" spans="1:118" ht="108" customHeight="1">
      <c r="A173" s="122" t="e">
        <f>Summary!A173</f>
        <v>#REF!</v>
      </c>
      <c r="B173" s="64" t="s">
        <v>233</v>
      </c>
      <c r="C173" s="65" t="e">
        <f>Summary!B173</f>
        <v>#REF!</v>
      </c>
      <c r="D173" s="122"/>
      <c r="E173" s="64" t="s">
        <v>235</v>
      </c>
      <c r="F173" s="132" t="e">
        <f>Summary!C173</f>
        <v>#REF!</v>
      </c>
      <c r="G173" s="64" t="s">
        <v>236</v>
      </c>
      <c r="H173" s="132" t="e">
        <f>Summary!D173</f>
        <v>#REF!</v>
      </c>
      <c r="I173" s="64" t="s">
        <v>237</v>
      </c>
      <c r="J173" s="66">
        <f>Summary!E173</f>
        <v>6</v>
      </c>
      <c r="K173" s="64" t="s">
        <v>238</v>
      </c>
      <c r="L173" s="132" t="e">
        <f>Summary!F173</f>
        <v>#REF!</v>
      </c>
      <c r="M173" s="64" t="s">
        <v>239</v>
      </c>
      <c r="N173" s="132" t="e">
        <f>Summary!G173</f>
        <v>#REF!</v>
      </c>
      <c r="O173" s="64" t="s">
        <v>240</v>
      </c>
      <c r="P173" s="132" t="e">
        <f>Summary!H173</f>
        <v>#REF!</v>
      </c>
      <c r="Q173" s="65" t="s">
        <v>277</v>
      </c>
      <c r="R173" s="70" t="e">
        <f t="shared" si="14"/>
        <v>#REF!</v>
      </c>
      <c r="S173" s="64" t="s">
        <v>243</v>
      </c>
      <c r="T173" s="122"/>
      <c r="U173" s="71" t="s">
        <v>244</v>
      </c>
      <c r="V173" s="72" t="e">
        <f xml:space="preserve"> _xlfn.TEXTJOIN(" ", FALSE,#REF!)</f>
        <v>#REF!</v>
      </c>
      <c r="W173" s="122"/>
      <c r="X173" s="71" t="s">
        <v>245</v>
      </c>
      <c r="Y173" s="72" t="e">
        <f xml:space="preserve"> _xlfn.TEXTJOIN(" ", FALSE,#REF!)</f>
        <v>#REF!</v>
      </c>
      <c r="Z173" s="122"/>
      <c r="AA173" s="71" t="s">
        <v>246</v>
      </c>
      <c r="AB173" s="72" t="e">
        <f xml:space="preserve"> _xlfn.TEXTJOIN(" ", FALSE,#REF!)</f>
        <v>#REF!</v>
      </c>
      <c r="AC173" s="122"/>
      <c r="AD173" s="71" t="s">
        <v>247</v>
      </c>
      <c r="AE173" s="72" t="e">
        <f xml:space="preserve"> _xlfn.TEXTJOIN(" ", FALSE,#REF!)</f>
        <v>#REF!</v>
      </c>
      <c r="AF173" s="122"/>
      <c r="AG173" s="71" t="s">
        <v>248</v>
      </c>
      <c r="AH173" s="73" t="e">
        <f xml:space="preserve"> _xlfn.TEXTJOIN(" ", FALSE,#REF!)</f>
        <v>#REF!</v>
      </c>
      <c r="AI173" s="122"/>
      <c r="AJ173" s="71" t="s">
        <v>249</v>
      </c>
      <c r="AK173" s="73" t="e">
        <f xml:space="preserve"> _xlfn.TEXTJOIN(" ", FALSE,#REF!)</f>
        <v>#REF!</v>
      </c>
      <c r="AL173" s="122"/>
      <c r="AM173" s="71" t="s">
        <v>250</v>
      </c>
      <c r="AN173" s="73" t="e">
        <f xml:space="preserve"> _xlfn.TEXTJOIN(" ", FALSE,#REF!)</f>
        <v>#REF!</v>
      </c>
      <c r="AO173" s="122"/>
      <c r="AP173" s="71" t="s">
        <v>251</v>
      </c>
      <c r="AQ173" s="72" t="e">
        <f xml:space="preserve"> _xlfn.TEXTJOIN(" ", FALSE,#REF!)</f>
        <v>#REF!</v>
      </c>
      <c r="AR173" s="122"/>
      <c r="AS173" s="71" t="s">
        <v>252</v>
      </c>
      <c r="AT173" s="72" t="e">
        <f xml:space="preserve"> _xlfn.TEXTJOIN(" ", FALSE,#REF!)</f>
        <v>#REF!</v>
      </c>
      <c r="AU173" s="122"/>
      <c r="AV173" s="71" t="s">
        <v>253</v>
      </c>
      <c r="AW173" s="73" t="e">
        <f xml:space="preserve"> _xlfn.TEXTJOIN(" ", FALSE,#REF!)</f>
        <v>#REF!</v>
      </c>
      <c r="AX173" s="122"/>
      <c r="AY173" s="71" t="s">
        <v>254</v>
      </c>
      <c r="AZ173" s="72" t="e">
        <f xml:space="preserve"> _xlfn.TEXTJOIN(" ", FALSE,#REF!)</f>
        <v>#REF!</v>
      </c>
      <c r="BA173" s="122"/>
      <c r="BB173" s="71" t="s">
        <v>255</v>
      </c>
      <c r="BC173" s="72" t="e">
        <f xml:space="preserve"> _xlfn.TEXTJOIN(" ", FALSE,#REF!)</f>
        <v>#REF!</v>
      </c>
      <c r="BD173" s="122"/>
      <c r="BE173" s="71" t="s">
        <v>256</v>
      </c>
      <c r="BF173" s="72" t="e">
        <f xml:space="preserve"> _xlfn.TEXTJOIN(" ", FALSE,#REF!)</f>
        <v>#REF!</v>
      </c>
      <c r="BG173" s="65" t="s">
        <v>277</v>
      </c>
      <c r="BH173" s="70" t="e">
        <f t="shared" si="15"/>
        <v>#REF!</v>
      </c>
      <c r="BI173" s="64" t="s">
        <v>257</v>
      </c>
      <c r="BJ173" s="122"/>
      <c r="BK173" s="71" t="s">
        <v>258</v>
      </c>
      <c r="BL173" s="74" t="str">
        <f>_xlfn.TEXTJOIN(" ", FALSE, 'Task 2a - Mitigating the Proble'!U173:AC173)</f>
        <v xml:space="preserve">1 0 1 0 1 1 0 0 </v>
      </c>
      <c r="BM173" s="65" t="s">
        <v>277</v>
      </c>
      <c r="BN173" s="70" t="str">
        <f t="shared" si="16"/>
        <v>[Details for Task 2a:]  /Question 12: 1 0 1 0 1 1 0 0  .</v>
      </c>
      <c r="BO173" s="64" t="s">
        <v>259</v>
      </c>
      <c r="BP173" s="122"/>
      <c r="BQ173" s="71" t="s">
        <v>260</v>
      </c>
      <c r="BR173" s="73" t="e">
        <f xml:space="preserve"> _xlfn.TEXTJOIN(" ", FALSE,#REF!)</f>
        <v>#REF!</v>
      </c>
      <c r="BS173" s="122"/>
      <c r="BT173" s="71" t="s">
        <v>261</v>
      </c>
      <c r="BU173" s="73" t="e">
        <f xml:space="preserve"> _xlfn.TEXTJOIN(" ", FALSE,#REF!)</f>
        <v>#REF!</v>
      </c>
      <c r="BV173" s="122"/>
      <c r="BW173" s="71" t="s">
        <v>262</v>
      </c>
      <c r="BX173" s="73" t="e">
        <f xml:space="preserve"> _xlfn.TEXTJOIN(" ", FALSE,#REF!)</f>
        <v>#REF!</v>
      </c>
      <c r="BY173" s="122"/>
      <c r="BZ173" s="71" t="s">
        <v>263</v>
      </c>
      <c r="CA173" s="73" t="e">
        <f xml:space="preserve"> _xlfn.TEXTJOIN(" ", FALSE,#REF!)</f>
        <v>#REF!</v>
      </c>
      <c r="CB173" s="122"/>
      <c r="CC173" s="71" t="s">
        <v>264</v>
      </c>
      <c r="CD173" s="73" t="e">
        <f xml:space="preserve"> _xlfn.TEXTJOIN(" ", FALSE,#REF!)</f>
        <v>#REF!</v>
      </c>
      <c r="CE173" s="122"/>
      <c r="CF173" s="71" t="s">
        <v>265</v>
      </c>
      <c r="CG173" s="73" t="e">
        <f xml:space="preserve"> _xlfn.TEXTJOIN(" ", FALSE,#REF!)</f>
        <v>#REF!</v>
      </c>
      <c r="CH173" s="122"/>
      <c r="CI173" s="74" t="s">
        <v>278</v>
      </c>
      <c r="CJ173" s="73" t="e">
        <f xml:space="preserve"> _xlfn.TEXTJOIN(" ", FALSE,#REF!)</f>
        <v>#REF!</v>
      </c>
      <c r="CK173" s="65" t="s">
        <v>277</v>
      </c>
      <c r="CL173" s="70" t="e">
        <f t="shared" si="17"/>
        <v>#REF!</v>
      </c>
      <c r="CM173" s="64" t="s">
        <v>267</v>
      </c>
      <c r="CN173" s="122"/>
      <c r="CO173" s="71" t="s">
        <v>268</v>
      </c>
      <c r="CP173" s="73" t="e">
        <f xml:space="preserve"> _xlfn.TEXTJOIN(" ", FALSE,#REF!)</f>
        <v>#REF!</v>
      </c>
      <c r="CQ173" s="122"/>
      <c r="CR173" s="71" t="s">
        <v>269</v>
      </c>
      <c r="CS173" s="73" t="e">
        <f xml:space="preserve"> _xlfn.TEXTJOIN(" ", FALSE,#REF!)</f>
        <v>#REF!</v>
      </c>
      <c r="CT173" s="122"/>
      <c r="CU173" s="71" t="s">
        <v>270</v>
      </c>
      <c r="CV173" s="72" t="e">
        <f xml:space="preserve"> _xlfn.TEXTJOIN(" ", FALSE,#REF!)</f>
        <v>#REF!</v>
      </c>
      <c r="CW173" s="122"/>
      <c r="CX173" s="71" t="s">
        <v>271</v>
      </c>
      <c r="CY173" s="72" t="e">
        <f xml:space="preserve"> _xlfn.TEXTJOIN(" ", FALSE,#REF!)</f>
        <v>#REF!</v>
      </c>
      <c r="CZ173" s="122"/>
      <c r="DA173" s="71" t="s">
        <v>272</v>
      </c>
      <c r="DB173" s="73" t="e">
        <f xml:space="preserve"> _xlfn.TEXTJOIN(" ", FALSE,#REF!)</f>
        <v>#REF!</v>
      </c>
      <c r="DC173" s="65" t="s">
        <v>277</v>
      </c>
      <c r="DD173" s="70" t="e">
        <f t="shared" si="18"/>
        <v>#REF!</v>
      </c>
      <c r="DE173" s="64" t="s">
        <v>273</v>
      </c>
      <c r="DF173" s="122"/>
      <c r="DG173" s="71" t="s">
        <v>274</v>
      </c>
      <c r="DH173" s="72" t="e">
        <f xml:space="preserve"> _xlfn.TEXTJOIN(" ", FALSE,#REF!)</f>
        <v>#REF!</v>
      </c>
      <c r="DI173" s="122"/>
      <c r="DJ173" s="71" t="s">
        <v>275</v>
      </c>
      <c r="DK173" s="73" t="e">
        <f xml:space="preserve"> _xlfn.TEXTJOIN(" ", FALSE,#REF!)</f>
        <v>#REF!</v>
      </c>
      <c r="DL173" s="65" t="s">
        <v>277</v>
      </c>
      <c r="DM173" s="70" t="e">
        <f t="shared" si="19"/>
        <v>#REF!</v>
      </c>
      <c r="DN173" s="70" t="e">
        <f t="shared" si="20"/>
        <v>#REF!</v>
      </c>
    </row>
    <row r="174" spans="1:118" ht="108" customHeight="1">
      <c r="A174" s="122" t="e">
        <f>Summary!A174</f>
        <v>#REF!</v>
      </c>
      <c r="B174" s="64" t="s">
        <v>233</v>
      </c>
      <c r="C174" s="65" t="e">
        <f>Summary!B174</f>
        <v>#REF!</v>
      </c>
      <c r="D174" s="122"/>
      <c r="E174" s="64" t="s">
        <v>235</v>
      </c>
      <c r="F174" s="132" t="e">
        <f>Summary!C174</f>
        <v>#REF!</v>
      </c>
      <c r="G174" s="64" t="s">
        <v>236</v>
      </c>
      <c r="H174" s="132" t="e">
        <f>Summary!D174</f>
        <v>#REF!</v>
      </c>
      <c r="I174" s="64" t="s">
        <v>237</v>
      </c>
      <c r="J174" s="66">
        <f>Summary!E174</f>
        <v>5</v>
      </c>
      <c r="K174" s="64" t="s">
        <v>238</v>
      </c>
      <c r="L174" s="132" t="e">
        <f>Summary!F174</f>
        <v>#REF!</v>
      </c>
      <c r="M174" s="64" t="s">
        <v>239</v>
      </c>
      <c r="N174" s="132" t="e">
        <f>Summary!G174</f>
        <v>#REF!</v>
      </c>
      <c r="O174" s="64" t="s">
        <v>240</v>
      </c>
      <c r="P174" s="132" t="e">
        <f>Summary!H174</f>
        <v>#REF!</v>
      </c>
      <c r="Q174" s="65" t="s">
        <v>277</v>
      </c>
      <c r="R174" s="70" t="e">
        <f t="shared" si="14"/>
        <v>#REF!</v>
      </c>
      <c r="S174" s="64" t="s">
        <v>243</v>
      </c>
      <c r="T174" s="122"/>
      <c r="U174" s="71" t="s">
        <v>244</v>
      </c>
      <c r="V174" s="72" t="e">
        <f xml:space="preserve"> _xlfn.TEXTJOIN(" ", FALSE,#REF!)</f>
        <v>#REF!</v>
      </c>
      <c r="W174" s="122"/>
      <c r="X174" s="71" t="s">
        <v>245</v>
      </c>
      <c r="Y174" s="72" t="e">
        <f xml:space="preserve"> _xlfn.TEXTJOIN(" ", FALSE,#REF!)</f>
        <v>#REF!</v>
      </c>
      <c r="Z174" s="122"/>
      <c r="AA174" s="71" t="s">
        <v>246</v>
      </c>
      <c r="AB174" s="72" t="e">
        <f xml:space="preserve"> _xlfn.TEXTJOIN(" ", FALSE,#REF!)</f>
        <v>#REF!</v>
      </c>
      <c r="AC174" s="122"/>
      <c r="AD174" s="71" t="s">
        <v>247</v>
      </c>
      <c r="AE174" s="72" t="e">
        <f xml:space="preserve"> _xlfn.TEXTJOIN(" ", FALSE,#REF!)</f>
        <v>#REF!</v>
      </c>
      <c r="AF174" s="122"/>
      <c r="AG174" s="71" t="s">
        <v>248</v>
      </c>
      <c r="AH174" s="73" t="e">
        <f xml:space="preserve"> _xlfn.TEXTJOIN(" ", FALSE,#REF!)</f>
        <v>#REF!</v>
      </c>
      <c r="AI174" s="122"/>
      <c r="AJ174" s="71" t="s">
        <v>249</v>
      </c>
      <c r="AK174" s="73" t="e">
        <f xml:space="preserve"> _xlfn.TEXTJOIN(" ", FALSE,#REF!)</f>
        <v>#REF!</v>
      </c>
      <c r="AL174" s="122"/>
      <c r="AM174" s="71" t="s">
        <v>250</v>
      </c>
      <c r="AN174" s="73" t="e">
        <f xml:space="preserve"> _xlfn.TEXTJOIN(" ", FALSE,#REF!)</f>
        <v>#REF!</v>
      </c>
      <c r="AO174" s="122"/>
      <c r="AP174" s="71" t="s">
        <v>251</v>
      </c>
      <c r="AQ174" s="72" t="e">
        <f xml:space="preserve"> _xlfn.TEXTJOIN(" ", FALSE,#REF!)</f>
        <v>#REF!</v>
      </c>
      <c r="AR174" s="122"/>
      <c r="AS174" s="71" t="s">
        <v>252</v>
      </c>
      <c r="AT174" s="72" t="e">
        <f xml:space="preserve"> _xlfn.TEXTJOIN(" ", FALSE,#REF!)</f>
        <v>#REF!</v>
      </c>
      <c r="AU174" s="122"/>
      <c r="AV174" s="71" t="s">
        <v>253</v>
      </c>
      <c r="AW174" s="73" t="e">
        <f xml:space="preserve"> _xlfn.TEXTJOIN(" ", FALSE,#REF!)</f>
        <v>#REF!</v>
      </c>
      <c r="AX174" s="122"/>
      <c r="AY174" s="71" t="s">
        <v>254</v>
      </c>
      <c r="AZ174" s="72" t="e">
        <f xml:space="preserve"> _xlfn.TEXTJOIN(" ", FALSE,#REF!)</f>
        <v>#REF!</v>
      </c>
      <c r="BA174" s="122"/>
      <c r="BB174" s="71" t="s">
        <v>255</v>
      </c>
      <c r="BC174" s="72" t="e">
        <f xml:space="preserve"> _xlfn.TEXTJOIN(" ", FALSE,#REF!)</f>
        <v>#REF!</v>
      </c>
      <c r="BD174" s="122"/>
      <c r="BE174" s="71" t="s">
        <v>256</v>
      </c>
      <c r="BF174" s="72" t="e">
        <f xml:space="preserve"> _xlfn.TEXTJOIN(" ", FALSE,#REF!)</f>
        <v>#REF!</v>
      </c>
      <c r="BG174" s="65" t="s">
        <v>277</v>
      </c>
      <c r="BH174" s="70" t="e">
        <f t="shared" si="15"/>
        <v>#REF!</v>
      </c>
      <c r="BI174" s="64" t="s">
        <v>257</v>
      </c>
      <c r="BJ174" s="122"/>
      <c r="BK174" s="71" t="s">
        <v>258</v>
      </c>
      <c r="BL174" s="74" t="str">
        <f>_xlfn.TEXTJOIN(" ", FALSE, 'Task 2a - Mitigating the Proble'!U174:AC174)</f>
        <v xml:space="preserve">1 0 0 0 0 1 0 0 </v>
      </c>
      <c r="BM174" s="65" t="s">
        <v>277</v>
      </c>
      <c r="BN174" s="70" t="str">
        <f t="shared" si="16"/>
        <v>[Details for Task 2a:]  /Question 12: 1 0 0 0 0 1 0 0  .</v>
      </c>
      <c r="BO174" s="64" t="s">
        <v>259</v>
      </c>
      <c r="BP174" s="122"/>
      <c r="BQ174" s="71" t="s">
        <v>260</v>
      </c>
      <c r="BR174" s="73" t="e">
        <f xml:space="preserve"> _xlfn.TEXTJOIN(" ", FALSE,#REF!)</f>
        <v>#REF!</v>
      </c>
      <c r="BS174" s="122"/>
      <c r="BT174" s="71" t="s">
        <v>261</v>
      </c>
      <c r="BU174" s="73" t="e">
        <f xml:space="preserve"> _xlfn.TEXTJOIN(" ", FALSE,#REF!)</f>
        <v>#REF!</v>
      </c>
      <c r="BV174" s="122"/>
      <c r="BW174" s="71" t="s">
        <v>262</v>
      </c>
      <c r="BX174" s="73" t="e">
        <f xml:space="preserve"> _xlfn.TEXTJOIN(" ", FALSE,#REF!)</f>
        <v>#REF!</v>
      </c>
      <c r="BY174" s="122"/>
      <c r="BZ174" s="71" t="s">
        <v>263</v>
      </c>
      <c r="CA174" s="73" t="e">
        <f xml:space="preserve"> _xlfn.TEXTJOIN(" ", FALSE,#REF!)</f>
        <v>#REF!</v>
      </c>
      <c r="CB174" s="122"/>
      <c r="CC174" s="71" t="s">
        <v>264</v>
      </c>
      <c r="CD174" s="73" t="e">
        <f xml:space="preserve"> _xlfn.TEXTJOIN(" ", FALSE,#REF!)</f>
        <v>#REF!</v>
      </c>
      <c r="CE174" s="122"/>
      <c r="CF174" s="71" t="s">
        <v>265</v>
      </c>
      <c r="CG174" s="73" t="e">
        <f xml:space="preserve"> _xlfn.TEXTJOIN(" ", FALSE,#REF!)</f>
        <v>#REF!</v>
      </c>
      <c r="CH174" s="122"/>
      <c r="CI174" s="74" t="s">
        <v>278</v>
      </c>
      <c r="CJ174" s="73" t="e">
        <f xml:space="preserve"> _xlfn.TEXTJOIN(" ", FALSE,#REF!)</f>
        <v>#REF!</v>
      </c>
      <c r="CK174" s="65" t="s">
        <v>277</v>
      </c>
      <c r="CL174" s="70" t="e">
        <f t="shared" si="17"/>
        <v>#REF!</v>
      </c>
      <c r="CM174" s="64" t="s">
        <v>267</v>
      </c>
      <c r="CN174" s="122"/>
      <c r="CO174" s="71" t="s">
        <v>268</v>
      </c>
      <c r="CP174" s="73" t="e">
        <f xml:space="preserve"> _xlfn.TEXTJOIN(" ", FALSE,#REF!)</f>
        <v>#REF!</v>
      </c>
      <c r="CQ174" s="122"/>
      <c r="CR174" s="71" t="s">
        <v>269</v>
      </c>
      <c r="CS174" s="73" t="e">
        <f xml:space="preserve"> _xlfn.TEXTJOIN(" ", FALSE,#REF!)</f>
        <v>#REF!</v>
      </c>
      <c r="CT174" s="122"/>
      <c r="CU174" s="71" t="s">
        <v>270</v>
      </c>
      <c r="CV174" s="72" t="e">
        <f xml:space="preserve"> _xlfn.TEXTJOIN(" ", FALSE,#REF!)</f>
        <v>#REF!</v>
      </c>
      <c r="CW174" s="122"/>
      <c r="CX174" s="71" t="s">
        <v>271</v>
      </c>
      <c r="CY174" s="72" t="e">
        <f xml:space="preserve"> _xlfn.TEXTJOIN(" ", FALSE,#REF!)</f>
        <v>#REF!</v>
      </c>
      <c r="CZ174" s="122"/>
      <c r="DA174" s="71" t="s">
        <v>272</v>
      </c>
      <c r="DB174" s="73" t="e">
        <f xml:space="preserve"> _xlfn.TEXTJOIN(" ", FALSE,#REF!)</f>
        <v>#REF!</v>
      </c>
      <c r="DC174" s="65" t="s">
        <v>277</v>
      </c>
      <c r="DD174" s="70" t="e">
        <f t="shared" si="18"/>
        <v>#REF!</v>
      </c>
      <c r="DE174" s="64" t="s">
        <v>273</v>
      </c>
      <c r="DF174" s="122"/>
      <c r="DG174" s="71" t="s">
        <v>274</v>
      </c>
      <c r="DH174" s="72" t="e">
        <f xml:space="preserve"> _xlfn.TEXTJOIN(" ", FALSE,#REF!)</f>
        <v>#REF!</v>
      </c>
      <c r="DI174" s="122"/>
      <c r="DJ174" s="71" t="s">
        <v>275</v>
      </c>
      <c r="DK174" s="73" t="e">
        <f xml:space="preserve"> _xlfn.TEXTJOIN(" ", FALSE,#REF!)</f>
        <v>#REF!</v>
      </c>
      <c r="DL174" s="65" t="s">
        <v>277</v>
      </c>
      <c r="DM174" s="70" t="e">
        <f t="shared" si="19"/>
        <v>#REF!</v>
      </c>
      <c r="DN174" s="70" t="e">
        <f t="shared" si="20"/>
        <v>#REF!</v>
      </c>
    </row>
    <row r="175" spans="1:118" ht="108" customHeight="1">
      <c r="A175" s="122" t="e">
        <f>Summary!A175</f>
        <v>#REF!</v>
      </c>
      <c r="B175" s="64" t="s">
        <v>233</v>
      </c>
      <c r="C175" s="115" t="e">
        <f>Summary!B175</f>
        <v>#REF!</v>
      </c>
      <c r="D175" s="122"/>
      <c r="E175" s="64" t="s">
        <v>235</v>
      </c>
      <c r="F175" s="133" t="e">
        <f>Summary!C175</f>
        <v>#REF!</v>
      </c>
      <c r="G175" s="64" t="s">
        <v>236</v>
      </c>
      <c r="H175" s="132" t="e">
        <f>Summary!D175</f>
        <v>#REF!</v>
      </c>
      <c r="I175" s="64" t="s">
        <v>237</v>
      </c>
      <c r="J175" s="66">
        <f>Summary!E175</f>
        <v>5</v>
      </c>
      <c r="K175" s="64" t="s">
        <v>238</v>
      </c>
      <c r="L175" s="133" t="e">
        <f>Summary!F175</f>
        <v>#REF!</v>
      </c>
      <c r="M175" s="64" t="s">
        <v>239</v>
      </c>
      <c r="N175" s="132" t="e">
        <f>Summary!G175</f>
        <v>#REF!</v>
      </c>
      <c r="O175" s="64" t="s">
        <v>240</v>
      </c>
      <c r="P175" s="132" t="e">
        <f>Summary!H175</f>
        <v>#REF!</v>
      </c>
      <c r="Q175" s="65" t="s">
        <v>277</v>
      </c>
      <c r="R175" s="70" t="e">
        <f t="shared" si="14"/>
        <v>#REF!</v>
      </c>
      <c r="S175" s="64" t="s">
        <v>243</v>
      </c>
      <c r="T175" s="122"/>
      <c r="U175" s="71" t="s">
        <v>244</v>
      </c>
      <c r="V175" s="72" t="e">
        <f xml:space="preserve"> _xlfn.TEXTJOIN(" ", FALSE,#REF!)</f>
        <v>#REF!</v>
      </c>
      <c r="W175" s="122"/>
      <c r="X175" s="71" t="s">
        <v>245</v>
      </c>
      <c r="Y175" s="72" t="e">
        <f xml:space="preserve"> _xlfn.TEXTJOIN(" ", FALSE,#REF!)</f>
        <v>#REF!</v>
      </c>
      <c r="Z175" s="122"/>
      <c r="AA175" s="71" t="s">
        <v>246</v>
      </c>
      <c r="AB175" s="72" t="e">
        <f xml:space="preserve"> _xlfn.TEXTJOIN(" ", FALSE,#REF!)</f>
        <v>#REF!</v>
      </c>
      <c r="AC175" s="122"/>
      <c r="AD175" s="71" t="s">
        <v>247</v>
      </c>
      <c r="AE175" s="72" t="e">
        <f xml:space="preserve"> _xlfn.TEXTJOIN(" ", FALSE,#REF!)</f>
        <v>#REF!</v>
      </c>
      <c r="AF175" s="122"/>
      <c r="AG175" s="71" t="s">
        <v>248</v>
      </c>
      <c r="AH175" s="73" t="e">
        <f xml:space="preserve"> _xlfn.TEXTJOIN(" ", FALSE,#REF!)</f>
        <v>#REF!</v>
      </c>
      <c r="AI175" s="122"/>
      <c r="AJ175" s="71" t="s">
        <v>249</v>
      </c>
      <c r="AK175" s="73" t="e">
        <f xml:space="preserve"> _xlfn.TEXTJOIN(" ", FALSE,#REF!)</f>
        <v>#REF!</v>
      </c>
      <c r="AL175" s="122"/>
      <c r="AM175" s="71" t="s">
        <v>250</v>
      </c>
      <c r="AN175" s="73" t="e">
        <f xml:space="preserve"> _xlfn.TEXTJOIN(" ", FALSE,#REF!)</f>
        <v>#REF!</v>
      </c>
      <c r="AO175" s="122"/>
      <c r="AP175" s="71" t="s">
        <v>251</v>
      </c>
      <c r="AQ175" s="72" t="e">
        <f xml:space="preserve"> _xlfn.TEXTJOIN(" ", FALSE,#REF!)</f>
        <v>#REF!</v>
      </c>
      <c r="AR175" s="122"/>
      <c r="AS175" s="71" t="s">
        <v>252</v>
      </c>
      <c r="AT175" s="72" t="e">
        <f xml:space="preserve"> _xlfn.TEXTJOIN(" ", FALSE,#REF!)</f>
        <v>#REF!</v>
      </c>
      <c r="AU175" s="122"/>
      <c r="AV175" s="71" t="s">
        <v>253</v>
      </c>
      <c r="AW175" s="73" t="e">
        <f xml:space="preserve"> _xlfn.TEXTJOIN(" ", FALSE,#REF!)</f>
        <v>#REF!</v>
      </c>
      <c r="AX175" s="122"/>
      <c r="AY175" s="71" t="s">
        <v>254</v>
      </c>
      <c r="AZ175" s="72" t="e">
        <f xml:space="preserve"> _xlfn.TEXTJOIN(" ", FALSE,#REF!)</f>
        <v>#REF!</v>
      </c>
      <c r="BA175" s="122"/>
      <c r="BB175" s="71" t="s">
        <v>255</v>
      </c>
      <c r="BC175" s="72" t="e">
        <f xml:space="preserve"> _xlfn.TEXTJOIN(" ", FALSE,#REF!)</f>
        <v>#REF!</v>
      </c>
      <c r="BD175" s="122"/>
      <c r="BE175" s="71" t="s">
        <v>256</v>
      </c>
      <c r="BF175" s="72" t="e">
        <f xml:space="preserve"> _xlfn.TEXTJOIN(" ", FALSE,#REF!)</f>
        <v>#REF!</v>
      </c>
      <c r="BG175" s="65" t="s">
        <v>277</v>
      </c>
      <c r="BH175" s="70" t="e">
        <f t="shared" si="15"/>
        <v>#REF!</v>
      </c>
      <c r="BI175" s="64" t="s">
        <v>257</v>
      </c>
      <c r="BJ175" s="122"/>
      <c r="BK175" s="71" t="s">
        <v>258</v>
      </c>
      <c r="BL175" s="74" t="str">
        <f>_xlfn.TEXTJOIN(" ", FALSE, 'Task 2a - Mitigating the Proble'!U175:AC175)</f>
        <v xml:space="preserve">1 0 0 0 0 1 0 0 </v>
      </c>
      <c r="BM175" s="65" t="s">
        <v>277</v>
      </c>
      <c r="BN175" s="70" t="str">
        <f t="shared" si="16"/>
        <v>[Details for Task 2a:]  /Question 12: 1 0 0 0 0 1 0 0  .</v>
      </c>
      <c r="BO175" s="64" t="s">
        <v>259</v>
      </c>
      <c r="BP175" s="122"/>
      <c r="BQ175" s="71" t="s">
        <v>260</v>
      </c>
      <c r="BR175" s="73" t="e">
        <f xml:space="preserve"> _xlfn.TEXTJOIN(" ", FALSE,#REF!)</f>
        <v>#REF!</v>
      </c>
      <c r="BS175" s="122"/>
      <c r="BT175" s="71" t="s">
        <v>261</v>
      </c>
      <c r="BU175" s="73" t="e">
        <f xml:space="preserve"> _xlfn.TEXTJOIN(" ", FALSE,#REF!)</f>
        <v>#REF!</v>
      </c>
      <c r="BV175" s="122"/>
      <c r="BW175" s="71" t="s">
        <v>262</v>
      </c>
      <c r="BX175" s="73" t="e">
        <f xml:space="preserve"> _xlfn.TEXTJOIN(" ", FALSE,#REF!)</f>
        <v>#REF!</v>
      </c>
      <c r="BY175" s="122"/>
      <c r="BZ175" s="71" t="s">
        <v>263</v>
      </c>
      <c r="CA175" s="73" t="e">
        <f xml:space="preserve"> _xlfn.TEXTJOIN(" ", FALSE,#REF!)</f>
        <v>#REF!</v>
      </c>
      <c r="CB175" s="122"/>
      <c r="CC175" s="71" t="s">
        <v>264</v>
      </c>
      <c r="CD175" s="73" t="e">
        <f xml:space="preserve"> _xlfn.TEXTJOIN(" ", FALSE,#REF!)</f>
        <v>#REF!</v>
      </c>
      <c r="CE175" s="122"/>
      <c r="CF175" s="71" t="s">
        <v>265</v>
      </c>
      <c r="CG175" s="73" t="e">
        <f xml:space="preserve"> _xlfn.TEXTJOIN(" ", FALSE,#REF!)</f>
        <v>#REF!</v>
      </c>
      <c r="CH175" s="122"/>
      <c r="CI175" s="74" t="s">
        <v>278</v>
      </c>
      <c r="CJ175" s="73" t="e">
        <f xml:space="preserve"> _xlfn.TEXTJOIN(" ", FALSE,#REF!)</f>
        <v>#REF!</v>
      </c>
      <c r="CK175" s="65" t="s">
        <v>277</v>
      </c>
      <c r="CL175" s="116" t="e">
        <f t="shared" si="17"/>
        <v>#REF!</v>
      </c>
      <c r="CM175" s="64" t="s">
        <v>267</v>
      </c>
      <c r="CN175" s="122"/>
      <c r="CO175" s="71" t="s">
        <v>268</v>
      </c>
      <c r="CP175" s="73" t="e">
        <f xml:space="preserve"> _xlfn.TEXTJOIN(" ", FALSE,#REF!)</f>
        <v>#REF!</v>
      </c>
      <c r="CQ175" s="122"/>
      <c r="CR175" s="71" t="s">
        <v>269</v>
      </c>
      <c r="CS175" s="73" t="e">
        <f xml:space="preserve"> _xlfn.TEXTJOIN(" ", FALSE,#REF!)</f>
        <v>#REF!</v>
      </c>
      <c r="CT175" s="122"/>
      <c r="CU175" s="71" t="s">
        <v>270</v>
      </c>
      <c r="CV175" s="72" t="e">
        <f xml:space="preserve"> _xlfn.TEXTJOIN(" ", FALSE,#REF!)</f>
        <v>#REF!</v>
      </c>
      <c r="CW175" s="122"/>
      <c r="CX175" s="71" t="s">
        <v>271</v>
      </c>
      <c r="CY175" s="72" t="e">
        <f xml:space="preserve"> _xlfn.TEXTJOIN(" ", FALSE,#REF!)</f>
        <v>#REF!</v>
      </c>
      <c r="CZ175" s="122"/>
      <c r="DA175" s="71" t="s">
        <v>272</v>
      </c>
      <c r="DB175" s="73" t="e">
        <f xml:space="preserve"> _xlfn.TEXTJOIN(" ", FALSE,#REF!)</f>
        <v>#REF!</v>
      </c>
      <c r="DC175" s="65" t="s">
        <v>277</v>
      </c>
      <c r="DD175" s="70" t="e">
        <f t="shared" si="18"/>
        <v>#REF!</v>
      </c>
      <c r="DE175" s="64" t="s">
        <v>273</v>
      </c>
      <c r="DF175" s="122"/>
      <c r="DG175" s="71" t="s">
        <v>274</v>
      </c>
      <c r="DH175" s="72" t="e">
        <f xml:space="preserve"> _xlfn.TEXTJOIN(" ", FALSE,#REF!)</f>
        <v>#REF!</v>
      </c>
      <c r="DI175" s="122"/>
      <c r="DJ175" s="71" t="s">
        <v>275</v>
      </c>
      <c r="DK175" s="73" t="e">
        <f xml:space="preserve"> _xlfn.TEXTJOIN(" ", FALSE,#REF!)</f>
        <v>#REF!</v>
      </c>
      <c r="DL175" s="65" t="s">
        <v>277</v>
      </c>
      <c r="DM175" s="70" t="e">
        <f t="shared" si="19"/>
        <v>#REF!</v>
      </c>
      <c r="DN175" s="70" t="e">
        <f t="shared" si="20"/>
        <v>#REF!</v>
      </c>
    </row>
    <row r="176" spans="1:118" ht="108" customHeight="1">
      <c r="A176" s="122" t="e">
        <f>Summary!A176</f>
        <v>#REF!</v>
      </c>
      <c r="B176" s="64" t="s">
        <v>233</v>
      </c>
      <c r="C176" s="65" t="e">
        <f>Summary!B176</f>
        <v>#REF!</v>
      </c>
      <c r="D176" s="122"/>
      <c r="E176" s="64" t="s">
        <v>235</v>
      </c>
      <c r="F176" s="132" t="e">
        <f>Summary!C176</f>
        <v>#REF!</v>
      </c>
      <c r="G176" s="64" t="s">
        <v>236</v>
      </c>
      <c r="H176" s="132" t="e">
        <f>Summary!D176</f>
        <v>#REF!</v>
      </c>
      <c r="I176" s="64" t="s">
        <v>237</v>
      </c>
      <c r="J176" s="66">
        <f>Summary!E176</f>
        <v>6</v>
      </c>
      <c r="K176" s="64" t="s">
        <v>238</v>
      </c>
      <c r="L176" s="132" t="e">
        <f>Summary!F176</f>
        <v>#REF!</v>
      </c>
      <c r="M176" s="64" t="s">
        <v>239</v>
      </c>
      <c r="N176" s="132" t="e">
        <f>Summary!G176</f>
        <v>#REF!</v>
      </c>
      <c r="O176" s="64" t="s">
        <v>240</v>
      </c>
      <c r="P176" s="132" t="e">
        <f>Summary!H176</f>
        <v>#REF!</v>
      </c>
      <c r="Q176" s="65" t="s">
        <v>277</v>
      </c>
      <c r="R176" s="70" t="e">
        <f t="shared" si="14"/>
        <v>#REF!</v>
      </c>
      <c r="S176" s="64" t="s">
        <v>243</v>
      </c>
      <c r="T176" s="122"/>
      <c r="U176" s="71" t="s">
        <v>244</v>
      </c>
      <c r="V176" s="72" t="e">
        <f xml:space="preserve"> _xlfn.TEXTJOIN(" ", FALSE,#REF!)</f>
        <v>#REF!</v>
      </c>
      <c r="W176" s="122"/>
      <c r="X176" s="71" t="s">
        <v>245</v>
      </c>
      <c r="Y176" s="72" t="e">
        <f xml:space="preserve"> _xlfn.TEXTJOIN(" ", FALSE,#REF!)</f>
        <v>#REF!</v>
      </c>
      <c r="Z176" s="122"/>
      <c r="AA176" s="71" t="s">
        <v>246</v>
      </c>
      <c r="AB176" s="72" t="e">
        <f xml:space="preserve"> _xlfn.TEXTJOIN(" ", FALSE,#REF!)</f>
        <v>#REF!</v>
      </c>
      <c r="AC176" s="122"/>
      <c r="AD176" s="71" t="s">
        <v>247</v>
      </c>
      <c r="AE176" s="72" t="e">
        <f xml:space="preserve"> _xlfn.TEXTJOIN(" ", FALSE,#REF!)</f>
        <v>#REF!</v>
      </c>
      <c r="AF176" s="122"/>
      <c r="AG176" s="71" t="s">
        <v>248</v>
      </c>
      <c r="AH176" s="73" t="e">
        <f xml:space="preserve"> _xlfn.TEXTJOIN(" ", FALSE,#REF!)</f>
        <v>#REF!</v>
      </c>
      <c r="AI176" s="122"/>
      <c r="AJ176" s="71" t="s">
        <v>249</v>
      </c>
      <c r="AK176" s="73" t="e">
        <f xml:space="preserve"> _xlfn.TEXTJOIN(" ", FALSE,#REF!)</f>
        <v>#REF!</v>
      </c>
      <c r="AL176" s="122"/>
      <c r="AM176" s="71" t="s">
        <v>250</v>
      </c>
      <c r="AN176" s="73" t="e">
        <f xml:space="preserve"> _xlfn.TEXTJOIN(" ", FALSE,#REF!)</f>
        <v>#REF!</v>
      </c>
      <c r="AO176" s="122"/>
      <c r="AP176" s="71" t="s">
        <v>251</v>
      </c>
      <c r="AQ176" s="72" t="e">
        <f xml:space="preserve"> _xlfn.TEXTJOIN(" ", FALSE,#REF!)</f>
        <v>#REF!</v>
      </c>
      <c r="AR176" s="122"/>
      <c r="AS176" s="71" t="s">
        <v>252</v>
      </c>
      <c r="AT176" s="72" t="e">
        <f xml:space="preserve"> _xlfn.TEXTJOIN(" ", FALSE,#REF!)</f>
        <v>#REF!</v>
      </c>
      <c r="AU176" s="122"/>
      <c r="AV176" s="71" t="s">
        <v>253</v>
      </c>
      <c r="AW176" s="73" t="e">
        <f xml:space="preserve"> _xlfn.TEXTJOIN(" ", FALSE,#REF!)</f>
        <v>#REF!</v>
      </c>
      <c r="AX176" s="122"/>
      <c r="AY176" s="71" t="s">
        <v>254</v>
      </c>
      <c r="AZ176" s="72" t="e">
        <f xml:space="preserve"> _xlfn.TEXTJOIN(" ", FALSE,#REF!)</f>
        <v>#REF!</v>
      </c>
      <c r="BA176" s="122"/>
      <c r="BB176" s="71" t="s">
        <v>255</v>
      </c>
      <c r="BC176" s="72" t="e">
        <f xml:space="preserve"> _xlfn.TEXTJOIN(" ", FALSE,#REF!)</f>
        <v>#REF!</v>
      </c>
      <c r="BD176" s="122"/>
      <c r="BE176" s="71" t="s">
        <v>256</v>
      </c>
      <c r="BF176" s="72" t="e">
        <f xml:space="preserve"> _xlfn.TEXTJOIN(" ", FALSE,#REF!)</f>
        <v>#REF!</v>
      </c>
      <c r="BG176" s="65" t="s">
        <v>277</v>
      </c>
      <c r="BH176" s="70" t="e">
        <f t="shared" si="15"/>
        <v>#REF!</v>
      </c>
      <c r="BI176" s="64" t="s">
        <v>257</v>
      </c>
      <c r="BJ176" s="122"/>
      <c r="BK176" s="71" t="s">
        <v>258</v>
      </c>
      <c r="BL176" s="74" t="str">
        <f>_xlfn.TEXTJOIN(" ", FALSE, 'Task 2a - Mitigating the Proble'!U176:AC176)</f>
        <v xml:space="preserve">1 0 1 0 0 1 0 0 </v>
      </c>
      <c r="BM176" s="65" t="s">
        <v>277</v>
      </c>
      <c r="BN176" s="70" t="str">
        <f t="shared" si="16"/>
        <v>[Details for Task 2a:]  /Question 12: 1 0 1 0 0 1 0 0  .</v>
      </c>
      <c r="BO176" s="64" t="s">
        <v>259</v>
      </c>
      <c r="BP176" s="122"/>
      <c r="BQ176" s="71" t="s">
        <v>260</v>
      </c>
      <c r="BR176" s="73" t="e">
        <f xml:space="preserve"> _xlfn.TEXTJOIN(" ", FALSE,#REF!)</f>
        <v>#REF!</v>
      </c>
      <c r="BS176" s="122"/>
      <c r="BT176" s="71" t="s">
        <v>261</v>
      </c>
      <c r="BU176" s="73" t="e">
        <f xml:space="preserve"> _xlfn.TEXTJOIN(" ", FALSE,#REF!)</f>
        <v>#REF!</v>
      </c>
      <c r="BV176" s="122"/>
      <c r="BW176" s="71" t="s">
        <v>262</v>
      </c>
      <c r="BX176" s="73" t="e">
        <f xml:space="preserve"> _xlfn.TEXTJOIN(" ", FALSE,#REF!)</f>
        <v>#REF!</v>
      </c>
      <c r="BY176" s="122"/>
      <c r="BZ176" s="71" t="s">
        <v>263</v>
      </c>
      <c r="CA176" s="73" t="e">
        <f xml:space="preserve"> _xlfn.TEXTJOIN(" ", FALSE,#REF!)</f>
        <v>#REF!</v>
      </c>
      <c r="CB176" s="122"/>
      <c r="CC176" s="71" t="s">
        <v>264</v>
      </c>
      <c r="CD176" s="73" t="e">
        <f xml:space="preserve"> _xlfn.TEXTJOIN(" ", FALSE,#REF!)</f>
        <v>#REF!</v>
      </c>
      <c r="CE176" s="122"/>
      <c r="CF176" s="71" t="s">
        <v>265</v>
      </c>
      <c r="CG176" s="73" t="e">
        <f xml:space="preserve"> _xlfn.TEXTJOIN(" ", FALSE,#REF!)</f>
        <v>#REF!</v>
      </c>
      <c r="CH176" s="122"/>
      <c r="CI176" s="74" t="s">
        <v>278</v>
      </c>
      <c r="CJ176" s="73" t="e">
        <f xml:space="preserve"> _xlfn.TEXTJOIN(" ", FALSE,#REF!)</f>
        <v>#REF!</v>
      </c>
      <c r="CK176" s="65" t="s">
        <v>277</v>
      </c>
      <c r="CL176" s="70" t="e">
        <f t="shared" si="17"/>
        <v>#REF!</v>
      </c>
      <c r="CM176" s="64" t="s">
        <v>267</v>
      </c>
      <c r="CN176" s="122"/>
      <c r="CO176" s="71" t="s">
        <v>268</v>
      </c>
      <c r="CP176" s="73" t="e">
        <f xml:space="preserve"> _xlfn.TEXTJOIN(" ", FALSE,#REF!)</f>
        <v>#REF!</v>
      </c>
      <c r="CQ176" s="122"/>
      <c r="CR176" s="71" t="s">
        <v>269</v>
      </c>
      <c r="CS176" s="73" t="e">
        <f xml:space="preserve"> _xlfn.TEXTJOIN(" ", FALSE,#REF!)</f>
        <v>#REF!</v>
      </c>
      <c r="CT176" s="122"/>
      <c r="CU176" s="71" t="s">
        <v>270</v>
      </c>
      <c r="CV176" s="72" t="e">
        <f xml:space="preserve"> _xlfn.TEXTJOIN(" ", FALSE,#REF!)</f>
        <v>#REF!</v>
      </c>
      <c r="CW176" s="122"/>
      <c r="CX176" s="71" t="s">
        <v>271</v>
      </c>
      <c r="CY176" s="72" t="e">
        <f xml:space="preserve"> _xlfn.TEXTJOIN(" ", FALSE,#REF!)</f>
        <v>#REF!</v>
      </c>
      <c r="CZ176" s="122"/>
      <c r="DA176" s="71" t="s">
        <v>272</v>
      </c>
      <c r="DB176" s="73" t="e">
        <f xml:space="preserve"> _xlfn.TEXTJOIN(" ", FALSE,#REF!)</f>
        <v>#REF!</v>
      </c>
      <c r="DC176" s="65" t="s">
        <v>277</v>
      </c>
      <c r="DD176" s="70" t="e">
        <f t="shared" si="18"/>
        <v>#REF!</v>
      </c>
      <c r="DE176" s="64" t="s">
        <v>273</v>
      </c>
      <c r="DF176" s="122"/>
      <c r="DG176" s="71" t="s">
        <v>274</v>
      </c>
      <c r="DH176" s="72" t="e">
        <f xml:space="preserve"> _xlfn.TEXTJOIN(" ", FALSE,#REF!)</f>
        <v>#REF!</v>
      </c>
      <c r="DI176" s="122"/>
      <c r="DJ176" s="71" t="s">
        <v>275</v>
      </c>
      <c r="DK176" s="73" t="e">
        <f xml:space="preserve"> _xlfn.TEXTJOIN(" ", FALSE,#REF!)</f>
        <v>#REF!</v>
      </c>
      <c r="DL176" s="65" t="s">
        <v>277</v>
      </c>
      <c r="DM176" s="70" t="e">
        <f t="shared" si="19"/>
        <v>#REF!</v>
      </c>
      <c r="DN176" s="70" t="e">
        <f t="shared" si="20"/>
        <v>#REF!</v>
      </c>
    </row>
    <row r="177" spans="1:118" ht="108" customHeight="1">
      <c r="A177" s="122" t="e">
        <f>Summary!A177</f>
        <v>#REF!</v>
      </c>
      <c r="B177" s="64" t="s">
        <v>233</v>
      </c>
      <c r="C177" s="65" t="e">
        <f>Summary!B177</f>
        <v>#REF!</v>
      </c>
      <c r="D177" s="122"/>
      <c r="E177" s="64" t="s">
        <v>235</v>
      </c>
      <c r="F177" s="132" t="e">
        <f>Summary!C177</f>
        <v>#REF!</v>
      </c>
      <c r="G177" s="64" t="s">
        <v>236</v>
      </c>
      <c r="H177" s="132" t="e">
        <f>Summary!D177</f>
        <v>#REF!</v>
      </c>
      <c r="I177" s="64" t="s">
        <v>237</v>
      </c>
      <c r="J177" s="66">
        <f>Summary!E177</f>
        <v>5</v>
      </c>
      <c r="K177" s="64" t="s">
        <v>238</v>
      </c>
      <c r="L177" s="132" t="e">
        <f>Summary!F177</f>
        <v>#REF!</v>
      </c>
      <c r="M177" s="64" t="s">
        <v>239</v>
      </c>
      <c r="N177" s="132" t="e">
        <f>Summary!G177</f>
        <v>#REF!</v>
      </c>
      <c r="O177" s="64" t="s">
        <v>240</v>
      </c>
      <c r="P177" s="132" t="e">
        <f>Summary!H177</f>
        <v>#REF!</v>
      </c>
      <c r="Q177" s="65" t="s">
        <v>277</v>
      </c>
      <c r="R177" s="70" t="e">
        <f t="shared" si="14"/>
        <v>#REF!</v>
      </c>
      <c r="S177" s="64" t="s">
        <v>243</v>
      </c>
      <c r="T177" s="122"/>
      <c r="U177" s="71" t="s">
        <v>244</v>
      </c>
      <c r="V177" s="72" t="e">
        <f xml:space="preserve"> _xlfn.TEXTJOIN(" ", FALSE,#REF!)</f>
        <v>#REF!</v>
      </c>
      <c r="W177" s="122"/>
      <c r="X177" s="71" t="s">
        <v>245</v>
      </c>
      <c r="Y177" s="72" t="e">
        <f xml:space="preserve"> _xlfn.TEXTJOIN(" ", FALSE,#REF!)</f>
        <v>#REF!</v>
      </c>
      <c r="Z177" s="122"/>
      <c r="AA177" s="71" t="s">
        <v>246</v>
      </c>
      <c r="AB177" s="72" t="e">
        <f xml:space="preserve"> _xlfn.TEXTJOIN(" ", FALSE,#REF!)</f>
        <v>#REF!</v>
      </c>
      <c r="AC177" s="122"/>
      <c r="AD177" s="71" t="s">
        <v>247</v>
      </c>
      <c r="AE177" s="72" t="e">
        <f xml:space="preserve"> _xlfn.TEXTJOIN(" ", FALSE,#REF!)</f>
        <v>#REF!</v>
      </c>
      <c r="AF177" s="122"/>
      <c r="AG177" s="71" t="s">
        <v>248</v>
      </c>
      <c r="AH177" s="73" t="e">
        <f xml:space="preserve"> _xlfn.TEXTJOIN(" ", FALSE,#REF!)</f>
        <v>#REF!</v>
      </c>
      <c r="AI177" s="122"/>
      <c r="AJ177" s="71" t="s">
        <v>249</v>
      </c>
      <c r="AK177" s="73" t="e">
        <f xml:space="preserve"> _xlfn.TEXTJOIN(" ", FALSE,#REF!)</f>
        <v>#REF!</v>
      </c>
      <c r="AL177" s="122"/>
      <c r="AM177" s="71" t="s">
        <v>250</v>
      </c>
      <c r="AN177" s="73" t="e">
        <f xml:space="preserve"> _xlfn.TEXTJOIN(" ", FALSE,#REF!)</f>
        <v>#REF!</v>
      </c>
      <c r="AO177" s="122"/>
      <c r="AP177" s="71" t="s">
        <v>251</v>
      </c>
      <c r="AQ177" s="72" t="e">
        <f xml:space="preserve"> _xlfn.TEXTJOIN(" ", FALSE,#REF!)</f>
        <v>#REF!</v>
      </c>
      <c r="AR177" s="122"/>
      <c r="AS177" s="71" t="s">
        <v>252</v>
      </c>
      <c r="AT177" s="72" t="e">
        <f xml:space="preserve"> _xlfn.TEXTJOIN(" ", FALSE,#REF!)</f>
        <v>#REF!</v>
      </c>
      <c r="AU177" s="122"/>
      <c r="AV177" s="71" t="s">
        <v>253</v>
      </c>
      <c r="AW177" s="73" t="e">
        <f xml:space="preserve"> _xlfn.TEXTJOIN(" ", FALSE,#REF!)</f>
        <v>#REF!</v>
      </c>
      <c r="AX177" s="122"/>
      <c r="AY177" s="71" t="s">
        <v>254</v>
      </c>
      <c r="AZ177" s="72" t="e">
        <f xml:space="preserve"> _xlfn.TEXTJOIN(" ", FALSE,#REF!)</f>
        <v>#REF!</v>
      </c>
      <c r="BA177" s="122"/>
      <c r="BB177" s="71" t="s">
        <v>255</v>
      </c>
      <c r="BC177" s="72" t="e">
        <f xml:space="preserve"> _xlfn.TEXTJOIN(" ", FALSE,#REF!)</f>
        <v>#REF!</v>
      </c>
      <c r="BD177" s="122"/>
      <c r="BE177" s="71" t="s">
        <v>256</v>
      </c>
      <c r="BF177" s="72" t="e">
        <f xml:space="preserve"> _xlfn.TEXTJOIN(" ", FALSE,#REF!)</f>
        <v>#REF!</v>
      </c>
      <c r="BG177" s="65" t="s">
        <v>277</v>
      </c>
      <c r="BH177" s="70" t="e">
        <f t="shared" si="15"/>
        <v>#REF!</v>
      </c>
      <c r="BI177" s="64" t="s">
        <v>257</v>
      </c>
      <c r="BJ177" s="122"/>
      <c r="BK177" s="71" t="s">
        <v>258</v>
      </c>
      <c r="BL177" s="74" t="str">
        <f>_xlfn.TEXTJOIN(" ", FALSE, 'Task 2a - Mitigating the Proble'!U177:AC177)</f>
        <v xml:space="preserve">1 0 0 0 0 1 0 0 </v>
      </c>
      <c r="BM177" s="65" t="s">
        <v>277</v>
      </c>
      <c r="BN177" s="70" t="str">
        <f t="shared" si="16"/>
        <v>[Details for Task 2a:]  /Question 12: 1 0 0 0 0 1 0 0  .</v>
      </c>
      <c r="BO177" s="64" t="s">
        <v>259</v>
      </c>
      <c r="BP177" s="122"/>
      <c r="BQ177" s="71" t="s">
        <v>260</v>
      </c>
      <c r="BR177" s="73" t="e">
        <f xml:space="preserve"> _xlfn.TEXTJOIN(" ", FALSE,#REF!)</f>
        <v>#REF!</v>
      </c>
      <c r="BS177" s="122"/>
      <c r="BT177" s="71" t="s">
        <v>261</v>
      </c>
      <c r="BU177" s="73" t="e">
        <f xml:space="preserve"> _xlfn.TEXTJOIN(" ", FALSE,#REF!)</f>
        <v>#REF!</v>
      </c>
      <c r="BV177" s="122"/>
      <c r="BW177" s="71" t="s">
        <v>262</v>
      </c>
      <c r="BX177" s="73" t="e">
        <f xml:space="preserve"> _xlfn.TEXTJOIN(" ", FALSE,#REF!)</f>
        <v>#REF!</v>
      </c>
      <c r="BY177" s="122"/>
      <c r="BZ177" s="71" t="s">
        <v>263</v>
      </c>
      <c r="CA177" s="73" t="e">
        <f xml:space="preserve"> _xlfn.TEXTJOIN(" ", FALSE,#REF!)</f>
        <v>#REF!</v>
      </c>
      <c r="CB177" s="122"/>
      <c r="CC177" s="71" t="s">
        <v>264</v>
      </c>
      <c r="CD177" s="73" t="e">
        <f xml:space="preserve"> _xlfn.TEXTJOIN(" ", FALSE,#REF!)</f>
        <v>#REF!</v>
      </c>
      <c r="CE177" s="122"/>
      <c r="CF177" s="71" t="s">
        <v>265</v>
      </c>
      <c r="CG177" s="73" t="e">
        <f xml:space="preserve"> _xlfn.TEXTJOIN(" ", FALSE,#REF!)</f>
        <v>#REF!</v>
      </c>
      <c r="CH177" s="122"/>
      <c r="CI177" s="74" t="s">
        <v>278</v>
      </c>
      <c r="CJ177" s="73" t="e">
        <f xml:space="preserve"> _xlfn.TEXTJOIN(" ", FALSE,#REF!)</f>
        <v>#REF!</v>
      </c>
      <c r="CK177" s="65" t="s">
        <v>277</v>
      </c>
      <c r="CL177" s="70" t="e">
        <f t="shared" si="17"/>
        <v>#REF!</v>
      </c>
      <c r="CM177" s="64" t="s">
        <v>267</v>
      </c>
      <c r="CN177" s="122"/>
      <c r="CO177" s="71" t="s">
        <v>268</v>
      </c>
      <c r="CP177" s="73" t="e">
        <f xml:space="preserve"> _xlfn.TEXTJOIN(" ", FALSE,#REF!)</f>
        <v>#REF!</v>
      </c>
      <c r="CQ177" s="122"/>
      <c r="CR177" s="71" t="s">
        <v>269</v>
      </c>
      <c r="CS177" s="73" t="e">
        <f xml:space="preserve"> _xlfn.TEXTJOIN(" ", FALSE,#REF!)</f>
        <v>#REF!</v>
      </c>
      <c r="CT177" s="122"/>
      <c r="CU177" s="71" t="s">
        <v>270</v>
      </c>
      <c r="CV177" s="72" t="e">
        <f xml:space="preserve"> _xlfn.TEXTJOIN(" ", FALSE,#REF!)</f>
        <v>#REF!</v>
      </c>
      <c r="CW177" s="122"/>
      <c r="CX177" s="71" t="s">
        <v>271</v>
      </c>
      <c r="CY177" s="72" t="e">
        <f xml:space="preserve"> _xlfn.TEXTJOIN(" ", FALSE,#REF!)</f>
        <v>#REF!</v>
      </c>
      <c r="CZ177" s="122"/>
      <c r="DA177" s="71" t="s">
        <v>272</v>
      </c>
      <c r="DB177" s="73" t="e">
        <f xml:space="preserve"> _xlfn.TEXTJOIN(" ", FALSE,#REF!)</f>
        <v>#REF!</v>
      </c>
      <c r="DC177" s="65" t="s">
        <v>277</v>
      </c>
      <c r="DD177" s="70" t="e">
        <f t="shared" si="18"/>
        <v>#REF!</v>
      </c>
      <c r="DE177" s="64" t="s">
        <v>273</v>
      </c>
      <c r="DF177" s="122"/>
      <c r="DG177" s="71" t="s">
        <v>274</v>
      </c>
      <c r="DH177" s="72" t="e">
        <f xml:space="preserve"> _xlfn.TEXTJOIN(" ", FALSE,#REF!)</f>
        <v>#REF!</v>
      </c>
      <c r="DI177" s="122"/>
      <c r="DJ177" s="71" t="s">
        <v>275</v>
      </c>
      <c r="DK177" s="73" t="e">
        <f xml:space="preserve"> _xlfn.TEXTJOIN(" ", FALSE,#REF!)</f>
        <v>#REF!</v>
      </c>
      <c r="DL177" s="65" t="s">
        <v>277</v>
      </c>
      <c r="DM177" s="70" t="e">
        <f t="shared" si="19"/>
        <v>#REF!</v>
      </c>
      <c r="DN177" s="70" t="e">
        <f t="shared" si="20"/>
        <v>#REF!</v>
      </c>
    </row>
    <row r="178" spans="1:118" ht="108" customHeight="1">
      <c r="A178" s="122" t="e">
        <f>Summary!A178</f>
        <v>#REF!</v>
      </c>
      <c r="B178" s="64" t="s">
        <v>233</v>
      </c>
      <c r="C178" s="65" t="e">
        <f>Summary!B178</f>
        <v>#REF!</v>
      </c>
      <c r="D178" s="122"/>
      <c r="E178" s="64" t="s">
        <v>235</v>
      </c>
      <c r="F178" s="132" t="e">
        <f>Summary!C178</f>
        <v>#REF!</v>
      </c>
      <c r="G178" s="64" t="s">
        <v>236</v>
      </c>
      <c r="H178" s="132" t="e">
        <f>Summary!D178</f>
        <v>#REF!</v>
      </c>
      <c r="I178" s="64" t="s">
        <v>237</v>
      </c>
      <c r="J178" s="66">
        <f>Summary!E178</f>
        <v>7</v>
      </c>
      <c r="K178" s="64" t="s">
        <v>238</v>
      </c>
      <c r="L178" s="132" t="e">
        <f>Summary!F178</f>
        <v>#REF!</v>
      </c>
      <c r="M178" s="64" t="s">
        <v>239</v>
      </c>
      <c r="N178" s="132" t="e">
        <f>Summary!G178</f>
        <v>#REF!</v>
      </c>
      <c r="O178" s="64" t="s">
        <v>240</v>
      </c>
      <c r="P178" s="132" t="e">
        <f>Summary!H178</f>
        <v>#REF!</v>
      </c>
      <c r="Q178" s="65" t="s">
        <v>277</v>
      </c>
      <c r="R178" s="70" t="e">
        <f t="shared" si="14"/>
        <v>#REF!</v>
      </c>
      <c r="S178" s="64" t="s">
        <v>243</v>
      </c>
      <c r="T178" s="122"/>
      <c r="U178" s="71" t="s">
        <v>244</v>
      </c>
      <c r="V178" s="72" t="e">
        <f xml:space="preserve"> _xlfn.TEXTJOIN(" ", FALSE,#REF!)</f>
        <v>#REF!</v>
      </c>
      <c r="W178" s="122"/>
      <c r="X178" s="71" t="s">
        <v>245</v>
      </c>
      <c r="Y178" s="72" t="e">
        <f xml:space="preserve"> _xlfn.TEXTJOIN(" ", FALSE,#REF!)</f>
        <v>#REF!</v>
      </c>
      <c r="Z178" s="122"/>
      <c r="AA178" s="71" t="s">
        <v>246</v>
      </c>
      <c r="AB178" s="72" t="e">
        <f xml:space="preserve"> _xlfn.TEXTJOIN(" ", FALSE,#REF!)</f>
        <v>#REF!</v>
      </c>
      <c r="AC178" s="122"/>
      <c r="AD178" s="71" t="s">
        <v>247</v>
      </c>
      <c r="AE178" s="72" t="e">
        <f xml:space="preserve"> _xlfn.TEXTJOIN(" ", FALSE,#REF!)</f>
        <v>#REF!</v>
      </c>
      <c r="AF178" s="122"/>
      <c r="AG178" s="71" t="s">
        <v>248</v>
      </c>
      <c r="AH178" s="73" t="e">
        <f xml:space="preserve"> _xlfn.TEXTJOIN(" ", FALSE,#REF!)</f>
        <v>#REF!</v>
      </c>
      <c r="AI178" s="122"/>
      <c r="AJ178" s="71" t="s">
        <v>249</v>
      </c>
      <c r="AK178" s="73" t="e">
        <f xml:space="preserve"> _xlfn.TEXTJOIN(" ", FALSE,#REF!)</f>
        <v>#REF!</v>
      </c>
      <c r="AL178" s="122"/>
      <c r="AM178" s="71" t="s">
        <v>250</v>
      </c>
      <c r="AN178" s="73" t="e">
        <f xml:space="preserve"> _xlfn.TEXTJOIN(" ", FALSE,#REF!)</f>
        <v>#REF!</v>
      </c>
      <c r="AO178" s="122"/>
      <c r="AP178" s="71" t="s">
        <v>251</v>
      </c>
      <c r="AQ178" s="72" t="e">
        <f xml:space="preserve"> _xlfn.TEXTJOIN(" ", FALSE,#REF!)</f>
        <v>#REF!</v>
      </c>
      <c r="AR178" s="122"/>
      <c r="AS178" s="71" t="s">
        <v>252</v>
      </c>
      <c r="AT178" s="72" t="e">
        <f xml:space="preserve"> _xlfn.TEXTJOIN(" ", FALSE,#REF!)</f>
        <v>#REF!</v>
      </c>
      <c r="AU178" s="122"/>
      <c r="AV178" s="71" t="s">
        <v>253</v>
      </c>
      <c r="AW178" s="73" t="e">
        <f xml:space="preserve"> _xlfn.TEXTJOIN(" ", FALSE,#REF!)</f>
        <v>#REF!</v>
      </c>
      <c r="AX178" s="122"/>
      <c r="AY178" s="71" t="s">
        <v>254</v>
      </c>
      <c r="AZ178" s="72" t="e">
        <f xml:space="preserve"> _xlfn.TEXTJOIN(" ", FALSE,#REF!)</f>
        <v>#REF!</v>
      </c>
      <c r="BA178" s="122"/>
      <c r="BB178" s="71" t="s">
        <v>255</v>
      </c>
      <c r="BC178" s="72" t="e">
        <f xml:space="preserve"> _xlfn.TEXTJOIN(" ", FALSE,#REF!)</f>
        <v>#REF!</v>
      </c>
      <c r="BD178" s="122"/>
      <c r="BE178" s="71" t="s">
        <v>256</v>
      </c>
      <c r="BF178" s="72" t="e">
        <f xml:space="preserve"> _xlfn.TEXTJOIN(" ", FALSE,#REF!)</f>
        <v>#REF!</v>
      </c>
      <c r="BG178" s="65" t="s">
        <v>277</v>
      </c>
      <c r="BH178" s="70" t="e">
        <f t="shared" si="15"/>
        <v>#REF!</v>
      </c>
      <c r="BI178" s="64" t="s">
        <v>257</v>
      </c>
      <c r="BJ178" s="122"/>
      <c r="BK178" s="71" t="s">
        <v>258</v>
      </c>
      <c r="BL178" s="74" t="str">
        <f>_xlfn.TEXTJOIN(" ", FALSE, 'Task 2a - Mitigating the Proble'!U178:AC178)</f>
        <v xml:space="preserve">1 1 1 1 0 1 0 0 </v>
      </c>
      <c r="BM178" s="65" t="s">
        <v>277</v>
      </c>
      <c r="BN178" s="70" t="str">
        <f t="shared" si="16"/>
        <v>[Details for Task 2a:]  /Question 12: 1 1 1 1 0 1 0 0  .</v>
      </c>
      <c r="BO178" s="64" t="s">
        <v>259</v>
      </c>
      <c r="BP178" s="122"/>
      <c r="BQ178" s="71" t="s">
        <v>260</v>
      </c>
      <c r="BR178" s="73" t="e">
        <f xml:space="preserve"> _xlfn.TEXTJOIN(" ", FALSE,#REF!)</f>
        <v>#REF!</v>
      </c>
      <c r="BS178" s="122"/>
      <c r="BT178" s="71" t="s">
        <v>261</v>
      </c>
      <c r="BU178" s="73" t="e">
        <f xml:space="preserve"> _xlfn.TEXTJOIN(" ", FALSE,#REF!)</f>
        <v>#REF!</v>
      </c>
      <c r="BV178" s="122"/>
      <c r="BW178" s="71" t="s">
        <v>262</v>
      </c>
      <c r="BX178" s="73" t="e">
        <f xml:space="preserve"> _xlfn.TEXTJOIN(" ", FALSE,#REF!)</f>
        <v>#REF!</v>
      </c>
      <c r="BY178" s="122"/>
      <c r="BZ178" s="71" t="s">
        <v>263</v>
      </c>
      <c r="CA178" s="73" t="e">
        <f xml:space="preserve"> _xlfn.TEXTJOIN(" ", FALSE,#REF!)</f>
        <v>#REF!</v>
      </c>
      <c r="CB178" s="122"/>
      <c r="CC178" s="71" t="s">
        <v>264</v>
      </c>
      <c r="CD178" s="73" t="e">
        <f xml:space="preserve"> _xlfn.TEXTJOIN(" ", FALSE,#REF!)</f>
        <v>#REF!</v>
      </c>
      <c r="CE178" s="122"/>
      <c r="CF178" s="71" t="s">
        <v>265</v>
      </c>
      <c r="CG178" s="73" t="e">
        <f xml:space="preserve"> _xlfn.TEXTJOIN(" ", FALSE,#REF!)</f>
        <v>#REF!</v>
      </c>
      <c r="CH178" s="122"/>
      <c r="CI178" s="74" t="s">
        <v>278</v>
      </c>
      <c r="CJ178" s="73" t="e">
        <f xml:space="preserve"> _xlfn.TEXTJOIN(" ", FALSE,#REF!)</f>
        <v>#REF!</v>
      </c>
      <c r="CK178" s="65" t="s">
        <v>277</v>
      </c>
      <c r="CL178" s="70" t="e">
        <f t="shared" si="17"/>
        <v>#REF!</v>
      </c>
      <c r="CM178" s="64" t="s">
        <v>267</v>
      </c>
      <c r="CN178" s="122"/>
      <c r="CO178" s="71" t="s">
        <v>268</v>
      </c>
      <c r="CP178" s="73" t="e">
        <f xml:space="preserve"> _xlfn.TEXTJOIN(" ", FALSE,#REF!)</f>
        <v>#REF!</v>
      </c>
      <c r="CQ178" s="122"/>
      <c r="CR178" s="71" t="s">
        <v>269</v>
      </c>
      <c r="CS178" s="73" t="e">
        <f xml:space="preserve"> _xlfn.TEXTJOIN(" ", FALSE,#REF!)</f>
        <v>#REF!</v>
      </c>
      <c r="CT178" s="122"/>
      <c r="CU178" s="71" t="s">
        <v>270</v>
      </c>
      <c r="CV178" s="72" t="e">
        <f xml:space="preserve"> _xlfn.TEXTJOIN(" ", FALSE,#REF!)</f>
        <v>#REF!</v>
      </c>
      <c r="CW178" s="122"/>
      <c r="CX178" s="71" t="s">
        <v>271</v>
      </c>
      <c r="CY178" s="72" t="e">
        <f xml:space="preserve"> _xlfn.TEXTJOIN(" ", FALSE,#REF!)</f>
        <v>#REF!</v>
      </c>
      <c r="CZ178" s="122"/>
      <c r="DA178" s="71" t="s">
        <v>272</v>
      </c>
      <c r="DB178" s="73" t="e">
        <f xml:space="preserve"> _xlfn.TEXTJOIN(" ", FALSE,#REF!)</f>
        <v>#REF!</v>
      </c>
      <c r="DC178" s="65" t="s">
        <v>277</v>
      </c>
      <c r="DD178" s="70" t="e">
        <f t="shared" si="18"/>
        <v>#REF!</v>
      </c>
      <c r="DE178" s="64" t="s">
        <v>273</v>
      </c>
      <c r="DF178" s="122"/>
      <c r="DG178" s="71" t="s">
        <v>274</v>
      </c>
      <c r="DH178" s="72" t="e">
        <f xml:space="preserve"> _xlfn.TEXTJOIN(" ", FALSE,#REF!)</f>
        <v>#REF!</v>
      </c>
      <c r="DI178" s="122"/>
      <c r="DJ178" s="71" t="s">
        <v>275</v>
      </c>
      <c r="DK178" s="73" t="e">
        <f xml:space="preserve"> _xlfn.TEXTJOIN(" ", FALSE,#REF!)</f>
        <v>#REF!</v>
      </c>
      <c r="DL178" s="65" t="s">
        <v>277</v>
      </c>
      <c r="DM178" s="70" t="e">
        <f t="shared" si="19"/>
        <v>#REF!</v>
      </c>
      <c r="DN178" s="70" t="e">
        <f t="shared" si="20"/>
        <v>#REF!</v>
      </c>
    </row>
    <row r="179" spans="1:118" ht="108" customHeight="1">
      <c r="A179" s="122" t="e">
        <f>Summary!A179</f>
        <v>#REF!</v>
      </c>
      <c r="B179" s="64" t="s">
        <v>233</v>
      </c>
      <c r="C179" s="65" t="e">
        <f>Summary!B179</f>
        <v>#REF!</v>
      </c>
      <c r="D179" s="122"/>
      <c r="E179" s="64" t="s">
        <v>235</v>
      </c>
      <c r="F179" s="132" t="e">
        <f>Summary!C179</f>
        <v>#REF!</v>
      </c>
      <c r="G179" s="64" t="s">
        <v>236</v>
      </c>
      <c r="H179" s="132" t="e">
        <f>Summary!D179</f>
        <v>#REF!</v>
      </c>
      <c r="I179" s="64" t="s">
        <v>237</v>
      </c>
      <c r="J179" s="66">
        <f>Summary!E179</f>
        <v>7</v>
      </c>
      <c r="K179" s="64" t="s">
        <v>238</v>
      </c>
      <c r="L179" s="132" t="e">
        <f>Summary!F179</f>
        <v>#REF!</v>
      </c>
      <c r="M179" s="64" t="s">
        <v>239</v>
      </c>
      <c r="N179" s="132" t="e">
        <f>Summary!G179</f>
        <v>#REF!</v>
      </c>
      <c r="O179" s="64" t="s">
        <v>240</v>
      </c>
      <c r="P179" s="132" t="e">
        <f>Summary!H179</f>
        <v>#REF!</v>
      </c>
      <c r="Q179" s="65" t="s">
        <v>277</v>
      </c>
      <c r="R179" s="70" t="e">
        <f t="shared" si="14"/>
        <v>#REF!</v>
      </c>
      <c r="S179" s="64" t="s">
        <v>243</v>
      </c>
      <c r="T179" s="122"/>
      <c r="U179" s="71" t="s">
        <v>244</v>
      </c>
      <c r="V179" s="72" t="e">
        <f xml:space="preserve"> _xlfn.TEXTJOIN(" ", FALSE,#REF!)</f>
        <v>#REF!</v>
      </c>
      <c r="W179" s="122"/>
      <c r="X179" s="71" t="s">
        <v>245</v>
      </c>
      <c r="Y179" s="72" t="e">
        <f xml:space="preserve"> _xlfn.TEXTJOIN(" ", FALSE,#REF!)</f>
        <v>#REF!</v>
      </c>
      <c r="Z179" s="122"/>
      <c r="AA179" s="71" t="s">
        <v>246</v>
      </c>
      <c r="AB179" s="72" t="e">
        <f xml:space="preserve"> _xlfn.TEXTJOIN(" ", FALSE,#REF!)</f>
        <v>#REF!</v>
      </c>
      <c r="AC179" s="122"/>
      <c r="AD179" s="71" t="s">
        <v>247</v>
      </c>
      <c r="AE179" s="72" t="e">
        <f xml:space="preserve"> _xlfn.TEXTJOIN(" ", FALSE,#REF!)</f>
        <v>#REF!</v>
      </c>
      <c r="AF179" s="122"/>
      <c r="AG179" s="71" t="s">
        <v>248</v>
      </c>
      <c r="AH179" s="73" t="e">
        <f xml:space="preserve"> _xlfn.TEXTJOIN(" ", FALSE,#REF!)</f>
        <v>#REF!</v>
      </c>
      <c r="AI179" s="122"/>
      <c r="AJ179" s="71" t="s">
        <v>249</v>
      </c>
      <c r="AK179" s="73" t="e">
        <f xml:space="preserve"> _xlfn.TEXTJOIN(" ", FALSE,#REF!)</f>
        <v>#REF!</v>
      </c>
      <c r="AL179" s="122"/>
      <c r="AM179" s="71" t="s">
        <v>250</v>
      </c>
      <c r="AN179" s="73" t="e">
        <f xml:space="preserve"> _xlfn.TEXTJOIN(" ", FALSE,#REF!)</f>
        <v>#REF!</v>
      </c>
      <c r="AO179" s="122"/>
      <c r="AP179" s="71" t="s">
        <v>251</v>
      </c>
      <c r="AQ179" s="72" t="e">
        <f xml:space="preserve"> _xlfn.TEXTJOIN(" ", FALSE,#REF!)</f>
        <v>#REF!</v>
      </c>
      <c r="AR179" s="122"/>
      <c r="AS179" s="71" t="s">
        <v>252</v>
      </c>
      <c r="AT179" s="72" t="e">
        <f xml:space="preserve"> _xlfn.TEXTJOIN(" ", FALSE,#REF!)</f>
        <v>#REF!</v>
      </c>
      <c r="AU179" s="122"/>
      <c r="AV179" s="71" t="s">
        <v>253</v>
      </c>
      <c r="AW179" s="73" t="e">
        <f xml:space="preserve"> _xlfn.TEXTJOIN(" ", FALSE,#REF!)</f>
        <v>#REF!</v>
      </c>
      <c r="AX179" s="122"/>
      <c r="AY179" s="71" t="s">
        <v>254</v>
      </c>
      <c r="AZ179" s="72" t="e">
        <f xml:space="preserve"> _xlfn.TEXTJOIN(" ", FALSE,#REF!)</f>
        <v>#REF!</v>
      </c>
      <c r="BA179" s="122"/>
      <c r="BB179" s="71" t="s">
        <v>255</v>
      </c>
      <c r="BC179" s="72" t="e">
        <f xml:space="preserve"> _xlfn.TEXTJOIN(" ", FALSE,#REF!)</f>
        <v>#REF!</v>
      </c>
      <c r="BD179" s="122"/>
      <c r="BE179" s="71" t="s">
        <v>256</v>
      </c>
      <c r="BF179" s="72" t="e">
        <f xml:space="preserve"> _xlfn.TEXTJOIN(" ", FALSE,#REF!)</f>
        <v>#REF!</v>
      </c>
      <c r="BG179" s="65" t="s">
        <v>277</v>
      </c>
      <c r="BH179" s="70" t="e">
        <f t="shared" si="15"/>
        <v>#REF!</v>
      </c>
      <c r="BI179" s="64" t="s">
        <v>257</v>
      </c>
      <c r="BJ179" s="122"/>
      <c r="BK179" s="71" t="s">
        <v>258</v>
      </c>
      <c r="BL179" s="74" t="str">
        <f>_xlfn.TEXTJOIN(" ", FALSE, 'Task 2a - Mitigating the Proble'!U179:AC179)</f>
        <v xml:space="preserve">1 1 1 1 0 1 0 0 </v>
      </c>
      <c r="BM179" s="65" t="s">
        <v>277</v>
      </c>
      <c r="BN179" s="70" t="str">
        <f t="shared" si="16"/>
        <v>[Details for Task 2a:]  /Question 12: 1 1 1 1 0 1 0 0  .</v>
      </c>
      <c r="BO179" s="64" t="s">
        <v>259</v>
      </c>
      <c r="BP179" s="122"/>
      <c r="BQ179" s="71" t="s">
        <v>260</v>
      </c>
      <c r="BR179" s="73" t="e">
        <f xml:space="preserve"> _xlfn.TEXTJOIN(" ", FALSE,#REF!)</f>
        <v>#REF!</v>
      </c>
      <c r="BS179" s="122"/>
      <c r="BT179" s="71" t="s">
        <v>261</v>
      </c>
      <c r="BU179" s="73" t="e">
        <f xml:space="preserve"> _xlfn.TEXTJOIN(" ", FALSE,#REF!)</f>
        <v>#REF!</v>
      </c>
      <c r="BV179" s="122"/>
      <c r="BW179" s="71" t="s">
        <v>262</v>
      </c>
      <c r="BX179" s="73" t="e">
        <f xml:space="preserve"> _xlfn.TEXTJOIN(" ", FALSE,#REF!)</f>
        <v>#REF!</v>
      </c>
      <c r="BY179" s="122"/>
      <c r="BZ179" s="71" t="s">
        <v>263</v>
      </c>
      <c r="CA179" s="73" t="e">
        <f xml:space="preserve"> _xlfn.TEXTJOIN(" ", FALSE,#REF!)</f>
        <v>#REF!</v>
      </c>
      <c r="CB179" s="122"/>
      <c r="CC179" s="71" t="s">
        <v>264</v>
      </c>
      <c r="CD179" s="73" t="e">
        <f xml:space="preserve"> _xlfn.TEXTJOIN(" ", FALSE,#REF!)</f>
        <v>#REF!</v>
      </c>
      <c r="CE179" s="122"/>
      <c r="CF179" s="71" t="s">
        <v>265</v>
      </c>
      <c r="CG179" s="73" t="e">
        <f xml:space="preserve"> _xlfn.TEXTJOIN(" ", FALSE,#REF!)</f>
        <v>#REF!</v>
      </c>
      <c r="CH179" s="122"/>
      <c r="CI179" s="74" t="s">
        <v>278</v>
      </c>
      <c r="CJ179" s="73" t="e">
        <f xml:space="preserve"> _xlfn.TEXTJOIN(" ", FALSE,#REF!)</f>
        <v>#REF!</v>
      </c>
      <c r="CK179" s="65" t="s">
        <v>277</v>
      </c>
      <c r="CL179" s="70" t="e">
        <f t="shared" si="17"/>
        <v>#REF!</v>
      </c>
      <c r="CM179" s="64" t="s">
        <v>267</v>
      </c>
      <c r="CN179" s="122"/>
      <c r="CO179" s="71" t="s">
        <v>268</v>
      </c>
      <c r="CP179" s="73" t="e">
        <f xml:space="preserve"> _xlfn.TEXTJOIN(" ", FALSE,#REF!)</f>
        <v>#REF!</v>
      </c>
      <c r="CQ179" s="122"/>
      <c r="CR179" s="71" t="s">
        <v>269</v>
      </c>
      <c r="CS179" s="73" t="e">
        <f xml:space="preserve"> _xlfn.TEXTJOIN(" ", FALSE,#REF!)</f>
        <v>#REF!</v>
      </c>
      <c r="CT179" s="122"/>
      <c r="CU179" s="71" t="s">
        <v>270</v>
      </c>
      <c r="CV179" s="72" t="e">
        <f xml:space="preserve"> _xlfn.TEXTJOIN(" ", FALSE,#REF!)</f>
        <v>#REF!</v>
      </c>
      <c r="CW179" s="122"/>
      <c r="CX179" s="71" t="s">
        <v>271</v>
      </c>
      <c r="CY179" s="72" t="e">
        <f xml:space="preserve"> _xlfn.TEXTJOIN(" ", FALSE,#REF!)</f>
        <v>#REF!</v>
      </c>
      <c r="CZ179" s="122"/>
      <c r="DA179" s="71" t="s">
        <v>272</v>
      </c>
      <c r="DB179" s="73" t="e">
        <f xml:space="preserve"> _xlfn.TEXTJOIN(" ", FALSE,#REF!)</f>
        <v>#REF!</v>
      </c>
      <c r="DC179" s="65" t="s">
        <v>277</v>
      </c>
      <c r="DD179" s="70" t="e">
        <f t="shared" si="18"/>
        <v>#REF!</v>
      </c>
      <c r="DE179" s="64" t="s">
        <v>273</v>
      </c>
      <c r="DF179" s="122"/>
      <c r="DG179" s="71" t="s">
        <v>274</v>
      </c>
      <c r="DH179" s="72" t="e">
        <f xml:space="preserve"> _xlfn.TEXTJOIN(" ", FALSE,#REF!)</f>
        <v>#REF!</v>
      </c>
      <c r="DI179" s="122"/>
      <c r="DJ179" s="71" t="s">
        <v>275</v>
      </c>
      <c r="DK179" s="73" t="e">
        <f xml:space="preserve"> _xlfn.TEXTJOIN(" ", FALSE,#REF!)</f>
        <v>#REF!</v>
      </c>
      <c r="DL179" s="65" t="s">
        <v>277</v>
      </c>
      <c r="DM179" s="70" t="e">
        <f t="shared" si="19"/>
        <v>#REF!</v>
      </c>
      <c r="DN179" s="70" t="e">
        <f t="shared" si="20"/>
        <v>#REF!</v>
      </c>
    </row>
    <row r="180" spans="1:118" ht="108" customHeight="1">
      <c r="A180" s="122" t="e">
        <f>Summary!A180</f>
        <v>#REF!</v>
      </c>
      <c r="B180" s="64" t="s">
        <v>233</v>
      </c>
      <c r="C180" s="65" t="e">
        <f>Summary!B180</f>
        <v>#REF!</v>
      </c>
      <c r="D180" s="122"/>
      <c r="E180" s="64" t="s">
        <v>235</v>
      </c>
      <c r="F180" s="132" t="e">
        <f>Summary!C180</f>
        <v>#REF!</v>
      </c>
      <c r="G180" s="64" t="s">
        <v>236</v>
      </c>
      <c r="H180" s="132" t="e">
        <f>Summary!D180</f>
        <v>#REF!</v>
      </c>
      <c r="I180" s="64" t="s">
        <v>237</v>
      </c>
      <c r="J180" s="66">
        <f>Summary!E180</f>
        <v>6</v>
      </c>
      <c r="K180" s="64" t="s">
        <v>238</v>
      </c>
      <c r="L180" s="132" t="e">
        <f>Summary!F180</f>
        <v>#REF!</v>
      </c>
      <c r="M180" s="64" t="s">
        <v>239</v>
      </c>
      <c r="N180" s="132" t="e">
        <f>Summary!G180</f>
        <v>#REF!</v>
      </c>
      <c r="O180" s="64" t="s">
        <v>240</v>
      </c>
      <c r="P180" s="132" t="e">
        <f>Summary!H180</f>
        <v>#REF!</v>
      </c>
      <c r="Q180" s="65" t="s">
        <v>277</v>
      </c>
      <c r="R180" s="70" t="e">
        <f t="shared" si="14"/>
        <v>#REF!</v>
      </c>
      <c r="S180" s="64" t="s">
        <v>243</v>
      </c>
      <c r="T180" s="122"/>
      <c r="U180" s="71" t="s">
        <v>244</v>
      </c>
      <c r="V180" s="72" t="e">
        <f xml:space="preserve"> _xlfn.TEXTJOIN(" ", FALSE,#REF!)</f>
        <v>#REF!</v>
      </c>
      <c r="W180" s="122"/>
      <c r="X180" s="71" t="s">
        <v>245</v>
      </c>
      <c r="Y180" s="72" t="e">
        <f xml:space="preserve"> _xlfn.TEXTJOIN(" ", FALSE,#REF!)</f>
        <v>#REF!</v>
      </c>
      <c r="Z180" s="122"/>
      <c r="AA180" s="71" t="s">
        <v>246</v>
      </c>
      <c r="AB180" s="72" t="e">
        <f xml:space="preserve"> _xlfn.TEXTJOIN(" ", FALSE,#REF!)</f>
        <v>#REF!</v>
      </c>
      <c r="AC180" s="122"/>
      <c r="AD180" s="71" t="s">
        <v>247</v>
      </c>
      <c r="AE180" s="72" t="e">
        <f xml:space="preserve"> _xlfn.TEXTJOIN(" ", FALSE,#REF!)</f>
        <v>#REF!</v>
      </c>
      <c r="AF180" s="122"/>
      <c r="AG180" s="71" t="s">
        <v>248</v>
      </c>
      <c r="AH180" s="73" t="e">
        <f xml:space="preserve"> _xlfn.TEXTJOIN(" ", FALSE,#REF!)</f>
        <v>#REF!</v>
      </c>
      <c r="AI180" s="122"/>
      <c r="AJ180" s="71" t="s">
        <v>249</v>
      </c>
      <c r="AK180" s="73" t="e">
        <f xml:space="preserve"> _xlfn.TEXTJOIN(" ", FALSE,#REF!)</f>
        <v>#REF!</v>
      </c>
      <c r="AL180" s="122"/>
      <c r="AM180" s="71" t="s">
        <v>250</v>
      </c>
      <c r="AN180" s="73" t="e">
        <f xml:space="preserve"> _xlfn.TEXTJOIN(" ", FALSE,#REF!)</f>
        <v>#REF!</v>
      </c>
      <c r="AO180" s="122"/>
      <c r="AP180" s="71" t="s">
        <v>251</v>
      </c>
      <c r="AQ180" s="72" t="e">
        <f xml:space="preserve"> _xlfn.TEXTJOIN(" ", FALSE,#REF!)</f>
        <v>#REF!</v>
      </c>
      <c r="AR180" s="122"/>
      <c r="AS180" s="71" t="s">
        <v>252</v>
      </c>
      <c r="AT180" s="72" t="e">
        <f xml:space="preserve"> _xlfn.TEXTJOIN(" ", FALSE,#REF!)</f>
        <v>#REF!</v>
      </c>
      <c r="AU180" s="122"/>
      <c r="AV180" s="71" t="s">
        <v>253</v>
      </c>
      <c r="AW180" s="73" t="e">
        <f xml:space="preserve"> _xlfn.TEXTJOIN(" ", FALSE,#REF!)</f>
        <v>#REF!</v>
      </c>
      <c r="AX180" s="122"/>
      <c r="AY180" s="71" t="s">
        <v>254</v>
      </c>
      <c r="AZ180" s="72" t="e">
        <f xml:space="preserve"> _xlfn.TEXTJOIN(" ", FALSE,#REF!)</f>
        <v>#REF!</v>
      </c>
      <c r="BA180" s="122"/>
      <c r="BB180" s="71" t="s">
        <v>255</v>
      </c>
      <c r="BC180" s="72" t="e">
        <f xml:space="preserve"> _xlfn.TEXTJOIN(" ", FALSE,#REF!)</f>
        <v>#REF!</v>
      </c>
      <c r="BD180" s="122"/>
      <c r="BE180" s="71" t="s">
        <v>256</v>
      </c>
      <c r="BF180" s="72" t="e">
        <f xml:space="preserve"> _xlfn.TEXTJOIN(" ", FALSE,#REF!)</f>
        <v>#REF!</v>
      </c>
      <c r="BG180" s="65" t="s">
        <v>277</v>
      </c>
      <c r="BH180" s="70" t="e">
        <f t="shared" si="15"/>
        <v>#REF!</v>
      </c>
      <c r="BI180" s="64" t="s">
        <v>257</v>
      </c>
      <c r="BJ180" s="122"/>
      <c r="BK180" s="71" t="s">
        <v>258</v>
      </c>
      <c r="BL180" s="74" t="str">
        <f>_xlfn.TEXTJOIN(" ", FALSE, 'Task 2a - Mitigating the Proble'!U180:AC180)</f>
        <v xml:space="preserve">1 0 1 0 0 1 0 0 </v>
      </c>
      <c r="BM180" s="65" t="s">
        <v>277</v>
      </c>
      <c r="BN180" s="70" t="str">
        <f t="shared" si="16"/>
        <v>[Details for Task 2a:]  /Question 12: 1 0 1 0 0 1 0 0  .</v>
      </c>
      <c r="BO180" s="64" t="s">
        <v>259</v>
      </c>
      <c r="BP180" s="122"/>
      <c r="BQ180" s="71" t="s">
        <v>260</v>
      </c>
      <c r="BR180" s="73" t="e">
        <f xml:space="preserve"> _xlfn.TEXTJOIN(" ", FALSE,#REF!)</f>
        <v>#REF!</v>
      </c>
      <c r="BS180" s="122"/>
      <c r="BT180" s="71" t="s">
        <v>261</v>
      </c>
      <c r="BU180" s="73" t="e">
        <f xml:space="preserve"> _xlfn.TEXTJOIN(" ", FALSE,#REF!)</f>
        <v>#REF!</v>
      </c>
      <c r="BV180" s="122"/>
      <c r="BW180" s="71" t="s">
        <v>262</v>
      </c>
      <c r="BX180" s="73" t="e">
        <f xml:space="preserve"> _xlfn.TEXTJOIN(" ", FALSE,#REF!)</f>
        <v>#REF!</v>
      </c>
      <c r="BY180" s="122"/>
      <c r="BZ180" s="71" t="s">
        <v>263</v>
      </c>
      <c r="CA180" s="73" t="e">
        <f xml:space="preserve"> _xlfn.TEXTJOIN(" ", FALSE,#REF!)</f>
        <v>#REF!</v>
      </c>
      <c r="CB180" s="122"/>
      <c r="CC180" s="71" t="s">
        <v>264</v>
      </c>
      <c r="CD180" s="73" t="e">
        <f xml:space="preserve"> _xlfn.TEXTJOIN(" ", FALSE,#REF!)</f>
        <v>#REF!</v>
      </c>
      <c r="CE180" s="122"/>
      <c r="CF180" s="71" t="s">
        <v>265</v>
      </c>
      <c r="CG180" s="73" t="e">
        <f xml:space="preserve"> _xlfn.TEXTJOIN(" ", FALSE,#REF!)</f>
        <v>#REF!</v>
      </c>
      <c r="CH180" s="122"/>
      <c r="CI180" s="74" t="s">
        <v>278</v>
      </c>
      <c r="CJ180" s="73" t="e">
        <f xml:space="preserve"> _xlfn.TEXTJOIN(" ", FALSE,#REF!)</f>
        <v>#REF!</v>
      </c>
      <c r="CK180" s="65" t="s">
        <v>277</v>
      </c>
      <c r="CL180" s="70" t="e">
        <f t="shared" si="17"/>
        <v>#REF!</v>
      </c>
      <c r="CM180" s="64" t="s">
        <v>267</v>
      </c>
      <c r="CN180" s="122"/>
      <c r="CO180" s="71" t="s">
        <v>268</v>
      </c>
      <c r="CP180" s="73" t="e">
        <f xml:space="preserve"> _xlfn.TEXTJOIN(" ", FALSE,#REF!)</f>
        <v>#REF!</v>
      </c>
      <c r="CQ180" s="122"/>
      <c r="CR180" s="71" t="s">
        <v>269</v>
      </c>
      <c r="CS180" s="73" t="e">
        <f xml:space="preserve"> _xlfn.TEXTJOIN(" ", FALSE,#REF!)</f>
        <v>#REF!</v>
      </c>
      <c r="CT180" s="122"/>
      <c r="CU180" s="71" t="s">
        <v>270</v>
      </c>
      <c r="CV180" s="72" t="e">
        <f xml:space="preserve"> _xlfn.TEXTJOIN(" ", FALSE,#REF!)</f>
        <v>#REF!</v>
      </c>
      <c r="CW180" s="122"/>
      <c r="CX180" s="71" t="s">
        <v>271</v>
      </c>
      <c r="CY180" s="72" t="e">
        <f xml:space="preserve"> _xlfn.TEXTJOIN(" ", FALSE,#REF!)</f>
        <v>#REF!</v>
      </c>
      <c r="CZ180" s="122"/>
      <c r="DA180" s="71" t="s">
        <v>272</v>
      </c>
      <c r="DB180" s="73" t="e">
        <f xml:space="preserve"> _xlfn.TEXTJOIN(" ", FALSE,#REF!)</f>
        <v>#REF!</v>
      </c>
      <c r="DC180" s="65" t="s">
        <v>277</v>
      </c>
      <c r="DD180" s="70" t="e">
        <f t="shared" si="18"/>
        <v>#REF!</v>
      </c>
      <c r="DE180" s="64" t="s">
        <v>273</v>
      </c>
      <c r="DF180" s="122"/>
      <c r="DG180" s="71" t="s">
        <v>274</v>
      </c>
      <c r="DH180" s="72" t="e">
        <f xml:space="preserve"> _xlfn.TEXTJOIN(" ", FALSE,#REF!)</f>
        <v>#REF!</v>
      </c>
      <c r="DI180" s="122"/>
      <c r="DJ180" s="71" t="s">
        <v>275</v>
      </c>
      <c r="DK180" s="73" t="e">
        <f xml:space="preserve"> _xlfn.TEXTJOIN(" ", FALSE,#REF!)</f>
        <v>#REF!</v>
      </c>
      <c r="DL180" s="65" t="s">
        <v>277</v>
      </c>
      <c r="DM180" s="70" t="e">
        <f t="shared" si="19"/>
        <v>#REF!</v>
      </c>
      <c r="DN180" s="70" t="e">
        <f t="shared" si="20"/>
        <v>#REF!</v>
      </c>
    </row>
    <row r="181" spans="1:118" ht="108" customHeight="1">
      <c r="A181" s="122" t="e">
        <f>Summary!A181</f>
        <v>#REF!</v>
      </c>
      <c r="B181" s="64" t="s">
        <v>233</v>
      </c>
      <c r="C181" s="65" t="e">
        <f>Summary!B181</f>
        <v>#REF!</v>
      </c>
      <c r="D181" s="122"/>
      <c r="E181" s="64" t="s">
        <v>235</v>
      </c>
      <c r="F181" s="132" t="e">
        <f>Summary!C181</f>
        <v>#REF!</v>
      </c>
      <c r="G181" s="64" t="s">
        <v>236</v>
      </c>
      <c r="H181" s="132" t="e">
        <f>Summary!D181</f>
        <v>#REF!</v>
      </c>
      <c r="I181" s="64" t="s">
        <v>237</v>
      </c>
      <c r="J181" s="66">
        <f>Summary!E181</f>
        <v>5</v>
      </c>
      <c r="K181" s="64" t="s">
        <v>238</v>
      </c>
      <c r="L181" s="132" t="e">
        <f>Summary!F181</f>
        <v>#REF!</v>
      </c>
      <c r="M181" s="64" t="s">
        <v>239</v>
      </c>
      <c r="N181" s="132" t="e">
        <f>Summary!G181</f>
        <v>#REF!</v>
      </c>
      <c r="O181" s="64" t="s">
        <v>240</v>
      </c>
      <c r="P181" s="132" t="e">
        <f>Summary!H181</f>
        <v>#REF!</v>
      </c>
      <c r="Q181" s="65" t="s">
        <v>277</v>
      </c>
      <c r="R181" s="70" t="e">
        <f t="shared" si="14"/>
        <v>#REF!</v>
      </c>
      <c r="S181" s="64" t="s">
        <v>243</v>
      </c>
      <c r="T181" s="122"/>
      <c r="U181" s="71" t="s">
        <v>244</v>
      </c>
      <c r="V181" s="72" t="e">
        <f xml:space="preserve"> _xlfn.TEXTJOIN(" ", FALSE,#REF!)</f>
        <v>#REF!</v>
      </c>
      <c r="W181" s="122"/>
      <c r="X181" s="71" t="s">
        <v>245</v>
      </c>
      <c r="Y181" s="72" t="e">
        <f xml:space="preserve"> _xlfn.TEXTJOIN(" ", FALSE,#REF!)</f>
        <v>#REF!</v>
      </c>
      <c r="Z181" s="122"/>
      <c r="AA181" s="71" t="s">
        <v>246</v>
      </c>
      <c r="AB181" s="72" t="e">
        <f xml:space="preserve"> _xlfn.TEXTJOIN(" ", FALSE,#REF!)</f>
        <v>#REF!</v>
      </c>
      <c r="AC181" s="122"/>
      <c r="AD181" s="71" t="s">
        <v>247</v>
      </c>
      <c r="AE181" s="72" t="e">
        <f xml:space="preserve"> _xlfn.TEXTJOIN(" ", FALSE,#REF!)</f>
        <v>#REF!</v>
      </c>
      <c r="AF181" s="122"/>
      <c r="AG181" s="71" t="s">
        <v>248</v>
      </c>
      <c r="AH181" s="73" t="e">
        <f xml:space="preserve"> _xlfn.TEXTJOIN(" ", FALSE,#REF!)</f>
        <v>#REF!</v>
      </c>
      <c r="AI181" s="122"/>
      <c r="AJ181" s="71" t="s">
        <v>249</v>
      </c>
      <c r="AK181" s="73" t="e">
        <f xml:space="preserve"> _xlfn.TEXTJOIN(" ", FALSE,#REF!)</f>
        <v>#REF!</v>
      </c>
      <c r="AL181" s="122"/>
      <c r="AM181" s="71" t="s">
        <v>250</v>
      </c>
      <c r="AN181" s="73" t="e">
        <f xml:space="preserve"> _xlfn.TEXTJOIN(" ", FALSE,#REF!)</f>
        <v>#REF!</v>
      </c>
      <c r="AO181" s="122"/>
      <c r="AP181" s="71" t="s">
        <v>251</v>
      </c>
      <c r="AQ181" s="72" t="e">
        <f xml:space="preserve"> _xlfn.TEXTJOIN(" ", FALSE,#REF!)</f>
        <v>#REF!</v>
      </c>
      <c r="AR181" s="122"/>
      <c r="AS181" s="71" t="s">
        <v>252</v>
      </c>
      <c r="AT181" s="72" t="e">
        <f xml:space="preserve"> _xlfn.TEXTJOIN(" ", FALSE,#REF!)</f>
        <v>#REF!</v>
      </c>
      <c r="AU181" s="122"/>
      <c r="AV181" s="71" t="s">
        <v>253</v>
      </c>
      <c r="AW181" s="73" t="e">
        <f xml:space="preserve"> _xlfn.TEXTJOIN(" ", FALSE,#REF!)</f>
        <v>#REF!</v>
      </c>
      <c r="AX181" s="122"/>
      <c r="AY181" s="71" t="s">
        <v>254</v>
      </c>
      <c r="AZ181" s="72" t="e">
        <f xml:space="preserve"> _xlfn.TEXTJOIN(" ", FALSE,#REF!)</f>
        <v>#REF!</v>
      </c>
      <c r="BA181" s="122"/>
      <c r="BB181" s="71" t="s">
        <v>255</v>
      </c>
      <c r="BC181" s="72" t="e">
        <f xml:space="preserve"> _xlfn.TEXTJOIN(" ", FALSE,#REF!)</f>
        <v>#REF!</v>
      </c>
      <c r="BD181" s="122"/>
      <c r="BE181" s="71" t="s">
        <v>256</v>
      </c>
      <c r="BF181" s="72" t="e">
        <f xml:space="preserve"> _xlfn.TEXTJOIN(" ", FALSE,#REF!)</f>
        <v>#REF!</v>
      </c>
      <c r="BG181" s="65" t="s">
        <v>277</v>
      </c>
      <c r="BH181" s="70" t="e">
        <f t="shared" si="15"/>
        <v>#REF!</v>
      </c>
      <c r="BI181" s="64" t="s">
        <v>257</v>
      </c>
      <c r="BJ181" s="122"/>
      <c r="BK181" s="71" t="s">
        <v>258</v>
      </c>
      <c r="BL181" s="74" t="str">
        <f>_xlfn.TEXTJOIN(" ", FALSE, 'Task 2a - Mitigating the Proble'!U181:AC181)</f>
        <v xml:space="preserve">1 0 0 0 0 1 0 0 </v>
      </c>
      <c r="BM181" s="65" t="s">
        <v>277</v>
      </c>
      <c r="BN181" s="70" t="str">
        <f t="shared" si="16"/>
        <v>[Details for Task 2a:]  /Question 12: 1 0 0 0 0 1 0 0  .</v>
      </c>
      <c r="BO181" s="64" t="s">
        <v>259</v>
      </c>
      <c r="BP181" s="122"/>
      <c r="BQ181" s="71" t="s">
        <v>260</v>
      </c>
      <c r="BR181" s="73" t="e">
        <f xml:space="preserve"> _xlfn.TEXTJOIN(" ", FALSE,#REF!)</f>
        <v>#REF!</v>
      </c>
      <c r="BS181" s="122"/>
      <c r="BT181" s="71" t="s">
        <v>261</v>
      </c>
      <c r="BU181" s="73" t="e">
        <f xml:space="preserve"> _xlfn.TEXTJOIN(" ", FALSE,#REF!)</f>
        <v>#REF!</v>
      </c>
      <c r="BV181" s="122"/>
      <c r="BW181" s="71" t="s">
        <v>262</v>
      </c>
      <c r="BX181" s="73" t="e">
        <f xml:space="preserve"> _xlfn.TEXTJOIN(" ", FALSE,#REF!)</f>
        <v>#REF!</v>
      </c>
      <c r="BY181" s="122"/>
      <c r="BZ181" s="71" t="s">
        <v>263</v>
      </c>
      <c r="CA181" s="73" t="e">
        <f xml:space="preserve"> _xlfn.TEXTJOIN(" ", FALSE,#REF!)</f>
        <v>#REF!</v>
      </c>
      <c r="CB181" s="122"/>
      <c r="CC181" s="71" t="s">
        <v>264</v>
      </c>
      <c r="CD181" s="73" t="e">
        <f xml:space="preserve"> _xlfn.TEXTJOIN(" ", FALSE,#REF!)</f>
        <v>#REF!</v>
      </c>
      <c r="CE181" s="122"/>
      <c r="CF181" s="71" t="s">
        <v>265</v>
      </c>
      <c r="CG181" s="73" t="e">
        <f xml:space="preserve"> _xlfn.TEXTJOIN(" ", FALSE,#REF!)</f>
        <v>#REF!</v>
      </c>
      <c r="CH181" s="122"/>
      <c r="CI181" s="74" t="s">
        <v>278</v>
      </c>
      <c r="CJ181" s="73" t="e">
        <f xml:space="preserve"> _xlfn.TEXTJOIN(" ", FALSE,#REF!)</f>
        <v>#REF!</v>
      </c>
      <c r="CK181" s="65" t="s">
        <v>277</v>
      </c>
      <c r="CL181" s="70" t="e">
        <f t="shared" si="17"/>
        <v>#REF!</v>
      </c>
      <c r="CM181" s="64" t="s">
        <v>267</v>
      </c>
      <c r="CN181" s="122"/>
      <c r="CO181" s="71" t="s">
        <v>268</v>
      </c>
      <c r="CP181" s="73" t="e">
        <f xml:space="preserve"> _xlfn.TEXTJOIN(" ", FALSE,#REF!)</f>
        <v>#REF!</v>
      </c>
      <c r="CQ181" s="122"/>
      <c r="CR181" s="71" t="s">
        <v>269</v>
      </c>
      <c r="CS181" s="73" t="e">
        <f xml:space="preserve"> _xlfn.TEXTJOIN(" ", FALSE,#REF!)</f>
        <v>#REF!</v>
      </c>
      <c r="CT181" s="122"/>
      <c r="CU181" s="71" t="s">
        <v>270</v>
      </c>
      <c r="CV181" s="72" t="e">
        <f xml:space="preserve"> _xlfn.TEXTJOIN(" ", FALSE,#REF!)</f>
        <v>#REF!</v>
      </c>
      <c r="CW181" s="122"/>
      <c r="CX181" s="71" t="s">
        <v>271</v>
      </c>
      <c r="CY181" s="72" t="e">
        <f xml:space="preserve"> _xlfn.TEXTJOIN(" ", FALSE,#REF!)</f>
        <v>#REF!</v>
      </c>
      <c r="CZ181" s="122"/>
      <c r="DA181" s="71" t="s">
        <v>272</v>
      </c>
      <c r="DB181" s="73" t="e">
        <f xml:space="preserve"> _xlfn.TEXTJOIN(" ", FALSE,#REF!)</f>
        <v>#REF!</v>
      </c>
      <c r="DC181" s="65" t="s">
        <v>277</v>
      </c>
      <c r="DD181" s="70" t="e">
        <f t="shared" si="18"/>
        <v>#REF!</v>
      </c>
      <c r="DE181" s="64" t="s">
        <v>273</v>
      </c>
      <c r="DF181" s="122"/>
      <c r="DG181" s="71" t="s">
        <v>274</v>
      </c>
      <c r="DH181" s="72" t="e">
        <f xml:space="preserve"> _xlfn.TEXTJOIN(" ", FALSE,#REF!)</f>
        <v>#REF!</v>
      </c>
      <c r="DI181" s="122"/>
      <c r="DJ181" s="71" t="s">
        <v>275</v>
      </c>
      <c r="DK181" s="73" t="e">
        <f xml:space="preserve"> _xlfn.TEXTJOIN(" ", FALSE,#REF!)</f>
        <v>#REF!</v>
      </c>
      <c r="DL181" s="65" t="s">
        <v>277</v>
      </c>
      <c r="DM181" s="70" t="e">
        <f t="shared" si="19"/>
        <v>#REF!</v>
      </c>
      <c r="DN181" s="70" t="e">
        <f t="shared" si="20"/>
        <v>#REF!</v>
      </c>
    </row>
    <row r="182" spans="1:118" ht="108" customHeight="1">
      <c r="A182" s="122" t="e">
        <f>Summary!A182</f>
        <v>#REF!</v>
      </c>
      <c r="B182" s="64" t="s">
        <v>233</v>
      </c>
      <c r="C182" s="65" t="e">
        <f>Summary!B182</f>
        <v>#REF!</v>
      </c>
      <c r="D182" s="122"/>
      <c r="E182" s="64" t="s">
        <v>235</v>
      </c>
      <c r="F182" s="132" t="e">
        <f>Summary!C182</f>
        <v>#REF!</v>
      </c>
      <c r="G182" s="64" t="s">
        <v>236</v>
      </c>
      <c r="H182" s="132" t="e">
        <f>Summary!D182</f>
        <v>#REF!</v>
      </c>
      <c r="I182" s="64" t="s">
        <v>237</v>
      </c>
      <c r="J182" s="66">
        <f>Summary!E182</f>
        <v>5</v>
      </c>
      <c r="K182" s="64" t="s">
        <v>238</v>
      </c>
      <c r="L182" s="132" t="e">
        <f>Summary!F182</f>
        <v>#REF!</v>
      </c>
      <c r="M182" s="64" t="s">
        <v>239</v>
      </c>
      <c r="N182" s="132" t="e">
        <f>Summary!G182</f>
        <v>#REF!</v>
      </c>
      <c r="O182" s="64" t="s">
        <v>240</v>
      </c>
      <c r="P182" s="132" t="e">
        <f>Summary!H182</f>
        <v>#REF!</v>
      </c>
      <c r="Q182" s="65" t="s">
        <v>277</v>
      </c>
      <c r="R182" s="70" t="e">
        <f t="shared" si="14"/>
        <v>#REF!</v>
      </c>
      <c r="S182" s="64" t="s">
        <v>243</v>
      </c>
      <c r="T182" s="122"/>
      <c r="U182" s="71" t="s">
        <v>244</v>
      </c>
      <c r="V182" s="72" t="e">
        <f xml:space="preserve"> _xlfn.TEXTJOIN(" ", FALSE,#REF!)</f>
        <v>#REF!</v>
      </c>
      <c r="W182" s="122"/>
      <c r="X182" s="71" t="s">
        <v>245</v>
      </c>
      <c r="Y182" s="72" t="e">
        <f xml:space="preserve"> _xlfn.TEXTJOIN(" ", FALSE,#REF!)</f>
        <v>#REF!</v>
      </c>
      <c r="Z182" s="122"/>
      <c r="AA182" s="71" t="s">
        <v>246</v>
      </c>
      <c r="AB182" s="72" t="e">
        <f xml:space="preserve"> _xlfn.TEXTJOIN(" ", FALSE,#REF!)</f>
        <v>#REF!</v>
      </c>
      <c r="AC182" s="122"/>
      <c r="AD182" s="71" t="s">
        <v>247</v>
      </c>
      <c r="AE182" s="72" t="e">
        <f xml:space="preserve"> _xlfn.TEXTJOIN(" ", FALSE,#REF!)</f>
        <v>#REF!</v>
      </c>
      <c r="AF182" s="122"/>
      <c r="AG182" s="71" t="s">
        <v>248</v>
      </c>
      <c r="AH182" s="73" t="e">
        <f xml:space="preserve"> _xlfn.TEXTJOIN(" ", FALSE,#REF!)</f>
        <v>#REF!</v>
      </c>
      <c r="AI182" s="122"/>
      <c r="AJ182" s="71" t="s">
        <v>249</v>
      </c>
      <c r="AK182" s="73" t="e">
        <f xml:space="preserve"> _xlfn.TEXTJOIN(" ", FALSE,#REF!)</f>
        <v>#REF!</v>
      </c>
      <c r="AL182" s="122"/>
      <c r="AM182" s="71" t="s">
        <v>250</v>
      </c>
      <c r="AN182" s="73" t="e">
        <f xml:space="preserve"> _xlfn.TEXTJOIN(" ", FALSE,#REF!)</f>
        <v>#REF!</v>
      </c>
      <c r="AO182" s="122"/>
      <c r="AP182" s="71" t="s">
        <v>251</v>
      </c>
      <c r="AQ182" s="72" t="e">
        <f xml:space="preserve"> _xlfn.TEXTJOIN(" ", FALSE,#REF!)</f>
        <v>#REF!</v>
      </c>
      <c r="AR182" s="122"/>
      <c r="AS182" s="71" t="s">
        <v>252</v>
      </c>
      <c r="AT182" s="72" t="e">
        <f xml:space="preserve"> _xlfn.TEXTJOIN(" ", FALSE,#REF!)</f>
        <v>#REF!</v>
      </c>
      <c r="AU182" s="122"/>
      <c r="AV182" s="71" t="s">
        <v>253</v>
      </c>
      <c r="AW182" s="73" t="e">
        <f xml:space="preserve"> _xlfn.TEXTJOIN(" ", FALSE,#REF!)</f>
        <v>#REF!</v>
      </c>
      <c r="AX182" s="122"/>
      <c r="AY182" s="71" t="s">
        <v>254</v>
      </c>
      <c r="AZ182" s="72" t="e">
        <f xml:space="preserve"> _xlfn.TEXTJOIN(" ", FALSE,#REF!)</f>
        <v>#REF!</v>
      </c>
      <c r="BA182" s="122"/>
      <c r="BB182" s="71" t="s">
        <v>255</v>
      </c>
      <c r="BC182" s="72" t="e">
        <f xml:space="preserve"> _xlfn.TEXTJOIN(" ", FALSE,#REF!)</f>
        <v>#REF!</v>
      </c>
      <c r="BD182" s="122"/>
      <c r="BE182" s="71" t="s">
        <v>256</v>
      </c>
      <c r="BF182" s="72" t="e">
        <f xml:space="preserve"> _xlfn.TEXTJOIN(" ", FALSE,#REF!)</f>
        <v>#REF!</v>
      </c>
      <c r="BG182" s="65" t="s">
        <v>277</v>
      </c>
      <c r="BH182" s="70" t="e">
        <f t="shared" si="15"/>
        <v>#REF!</v>
      </c>
      <c r="BI182" s="64" t="s">
        <v>257</v>
      </c>
      <c r="BJ182" s="122"/>
      <c r="BK182" s="71" t="s">
        <v>258</v>
      </c>
      <c r="BL182" s="74" t="str">
        <f>_xlfn.TEXTJOIN(" ", FALSE, 'Task 2a - Mitigating the Proble'!U182:AC182)</f>
        <v xml:space="preserve">1 0 0 0 0 1 0 0 </v>
      </c>
      <c r="BM182" s="65" t="s">
        <v>277</v>
      </c>
      <c r="BN182" s="70" t="str">
        <f t="shared" si="16"/>
        <v>[Details for Task 2a:]  /Question 12: 1 0 0 0 0 1 0 0  .</v>
      </c>
      <c r="BO182" s="64" t="s">
        <v>259</v>
      </c>
      <c r="BP182" s="122"/>
      <c r="BQ182" s="71" t="s">
        <v>260</v>
      </c>
      <c r="BR182" s="73" t="e">
        <f xml:space="preserve"> _xlfn.TEXTJOIN(" ", FALSE,#REF!)</f>
        <v>#REF!</v>
      </c>
      <c r="BS182" s="122"/>
      <c r="BT182" s="71" t="s">
        <v>261</v>
      </c>
      <c r="BU182" s="73" t="e">
        <f xml:space="preserve"> _xlfn.TEXTJOIN(" ", FALSE,#REF!)</f>
        <v>#REF!</v>
      </c>
      <c r="BV182" s="122"/>
      <c r="BW182" s="71" t="s">
        <v>262</v>
      </c>
      <c r="BX182" s="73" t="e">
        <f xml:space="preserve"> _xlfn.TEXTJOIN(" ", FALSE,#REF!)</f>
        <v>#REF!</v>
      </c>
      <c r="BY182" s="122"/>
      <c r="BZ182" s="71" t="s">
        <v>263</v>
      </c>
      <c r="CA182" s="73" t="e">
        <f xml:space="preserve"> _xlfn.TEXTJOIN(" ", FALSE,#REF!)</f>
        <v>#REF!</v>
      </c>
      <c r="CB182" s="122"/>
      <c r="CC182" s="71" t="s">
        <v>264</v>
      </c>
      <c r="CD182" s="73" t="e">
        <f xml:space="preserve"> _xlfn.TEXTJOIN(" ", FALSE,#REF!)</f>
        <v>#REF!</v>
      </c>
      <c r="CE182" s="122"/>
      <c r="CF182" s="71" t="s">
        <v>265</v>
      </c>
      <c r="CG182" s="73" t="e">
        <f xml:space="preserve"> _xlfn.TEXTJOIN(" ", FALSE,#REF!)</f>
        <v>#REF!</v>
      </c>
      <c r="CH182" s="122"/>
      <c r="CI182" s="74" t="s">
        <v>278</v>
      </c>
      <c r="CJ182" s="73" t="e">
        <f xml:space="preserve"> _xlfn.TEXTJOIN(" ", FALSE,#REF!)</f>
        <v>#REF!</v>
      </c>
      <c r="CK182" s="65" t="s">
        <v>277</v>
      </c>
      <c r="CL182" s="70" t="e">
        <f t="shared" si="17"/>
        <v>#REF!</v>
      </c>
      <c r="CM182" s="64" t="s">
        <v>267</v>
      </c>
      <c r="CN182" s="122"/>
      <c r="CO182" s="71" t="s">
        <v>268</v>
      </c>
      <c r="CP182" s="73" t="e">
        <f xml:space="preserve"> _xlfn.TEXTJOIN(" ", FALSE,#REF!)</f>
        <v>#REF!</v>
      </c>
      <c r="CQ182" s="122"/>
      <c r="CR182" s="71" t="s">
        <v>269</v>
      </c>
      <c r="CS182" s="73" t="e">
        <f xml:space="preserve"> _xlfn.TEXTJOIN(" ", FALSE,#REF!)</f>
        <v>#REF!</v>
      </c>
      <c r="CT182" s="122"/>
      <c r="CU182" s="71" t="s">
        <v>270</v>
      </c>
      <c r="CV182" s="72" t="e">
        <f xml:space="preserve"> _xlfn.TEXTJOIN(" ", FALSE,#REF!)</f>
        <v>#REF!</v>
      </c>
      <c r="CW182" s="122"/>
      <c r="CX182" s="71" t="s">
        <v>271</v>
      </c>
      <c r="CY182" s="72" t="e">
        <f xml:space="preserve"> _xlfn.TEXTJOIN(" ", FALSE,#REF!)</f>
        <v>#REF!</v>
      </c>
      <c r="CZ182" s="122"/>
      <c r="DA182" s="71" t="s">
        <v>272</v>
      </c>
      <c r="DB182" s="73" t="e">
        <f xml:space="preserve"> _xlfn.TEXTJOIN(" ", FALSE,#REF!)</f>
        <v>#REF!</v>
      </c>
      <c r="DC182" s="65" t="s">
        <v>277</v>
      </c>
      <c r="DD182" s="70" t="e">
        <f t="shared" si="18"/>
        <v>#REF!</v>
      </c>
      <c r="DE182" s="64" t="s">
        <v>273</v>
      </c>
      <c r="DF182" s="122"/>
      <c r="DG182" s="71" t="s">
        <v>274</v>
      </c>
      <c r="DH182" s="72" t="e">
        <f xml:space="preserve"> _xlfn.TEXTJOIN(" ", FALSE,#REF!)</f>
        <v>#REF!</v>
      </c>
      <c r="DI182" s="122"/>
      <c r="DJ182" s="71" t="s">
        <v>275</v>
      </c>
      <c r="DK182" s="73" t="e">
        <f xml:space="preserve"> _xlfn.TEXTJOIN(" ", FALSE,#REF!)</f>
        <v>#REF!</v>
      </c>
      <c r="DL182" s="65" t="s">
        <v>277</v>
      </c>
      <c r="DM182" s="70" t="e">
        <f t="shared" si="19"/>
        <v>#REF!</v>
      </c>
      <c r="DN182" s="70" t="e">
        <f t="shared" si="20"/>
        <v>#REF!</v>
      </c>
    </row>
    <row r="183" spans="1:118" ht="108" customHeight="1">
      <c r="A183" s="122" t="e">
        <f>Summary!A183</f>
        <v>#REF!</v>
      </c>
      <c r="B183" s="64" t="s">
        <v>233</v>
      </c>
      <c r="C183" s="65" t="e">
        <f>Summary!B183</f>
        <v>#REF!</v>
      </c>
      <c r="D183" s="122"/>
      <c r="E183" s="64" t="s">
        <v>235</v>
      </c>
      <c r="F183" s="132" t="e">
        <f>Summary!C183</f>
        <v>#REF!</v>
      </c>
      <c r="G183" s="64" t="s">
        <v>236</v>
      </c>
      <c r="H183" s="132" t="e">
        <f>Summary!D183</f>
        <v>#REF!</v>
      </c>
      <c r="I183" s="64" t="s">
        <v>237</v>
      </c>
      <c r="J183" s="66">
        <f>Summary!E183</f>
        <v>6</v>
      </c>
      <c r="K183" s="64" t="s">
        <v>238</v>
      </c>
      <c r="L183" s="132" t="e">
        <f>Summary!F183</f>
        <v>#REF!</v>
      </c>
      <c r="M183" s="64" t="s">
        <v>239</v>
      </c>
      <c r="N183" s="132" t="e">
        <f>Summary!G183</f>
        <v>#REF!</v>
      </c>
      <c r="O183" s="64" t="s">
        <v>240</v>
      </c>
      <c r="P183" s="132" t="e">
        <f>Summary!H183</f>
        <v>#REF!</v>
      </c>
      <c r="Q183" s="65" t="s">
        <v>277</v>
      </c>
      <c r="R183" s="70" t="e">
        <f t="shared" si="14"/>
        <v>#REF!</v>
      </c>
      <c r="S183" s="64" t="s">
        <v>243</v>
      </c>
      <c r="T183" s="122"/>
      <c r="U183" s="71" t="s">
        <v>244</v>
      </c>
      <c r="V183" s="72" t="e">
        <f xml:space="preserve"> _xlfn.TEXTJOIN(" ", FALSE,#REF!)</f>
        <v>#REF!</v>
      </c>
      <c r="W183" s="122"/>
      <c r="X183" s="71" t="s">
        <v>245</v>
      </c>
      <c r="Y183" s="72" t="e">
        <f xml:space="preserve"> _xlfn.TEXTJOIN(" ", FALSE,#REF!)</f>
        <v>#REF!</v>
      </c>
      <c r="Z183" s="122"/>
      <c r="AA183" s="71" t="s">
        <v>246</v>
      </c>
      <c r="AB183" s="72" t="e">
        <f xml:space="preserve"> _xlfn.TEXTJOIN(" ", FALSE,#REF!)</f>
        <v>#REF!</v>
      </c>
      <c r="AC183" s="122"/>
      <c r="AD183" s="71" t="s">
        <v>247</v>
      </c>
      <c r="AE183" s="72" t="e">
        <f xml:space="preserve"> _xlfn.TEXTJOIN(" ", FALSE,#REF!)</f>
        <v>#REF!</v>
      </c>
      <c r="AF183" s="122"/>
      <c r="AG183" s="71" t="s">
        <v>248</v>
      </c>
      <c r="AH183" s="73" t="e">
        <f xml:space="preserve"> _xlfn.TEXTJOIN(" ", FALSE,#REF!)</f>
        <v>#REF!</v>
      </c>
      <c r="AI183" s="122"/>
      <c r="AJ183" s="71" t="s">
        <v>249</v>
      </c>
      <c r="AK183" s="73" t="e">
        <f xml:space="preserve"> _xlfn.TEXTJOIN(" ", FALSE,#REF!)</f>
        <v>#REF!</v>
      </c>
      <c r="AL183" s="122"/>
      <c r="AM183" s="71" t="s">
        <v>250</v>
      </c>
      <c r="AN183" s="73" t="e">
        <f xml:space="preserve"> _xlfn.TEXTJOIN(" ", FALSE,#REF!)</f>
        <v>#REF!</v>
      </c>
      <c r="AO183" s="122"/>
      <c r="AP183" s="71" t="s">
        <v>251</v>
      </c>
      <c r="AQ183" s="72" t="e">
        <f xml:space="preserve"> _xlfn.TEXTJOIN(" ", FALSE,#REF!)</f>
        <v>#REF!</v>
      </c>
      <c r="AR183" s="122"/>
      <c r="AS183" s="71" t="s">
        <v>252</v>
      </c>
      <c r="AT183" s="72" t="e">
        <f xml:space="preserve"> _xlfn.TEXTJOIN(" ", FALSE,#REF!)</f>
        <v>#REF!</v>
      </c>
      <c r="AU183" s="122"/>
      <c r="AV183" s="71" t="s">
        <v>253</v>
      </c>
      <c r="AW183" s="73" t="e">
        <f xml:space="preserve"> _xlfn.TEXTJOIN(" ", FALSE,#REF!)</f>
        <v>#REF!</v>
      </c>
      <c r="AX183" s="122"/>
      <c r="AY183" s="71" t="s">
        <v>254</v>
      </c>
      <c r="AZ183" s="72" t="e">
        <f xml:space="preserve"> _xlfn.TEXTJOIN(" ", FALSE,#REF!)</f>
        <v>#REF!</v>
      </c>
      <c r="BA183" s="122"/>
      <c r="BB183" s="71" t="s">
        <v>255</v>
      </c>
      <c r="BC183" s="72" t="e">
        <f xml:space="preserve"> _xlfn.TEXTJOIN(" ", FALSE,#REF!)</f>
        <v>#REF!</v>
      </c>
      <c r="BD183" s="122"/>
      <c r="BE183" s="71" t="s">
        <v>256</v>
      </c>
      <c r="BF183" s="72" t="e">
        <f xml:space="preserve"> _xlfn.TEXTJOIN(" ", FALSE,#REF!)</f>
        <v>#REF!</v>
      </c>
      <c r="BG183" s="65" t="s">
        <v>277</v>
      </c>
      <c r="BH183" s="70" t="e">
        <f t="shared" si="15"/>
        <v>#REF!</v>
      </c>
      <c r="BI183" s="64" t="s">
        <v>257</v>
      </c>
      <c r="BJ183" s="122"/>
      <c r="BK183" s="71" t="s">
        <v>258</v>
      </c>
      <c r="BL183" s="74" t="str">
        <f>_xlfn.TEXTJOIN(" ", FALSE, 'Task 2a - Mitigating the Proble'!U183:AC183)</f>
        <v xml:space="preserve">1 1 0 0 0 1 0 0 </v>
      </c>
      <c r="BM183" s="65" t="s">
        <v>277</v>
      </c>
      <c r="BN183" s="70" t="str">
        <f t="shared" si="16"/>
        <v>[Details for Task 2a:]  /Question 12: 1 1 0 0 0 1 0 0  .</v>
      </c>
      <c r="BO183" s="64" t="s">
        <v>259</v>
      </c>
      <c r="BP183" s="122"/>
      <c r="BQ183" s="71" t="s">
        <v>260</v>
      </c>
      <c r="BR183" s="73" t="e">
        <f xml:space="preserve"> _xlfn.TEXTJOIN(" ", FALSE,#REF!)</f>
        <v>#REF!</v>
      </c>
      <c r="BS183" s="122"/>
      <c r="BT183" s="71" t="s">
        <v>261</v>
      </c>
      <c r="BU183" s="73" t="e">
        <f xml:space="preserve"> _xlfn.TEXTJOIN(" ", FALSE,#REF!)</f>
        <v>#REF!</v>
      </c>
      <c r="BV183" s="122"/>
      <c r="BW183" s="71" t="s">
        <v>262</v>
      </c>
      <c r="BX183" s="73" t="e">
        <f xml:space="preserve"> _xlfn.TEXTJOIN(" ", FALSE,#REF!)</f>
        <v>#REF!</v>
      </c>
      <c r="BY183" s="122"/>
      <c r="BZ183" s="71" t="s">
        <v>263</v>
      </c>
      <c r="CA183" s="73" t="e">
        <f xml:space="preserve"> _xlfn.TEXTJOIN(" ", FALSE,#REF!)</f>
        <v>#REF!</v>
      </c>
      <c r="CB183" s="122"/>
      <c r="CC183" s="71" t="s">
        <v>264</v>
      </c>
      <c r="CD183" s="73" t="e">
        <f xml:space="preserve"> _xlfn.TEXTJOIN(" ", FALSE,#REF!)</f>
        <v>#REF!</v>
      </c>
      <c r="CE183" s="122"/>
      <c r="CF183" s="71" t="s">
        <v>265</v>
      </c>
      <c r="CG183" s="73" t="e">
        <f xml:space="preserve"> _xlfn.TEXTJOIN(" ", FALSE,#REF!)</f>
        <v>#REF!</v>
      </c>
      <c r="CH183" s="122"/>
      <c r="CI183" s="74" t="s">
        <v>278</v>
      </c>
      <c r="CJ183" s="73" t="e">
        <f xml:space="preserve"> _xlfn.TEXTJOIN(" ", FALSE,#REF!)</f>
        <v>#REF!</v>
      </c>
      <c r="CK183" s="65" t="s">
        <v>277</v>
      </c>
      <c r="CL183" s="70" t="e">
        <f t="shared" si="17"/>
        <v>#REF!</v>
      </c>
      <c r="CM183" s="64" t="s">
        <v>267</v>
      </c>
      <c r="CN183" s="122"/>
      <c r="CO183" s="71" t="s">
        <v>268</v>
      </c>
      <c r="CP183" s="73" t="e">
        <f xml:space="preserve"> _xlfn.TEXTJOIN(" ", FALSE,#REF!)</f>
        <v>#REF!</v>
      </c>
      <c r="CQ183" s="122"/>
      <c r="CR183" s="71" t="s">
        <v>269</v>
      </c>
      <c r="CS183" s="73" t="e">
        <f xml:space="preserve"> _xlfn.TEXTJOIN(" ", FALSE,#REF!)</f>
        <v>#REF!</v>
      </c>
      <c r="CT183" s="122"/>
      <c r="CU183" s="71" t="s">
        <v>270</v>
      </c>
      <c r="CV183" s="72" t="e">
        <f xml:space="preserve"> _xlfn.TEXTJOIN(" ", FALSE,#REF!)</f>
        <v>#REF!</v>
      </c>
      <c r="CW183" s="122"/>
      <c r="CX183" s="71" t="s">
        <v>271</v>
      </c>
      <c r="CY183" s="72" t="e">
        <f xml:space="preserve"> _xlfn.TEXTJOIN(" ", FALSE,#REF!)</f>
        <v>#REF!</v>
      </c>
      <c r="CZ183" s="122"/>
      <c r="DA183" s="71" t="s">
        <v>272</v>
      </c>
      <c r="DB183" s="73" t="e">
        <f xml:space="preserve"> _xlfn.TEXTJOIN(" ", FALSE,#REF!)</f>
        <v>#REF!</v>
      </c>
      <c r="DC183" s="65" t="s">
        <v>277</v>
      </c>
      <c r="DD183" s="70" t="e">
        <f t="shared" si="18"/>
        <v>#REF!</v>
      </c>
      <c r="DE183" s="64" t="s">
        <v>273</v>
      </c>
      <c r="DF183" s="122"/>
      <c r="DG183" s="71" t="s">
        <v>274</v>
      </c>
      <c r="DH183" s="72" t="e">
        <f xml:space="preserve"> _xlfn.TEXTJOIN(" ", FALSE,#REF!)</f>
        <v>#REF!</v>
      </c>
      <c r="DI183" s="122"/>
      <c r="DJ183" s="71" t="s">
        <v>275</v>
      </c>
      <c r="DK183" s="73" t="e">
        <f xml:space="preserve"> _xlfn.TEXTJOIN(" ", FALSE,#REF!)</f>
        <v>#REF!</v>
      </c>
      <c r="DL183" s="65" t="s">
        <v>277</v>
      </c>
      <c r="DM183" s="70" t="e">
        <f t="shared" si="19"/>
        <v>#REF!</v>
      </c>
      <c r="DN183" s="70" t="e">
        <f t="shared" si="20"/>
        <v>#REF!</v>
      </c>
    </row>
    <row r="184" spans="1:118" ht="108" customHeight="1">
      <c r="A184" s="122" t="e">
        <f>Summary!A184</f>
        <v>#REF!</v>
      </c>
      <c r="B184" s="64" t="s">
        <v>233</v>
      </c>
      <c r="C184" s="65" t="e">
        <f>Summary!B184</f>
        <v>#REF!</v>
      </c>
      <c r="D184" s="122"/>
      <c r="E184" s="64" t="s">
        <v>235</v>
      </c>
      <c r="F184" s="132" t="e">
        <f>Summary!C184</f>
        <v>#REF!</v>
      </c>
      <c r="G184" s="64" t="s">
        <v>236</v>
      </c>
      <c r="H184" s="132" t="e">
        <f>Summary!D184</f>
        <v>#REF!</v>
      </c>
      <c r="I184" s="64" t="s">
        <v>237</v>
      </c>
      <c r="J184" s="66">
        <f>Summary!E184</f>
        <v>5</v>
      </c>
      <c r="K184" s="64" t="s">
        <v>238</v>
      </c>
      <c r="L184" s="132" t="e">
        <f>Summary!F184</f>
        <v>#REF!</v>
      </c>
      <c r="M184" s="64" t="s">
        <v>239</v>
      </c>
      <c r="N184" s="132" t="e">
        <f>Summary!G184</f>
        <v>#REF!</v>
      </c>
      <c r="O184" s="64" t="s">
        <v>240</v>
      </c>
      <c r="P184" s="132" t="e">
        <f>Summary!H184</f>
        <v>#REF!</v>
      </c>
      <c r="Q184" s="65" t="s">
        <v>277</v>
      </c>
      <c r="R184" s="70" t="e">
        <f t="shared" si="14"/>
        <v>#REF!</v>
      </c>
      <c r="S184" s="64" t="s">
        <v>243</v>
      </c>
      <c r="T184" s="122"/>
      <c r="U184" s="71" t="s">
        <v>244</v>
      </c>
      <c r="V184" s="72" t="e">
        <f xml:space="preserve"> _xlfn.TEXTJOIN(" ", FALSE,#REF!)</f>
        <v>#REF!</v>
      </c>
      <c r="W184" s="122"/>
      <c r="X184" s="71" t="s">
        <v>245</v>
      </c>
      <c r="Y184" s="72" t="e">
        <f xml:space="preserve"> _xlfn.TEXTJOIN(" ", FALSE,#REF!)</f>
        <v>#REF!</v>
      </c>
      <c r="Z184" s="122"/>
      <c r="AA184" s="71" t="s">
        <v>246</v>
      </c>
      <c r="AB184" s="72" t="e">
        <f xml:space="preserve"> _xlfn.TEXTJOIN(" ", FALSE,#REF!)</f>
        <v>#REF!</v>
      </c>
      <c r="AC184" s="122"/>
      <c r="AD184" s="71" t="s">
        <v>247</v>
      </c>
      <c r="AE184" s="72" t="e">
        <f xml:space="preserve"> _xlfn.TEXTJOIN(" ", FALSE,#REF!)</f>
        <v>#REF!</v>
      </c>
      <c r="AF184" s="122"/>
      <c r="AG184" s="71" t="s">
        <v>248</v>
      </c>
      <c r="AH184" s="73" t="e">
        <f xml:space="preserve"> _xlfn.TEXTJOIN(" ", FALSE,#REF!)</f>
        <v>#REF!</v>
      </c>
      <c r="AI184" s="122"/>
      <c r="AJ184" s="71" t="s">
        <v>249</v>
      </c>
      <c r="AK184" s="73" t="e">
        <f xml:space="preserve"> _xlfn.TEXTJOIN(" ", FALSE,#REF!)</f>
        <v>#REF!</v>
      </c>
      <c r="AL184" s="122"/>
      <c r="AM184" s="71" t="s">
        <v>250</v>
      </c>
      <c r="AN184" s="73" t="e">
        <f xml:space="preserve"> _xlfn.TEXTJOIN(" ", FALSE,#REF!)</f>
        <v>#REF!</v>
      </c>
      <c r="AO184" s="122"/>
      <c r="AP184" s="71" t="s">
        <v>251</v>
      </c>
      <c r="AQ184" s="72" t="e">
        <f xml:space="preserve"> _xlfn.TEXTJOIN(" ", FALSE,#REF!)</f>
        <v>#REF!</v>
      </c>
      <c r="AR184" s="122"/>
      <c r="AS184" s="71" t="s">
        <v>252</v>
      </c>
      <c r="AT184" s="72" t="e">
        <f xml:space="preserve"> _xlfn.TEXTJOIN(" ", FALSE,#REF!)</f>
        <v>#REF!</v>
      </c>
      <c r="AU184" s="122"/>
      <c r="AV184" s="71" t="s">
        <v>253</v>
      </c>
      <c r="AW184" s="73" t="e">
        <f xml:space="preserve"> _xlfn.TEXTJOIN(" ", FALSE,#REF!)</f>
        <v>#REF!</v>
      </c>
      <c r="AX184" s="122"/>
      <c r="AY184" s="71" t="s">
        <v>254</v>
      </c>
      <c r="AZ184" s="72" t="e">
        <f xml:space="preserve"> _xlfn.TEXTJOIN(" ", FALSE,#REF!)</f>
        <v>#REF!</v>
      </c>
      <c r="BA184" s="122"/>
      <c r="BB184" s="71" t="s">
        <v>255</v>
      </c>
      <c r="BC184" s="72" t="e">
        <f xml:space="preserve"> _xlfn.TEXTJOIN(" ", FALSE,#REF!)</f>
        <v>#REF!</v>
      </c>
      <c r="BD184" s="122"/>
      <c r="BE184" s="71" t="s">
        <v>256</v>
      </c>
      <c r="BF184" s="72" t="e">
        <f xml:space="preserve"> _xlfn.TEXTJOIN(" ", FALSE,#REF!)</f>
        <v>#REF!</v>
      </c>
      <c r="BG184" s="65" t="s">
        <v>277</v>
      </c>
      <c r="BH184" s="70" t="e">
        <f t="shared" si="15"/>
        <v>#REF!</v>
      </c>
      <c r="BI184" s="64" t="s">
        <v>257</v>
      </c>
      <c r="BJ184" s="122"/>
      <c r="BK184" s="71" t="s">
        <v>258</v>
      </c>
      <c r="BL184" s="74" t="str">
        <f>_xlfn.TEXTJOIN(" ", FALSE, 'Task 2a - Mitigating the Proble'!U184:AC184)</f>
        <v xml:space="preserve">1 0 0 0 0 1 0 0 </v>
      </c>
      <c r="BM184" s="65" t="s">
        <v>277</v>
      </c>
      <c r="BN184" s="70" t="str">
        <f t="shared" si="16"/>
        <v>[Details for Task 2a:]  /Question 12: 1 0 0 0 0 1 0 0  .</v>
      </c>
      <c r="BO184" s="64" t="s">
        <v>259</v>
      </c>
      <c r="BP184" s="122"/>
      <c r="BQ184" s="71" t="s">
        <v>260</v>
      </c>
      <c r="BR184" s="73" t="e">
        <f xml:space="preserve"> _xlfn.TEXTJOIN(" ", FALSE,#REF!)</f>
        <v>#REF!</v>
      </c>
      <c r="BS184" s="122"/>
      <c r="BT184" s="71" t="s">
        <v>261</v>
      </c>
      <c r="BU184" s="73" t="e">
        <f xml:space="preserve"> _xlfn.TEXTJOIN(" ", FALSE,#REF!)</f>
        <v>#REF!</v>
      </c>
      <c r="BV184" s="122"/>
      <c r="BW184" s="71" t="s">
        <v>262</v>
      </c>
      <c r="BX184" s="73" t="e">
        <f xml:space="preserve"> _xlfn.TEXTJOIN(" ", FALSE,#REF!)</f>
        <v>#REF!</v>
      </c>
      <c r="BY184" s="122"/>
      <c r="BZ184" s="71" t="s">
        <v>263</v>
      </c>
      <c r="CA184" s="73" t="e">
        <f xml:space="preserve"> _xlfn.TEXTJOIN(" ", FALSE,#REF!)</f>
        <v>#REF!</v>
      </c>
      <c r="CB184" s="122"/>
      <c r="CC184" s="71" t="s">
        <v>264</v>
      </c>
      <c r="CD184" s="73" t="e">
        <f xml:space="preserve"> _xlfn.TEXTJOIN(" ", FALSE,#REF!)</f>
        <v>#REF!</v>
      </c>
      <c r="CE184" s="122"/>
      <c r="CF184" s="71" t="s">
        <v>265</v>
      </c>
      <c r="CG184" s="73" t="e">
        <f xml:space="preserve"> _xlfn.TEXTJOIN(" ", FALSE,#REF!)</f>
        <v>#REF!</v>
      </c>
      <c r="CH184" s="122"/>
      <c r="CI184" s="74" t="s">
        <v>278</v>
      </c>
      <c r="CJ184" s="73" t="e">
        <f xml:space="preserve"> _xlfn.TEXTJOIN(" ", FALSE,#REF!)</f>
        <v>#REF!</v>
      </c>
      <c r="CK184" s="65" t="s">
        <v>277</v>
      </c>
      <c r="CL184" s="70" t="e">
        <f t="shared" si="17"/>
        <v>#REF!</v>
      </c>
      <c r="CM184" s="64" t="s">
        <v>267</v>
      </c>
      <c r="CN184" s="122"/>
      <c r="CO184" s="71" t="s">
        <v>268</v>
      </c>
      <c r="CP184" s="73" t="e">
        <f xml:space="preserve"> _xlfn.TEXTJOIN(" ", FALSE,#REF!)</f>
        <v>#REF!</v>
      </c>
      <c r="CQ184" s="122"/>
      <c r="CR184" s="71" t="s">
        <v>269</v>
      </c>
      <c r="CS184" s="73" t="e">
        <f xml:space="preserve"> _xlfn.TEXTJOIN(" ", FALSE,#REF!)</f>
        <v>#REF!</v>
      </c>
      <c r="CT184" s="122"/>
      <c r="CU184" s="71" t="s">
        <v>270</v>
      </c>
      <c r="CV184" s="72" t="e">
        <f xml:space="preserve"> _xlfn.TEXTJOIN(" ", FALSE,#REF!)</f>
        <v>#REF!</v>
      </c>
      <c r="CW184" s="122"/>
      <c r="CX184" s="71" t="s">
        <v>271</v>
      </c>
      <c r="CY184" s="72" t="e">
        <f xml:space="preserve"> _xlfn.TEXTJOIN(" ", FALSE,#REF!)</f>
        <v>#REF!</v>
      </c>
      <c r="CZ184" s="122"/>
      <c r="DA184" s="71" t="s">
        <v>272</v>
      </c>
      <c r="DB184" s="73" t="e">
        <f xml:space="preserve"> _xlfn.TEXTJOIN(" ", FALSE,#REF!)</f>
        <v>#REF!</v>
      </c>
      <c r="DC184" s="65" t="s">
        <v>277</v>
      </c>
      <c r="DD184" s="70" t="e">
        <f t="shared" si="18"/>
        <v>#REF!</v>
      </c>
      <c r="DE184" s="64" t="s">
        <v>273</v>
      </c>
      <c r="DF184" s="122"/>
      <c r="DG184" s="71" t="s">
        <v>274</v>
      </c>
      <c r="DH184" s="72" t="e">
        <f xml:space="preserve"> _xlfn.TEXTJOIN(" ", FALSE,#REF!)</f>
        <v>#REF!</v>
      </c>
      <c r="DI184" s="122"/>
      <c r="DJ184" s="71" t="s">
        <v>275</v>
      </c>
      <c r="DK184" s="73" t="e">
        <f xml:space="preserve"> _xlfn.TEXTJOIN(" ", FALSE,#REF!)</f>
        <v>#REF!</v>
      </c>
      <c r="DL184" s="65" t="s">
        <v>277</v>
      </c>
      <c r="DM184" s="70" t="e">
        <f t="shared" si="19"/>
        <v>#REF!</v>
      </c>
      <c r="DN184" s="70" t="e">
        <f t="shared" si="20"/>
        <v>#REF!</v>
      </c>
    </row>
    <row r="185" spans="1:118" ht="108" customHeight="1">
      <c r="A185" s="122" t="e">
        <f>Summary!A185</f>
        <v>#REF!</v>
      </c>
      <c r="B185" s="64" t="s">
        <v>233</v>
      </c>
      <c r="C185" s="65" t="e">
        <f>Summary!B185</f>
        <v>#REF!</v>
      </c>
      <c r="D185" s="122"/>
      <c r="E185" s="64" t="s">
        <v>235</v>
      </c>
      <c r="F185" s="132" t="e">
        <f>Summary!C185</f>
        <v>#REF!</v>
      </c>
      <c r="G185" s="64" t="s">
        <v>236</v>
      </c>
      <c r="H185" s="132" t="e">
        <f>Summary!D185</f>
        <v>#REF!</v>
      </c>
      <c r="I185" s="64" t="s">
        <v>237</v>
      </c>
      <c r="J185" s="66">
        <f>Summary!E185</f>
        <v>5</v>
      </c>
      <c r="K185" s="64" t="s">
        <v>238</v>
      </c>
      <c r="L185" s="132" t="e">
        <f>Summary!F185</f>
        <v>#REF!</v>
      </c>
      <c r="M185" s="64" t="s">
        <v>239</v>
      </c>
      <c r="N185" s="132" t="e">
        <f>Summary!G185</f>
        <v>#REF!</v>
      </c>
      <c r="O185" s="64" t="s">
        <v>240</v>
      </c>
      <c r="P185" s="132" t="e">
        <f>Summary!H185</f>
        <v>#REF!</v>
      </c>
      <c r="Q185" s="65" t="s">
        <v>277</v>
      </c>
      <c r="R185" s="70" t="e">
        <f t="shared" si="14"/>
        <v>#REF!</v>
      </c>
      <c r="S185" s="64" t="s">
        <v>243</v>
      </c>
      <c r="T185" s="122"/>
      <c r="U185" s="71" t="s">
        <v>244</v>
      </c>
      <c r="V185" s="72" t="e">
        <f xml:space="preserve"> _xlfn.TEXTJOIN(" ", FALSE,#REF!)</f>
        <v>#REF!</v>
      </c>
      <c r="W185" s="122"/>
      <c r="X185" s="71" t="s">
        <v>245</v>
      </c>
      <c r="Y185" s="72" t="e">
        <f xml:space="preserve"> _xlfn.TEXTJOIN(" ", FALSE,#REF!)</f>
        <v>#REF!</v>
      </c>
      <c r="Z185" s="122"/>
      <c r="AA185" s="71" t="s">
        <v>246</v>
      </c>
      <c r="AB185" s="72" t="e">
        <f xml:space="preserve"> _xlfn.TEXTJOIN(" ", FALSE,#REF!)</f>
        <v>#REF!</v>
      </c>
      <c r="AC185" s="122"/>
      <c r="AD185" s="71" t="s">
        <v>247</v>
      </c>
      <c r="AE185" s="72" t="e">
        <f xml:space="preserve"> _xlfn.TEXTJOIN(" ", FALSE,#REF!)</f>
        <v>#REF!</v>
      </c>
      <c r="AF185" s="122"/>
      <c r="AG185" s="71" t="s">
        <v>248</v>
      </c>
      <c r="AH185" s="73" t="e">
        <f xml:space="preserve"> _xlfn.TEXTJOIN(" ", FALSE,#REF!)</f>
        <v>#REF!</v>
      </c>
      <c r="AI185" s="122"/>
      <c r="AJ185" s="71" t="s">
        <v>249</v>
      </c>
      <c r="AK185" s="73" t="e">
        <f xml:space="preserve"> _xlfn.TEXTJOIN(" ", FALSE,#REF!)</f>
        <v>#REF!</v>
      </c>
      <c r="AL185" s="122"/>
      <c r="AM185" s="71" t="s">
        <v>250</v>
      </c>
      <c r="AN185" s="73" t="e">
        <f xml:space="preserve"> _xlfn.TEXTJOIN(" ", FALSE,#REF!)</f>
        <v>#REF!</v>
      </c>
      <c r="AO185" s="122"/>
      <c r="AP185" s="71" t="s">
        <v>251</v>
      </c>
      <c r="AQ185" s="72" t="e">
        <f xml:space="preserve"> _xlfn.TEXTJOIN(" ", FALSE,#REF!)</f>
        <v>#REF!</v>
      </c>
      <c r="AR185" s="122"/>
      <c r="AS185" s="71" t="s">
        <v>252</v>
      </c>
      <c r="AT185" s="72" t="e">
        <f xml:space="preserve"> _xlfn.TEXTJOIN(" ", FALSE,#REF!)</f>
        <v>#REF!</v>
      </c>
      <c r="AU185" s="122"/>
      <c r="AV185" s="71" t="s">
        <v>253</v>
      </c>
      <c r="AW185" s="73" t="e">
        <f xml:space="preserve"> _xlfn.TEXTJOIN(" ", FALSE,#REF!)</f>
        <v>#REF!</v>
      </c>
      <c r="AX185" s="122"/>
      <c r="AY185" s="71" t="s">
        <v>254</v>
      </c>
      <c r="AZ185" s="72" t="e">
        <f xml:space="preserve"> _xlfn.TEXTJOIN(" ", FALSE,#REF!)</f>
        <v>#REF!</v>
      </c>
      <c r="BA185" s="122"/>
      <c r="BB185" s="71" t="s">
        <v>255</v>
      </c>
      <c r="BC185" s="72" t="e">
        <f xml:space="preserve"> _xlfn.TEXTJOIN(" ", FALSE,#REF!)</f>
        <v>#REF!</v>
      </c>
      <c r="BD185" s="122"/>
      <c r="BE185" s="71" t="s">
        <v>256</v>
      </c>
      <c r="BF185" s="72" t="e">
        <f xml:space="preserve"> _xlfn.TEXTJOIN(" ", FALSE,#REF!)</f>
        <v>#REF!</v>
      </c>
      <c r="BG185" s="65" t="s">
        <v>277</v>
      </c>
      <c r="BH185" s="70" t="e">
        <f t="shared" si="15"/>
        <v>#REF!</v>
      </c>
      <c r="BI185" s="64" t="s">
        <v>257</v>
      </c>
      <c r="BJ185" s="122"/>
      <c r="BK185" s="71" t="s">
        <v>258</v>
      </c>
      <c r="BL185" s="74" t="str">
        <f>_xlfn.TEXTJOIN(" ", FALSE, 'Task 2a - Mitigating the Proble'!U185:AC185)</f>
        <v xml:space="preserve">1 0 0 0 0 1 0 0 </v>
      </c>
      <c r="BM185" s="65" t="s">
        <v>277</v>
      </c>
      <c r="BN185" s="70" t="str">
        <f t="shared" si="16"/>
        <v>[Details for Task 2a:]  /Question 12: 1 0 0 0 0 1 0 0  .</v>
      </c>
      <c r="BO185" s="64" t="s">
        <v>259</v>
      </c>
      <c r="BP185" s="122"/>
      <c r="BQ185" s="71" t="s">
        <v>260</v>
      </c>
      <c r="BR185" s="73" t="e">
        <f xml:space="preserve"> _xlfn.TEXTJOIN(" ", FALSE,#REF!)</f>
        <v>#REF!</v>
      </c>
      <c r="BS185" s="122"/>
      <c r="BT185" s="71" t="s">
        <v>261</v>
      </c>
      <c r="BU185" s="73" t="e">
        <f xml:space="preserve"> _xlfn.TEXTJOIN(" ", FALSE,#REF!)</f>
        <v>#REF!</v>
      </c>
      <c r="BV185" s="122"/>
      <c r="BW185" s="71" t="s">
        <v>262</v>
      </c>
      <c r="BX185" s="73" t="e">
        <f xml:space="preserve"> _xlfn.TEXTJOIN(" ", FALSE,#REF!)</f>
        <v>#REF!</v>
      </c>
      <c r="BY185" s="122"/>
      <c r="BZ185" s="71" t="s">
        <v>263</v>
      </c>
      <c r="CA185" s="73" t="e">
        <f xml:space="preserve"> _xlfn.TEXTJOIN(" ", FALSE,#REF!)</f>
        <v>#REF!</v>
      </c>
      <c r="CB185" s="122"/>
      <c r="CC185" s="71" t="s">
        <v>264</v>
      </c>
      <c r="CD185" s="73" t="e">
        <f xml:space="preserve"> _xlfn.TEXTJOIN(" ", FALSE,#REF!)</f>
        <v>#REF!</v>
      </c>
      <c r="CE185" s="122"/>
      <c r="CF185" s="71" t="s">
        <v>265</v>
      </c>
      <c r="CG185" s="73" t="e">
        <f xml:space="preserve"> _xlfn.TEXTJOIN(" ", FALSE,#REF!)</f>
        <v>#REF!</v>
      </c>
      <c r="CH185" s="122"/>
      <c r="CI185" s="74" t="s">
        <v>278</v>
      </c>
      <c r="CJ185" s="73" t="e">
        <f xml:space="preserve"> _xlfn.TEXTJOIN(" ", FALSE,#REF!)</f>
        <v>#REF!</v>
      </c>
      <c r="CK185" s="65" t="s">
        <v>277</v>
      </c>
      <c r="CL185" s="70" t="e">
        <f t="shared" si="17"/>
        <v>#REF!</v>
      </c>
      <c r="CM185" s="64" t="s">
        <v>267</v>
      </c>
      <c r="CN185" s="122"/>
      <c r="CO185" s="71" t="s">
        <v>268</v>
      </c>
      <c r="CP185" s="73" t="e">
        <f xml:space="preserve"> _xlfn.TEXTJOIN(" ", FALSE,#REF!)</f>
        <v>#REF!</v>
      </c>
      <c r="CQ185" s="122"/>
      <c r="CR185" s="71" t="s">
        <v>269</v>
      </c>
      <c r="CS185" s="73" t="e">
        <f xml:space="preserve"> _xlfn.TEXTJOIN(" ", FALSE,#REF!)</f>
        <v>#REF!</v>
      </c>
      <c r="CT185" s="122"/>
      <c r="CU185" s="71" t="s">
        <v>270</v>
      </c>
      <c r="CV185" s="72" t="e">
        <f xml:space="preserve"> _xlfn.TEXTJOIN(" ", FALSE,#REF!)</f>
        <v>#REF!</v>
      </c>
      <c r="CW185" s="122"/>
      <c r="CX185" s="71" t="s">
        <v>271</v>
      </c>
      <c r="CY185" s="72" t="e">
        <f xml:space="preserve"> _xlfn.TEXTJOIN(" ", FALSE,#REF!)</f>
        <v>#REF!</v>
      </c>
      <c r="CZ185" s="122"/>
      <c r="DA185" s="71" t="s">
        <v>272</v>
      </c>
      <c r="DB185" s="73" t="e">
        <f xml:space="preserve"> _xlfn.TEXTJOIN(" ", FALSE,#REF!)</f>
        <v>#REF!</v>
      </c>
      <c r="DC185" s="65" t="s">
        <v>277</v>
      </c>
      <c r="DD185" s="70" t="e">
        <f t="shared" si="18"/>
        <v>#REF!</v>
      </c>
      <c r="DE185" s="64" t="s">
        <v>273</v>
      </c>
      <c r="DF185" s="122"/>
      <c r="DG185" s="71" t="s">
        <v>274</v>
      </c>
      <c r="DH185" s="72" t="e">
        <f xml:space="preserve"> _xlfn.TEXTJOIN(" ", FALSE,#REF!)</f>
        <v>#REF!</v>
      </c>
      <c r="DI185" s="122"/>
      <c r="DJ185" s="71" t="s">
        <v>275</v>
      </c>
      <c r="DK185" s="73" t="e">
        <f xml:space="preserve"> _xlfn.TEXTJOIN(" ", FALSE,#REF!)</f>
        <v>#REF!</v>
      </c>
      <c r="DL185" s="65" t="s">
        <v>277</v>
      </c>
      <c r="DM185" s="70" t="e">
        <f t="shared" si="19"/>
        <v>#REF!</v>
      </c>
      <c r="DN185" s="70" t="e">
        <f t="shared" si="20"/>
        <v>#REF!</v>
      </c>
    </row>
    <row r="186" spans="1:118" ht="108" customHeight="1">
      <c r="A186" s="122" t="e">
        <f>Summary!A186</f>
        <v>#REF!</v>
      </c>
      <c r="B186" s="64" t="s">
        <v>233</v>
      </c>
      <c r="C186" s="65" t="e">
        <f>Summary!B186</f>
        <v>#REF!</v>
      </c>
      <c r="D186" s="122"/>
      <c r="E186" s="64" t="s">
        <v>235</v>
      </c>
      <c r="F186" s="132" t="e">
        <f>Summary!C186</f>
        <v>#REF!</v>
      </c>
      <c r="G186" s="64" t="s">
        <v>236</v>
      </c>
      <c r="H186" s="132" t="e">
        <f>Summary!D186</f>
        <v>#REF!</v>
      </c>
      <c r="I186" s="64" t="s">
        <v>237</v>
      </c>
      <c r="J186" s="66">
        <f>Summary!E186</f>
        <v>5</v>
      </c>
      <c r="K186" s="64" t="s">
        <v>238</v>
      </c>
      <c r="L186" s="132" t="e">
        <f>Summary!F186</f>
        <v>#REF!</v>
      </c>
      <c r="M186" s="64" t="s">
        <v>239</v>
      </c>
      <c r="N186" s="132" t="e">
        <f>Summary!G186</f>
        <v>#REF!</v>
      </c>
      <c r="O186" s="64" t="s">
        <v>240</v>
      </c>
      <c r="P186" s="132" t="e">
        <f>Summary!H186</f>
        <v>#REF!</v>
      </c>
      <c r="Q186" s="65" t="s">
        <v>277</v>
      </c>
      <c r="R186" s="70" t="e">
        <f t="shared" si="14"/>
        <v>#REF!</v>
      </c>
      <c r="S186" s="64" t="s">
        <v>243</v>
      </c>
      <c r="T186" s="122"/>
      <c r="U186" s="71" t="s">
        <v>244</v>
      </c>
      <c r="V186" s="72" t="e">
        <f xml:space="preserve"> _xlfn.TEXTJOIN(" ", FALSE,#REF!)</f>
        <v>#REF!</v>
      </c>
      <c r="W186" s="122"/>
      <c r="X186" s="71" t="s">
        <v>245</v>
      </c>
      <c r="Y186" s="72" t="e">
        <f xml:space="preserve"> _xlfn.TEXTJOIN(" ", FALSE,#REF!)</f>
        <v>#REF!</v>
      </c>
      <c r="Z186" s="122"/>
      <c r="AA186" s="71" t="s">
        <v>246</v>
      </c>
      <c r="AB186" s="72" t="e">
        <f xml:space="preserve"> _xlfn.TEXTJOIN(" ", FALSE,#REF!)</f>
        <v>#REF!</v>
      </c>
      <c r="AC186" s="122"/>
      <c r="AD186" s="71" t="s">
        <v>247</v>
      </c>
      <c r="AE186" s="72" t="e">
        <f xml:space="preserve"> _xlfn.TEXTJOIN(" ", FALSE,#REF!)</f>
        <v>#REF!</v>
      </c>
      <c r="AF186" s="122"/>
      <c r="AG186" s="71" t="s">
        <v>248</v>
      </c>
      <c r="AH186" s="73" t="e">
        <f xml:space="preserve"> _xlfn.TEXTJOIN(" ", FALSE,#REF!)</f>
        <v>#REF!</v>
      </c>
      <c r="AI186" s="122"/>
      <c r="AJ186" s="71" t="s">
        <v>249</v>
      </c>
      <c r="AK186" s="73" t="e">
        <f xml:space="preserve"> _xlfn.TEXTJOIN(" ", FALSE,#REF!)</f>
        <v>#REF!</v>
      </c>
      <c r="AL186" s="122"/>
      <c r="AM186" s="71" t="s">
        <v>250</v>
      </c>
      <c r="AN186" s="73" t="e">
        <f xml:space="preserve"> _xlfn.TEXTJOIN(" ", FALSE,#REF!)</f>
        <v>#REF!</v>
      </c>
      <c r="AO186" s="122"/>
      <c r="AP186" s="71" t="s">
        <v>251</v>
      </c>
      <c r="AQ186" s="72" t="e">
        <f xml:space="preserve"> _xlfn.TEXTJOIN(" ", FALSE,#REF!)</f>
        <v>#REF!</v>
      </c>
      <c r="AR186" s="122"/>
      <c r="AS186" s="71" t="s">
        <v>252</v>
      </c>
      <c r="AT186" s="72" t="e">
        <f xml:space="preserve"> _xlfn.TEXTJOIN(" ", FALSE,#REF!)</f>
        <v>#REF!</v>
      </c>
      <c r="AU186" s="122"/>
      <c r="AV186" s="71" t="s">
        <v>253</v>
      </c>
      <c r="AW186" s="73" t="e">
        <f xml:space="preserve"> _xlfn.TEXTJOIN(" ", FALSE,#REF!)</f>
        <v>#REF!</v>
      </c>
      <c r="AX186" s="122"/>
      <c r="AY186" s="71" t="s">
        <v>254</v>
      </c>
      <c r="AZ186" s="72" t="e">
        <f xml:space="preserve"> _xlfn.TEXTJOIN(" ", FALSE,#REF!)</f>
        <v>#REF!</v>
      </c>
      <c r="BA186" s="122"/>
      <c r="BB186" s="71" t="s">
        <v>255</v>
      </c>
      <c r="BC186" s="72" t="e">
        <f xml:space="preserve"> _xlfn.TEXTJOIN(" ", FALSE,#REF!)</f>
        <v>#REF!</v>
      </c>
      <c r="BD186" s="122"/>
      <c r="BE186" s="71" t="s">
        <v>256</v>
      </c>
      <c r="BF186" s="72" t="e">
        <f xml:space="preserve"> _xlfn.TEXTJOIN(" ", FALSE,#REF!)</f>
        <v>#REF!</v>
      </c>
      <c r="BG186" s="65" t="s">
        <v>277</v>
      </c>
      <c r="BH186" s="70" t="e">
        <f t="shared" si="15"/>
        <v>#REF!</v>
      </c>
      <c r="BI186" s="64" t="s">
        <v>257</v>
      </c>
      <c r="BJ186" s="122"/>
      <c r="BK186" s="71" t="s">
        <v>258</v>
      </c>
      <c r="BL186" s="74" t="str">
        <f>_xlfn.TEXTJOIN(" ", FALSE, 'Task 2a - Mitigating the Proble'!U186:AC186)</f>
        <v xml:space="preserve">1 0 0 0 0 1 0 0 </v>
      </c>
      <c r="BM186" s="65" t="s">
        <v>277</v>
      </c>
      <c r="BN186" s="70" t="str">
        <f t="shared" si="16"/>
        <v>[Details for Task 2a:]  /Question 12: 1 0 0 0 0 1 0 0  .</v>
      </c>
      <c r="BO186" s="64" t="s">
        <v>259</v>
      </c>
      <c r="BP186" s="122"/>
      <c r="BQ186" s="71" t="s">
        <v>260</v>
      </c>
      <c r="BR186" s="73" t="e">
        <f xml:space="preserve"> _xlfn.TEXTJOIN(" ", FALSE,#REF!)</f>
        <v>#REF!</v>
      </c>
      <c r="BS186" s="122"/>
      <c r="BT186" s="71" t="s">
        <v>261</v>
      </c>
      <c r="BU186" s="73" t="e">
        <f xml:space="preserve"> _xlfn.TEXTJOIN(" ", FALSE,#REF!)</f>
        <v>#REF!</v>
      </c>
      <c r="BV186" s="122"/>
      <c r="BW186" s="71" t="s">
        <v>262</v>
      </c>
      <c r="BX186" s="73" t="e">
        <f xml:space="preserve"> _xlfn.TEXTJOIN(" ", FALSE,#REF!)</f>
        <v>#REF!</v>
      </c>
      <c r="BY186" s="122"/>
      <c r="BZ186" s="71" t="s">
        <v>263</v>
      </c>
      <c r="CA186" s="73" t="e">
        <f xml:space="preserve"> _xlfn.TEXTJOIN(" ", FALSE,#REF!)</f>
        <v>#REF!</v>
      </c>
      <c r="CB186" s="122"/>
      <c r="CC186" s="71" t="s">
        <v>264</v>
      </c>
      <c r="CD186" s="73" t="e">
        <f xml:space="preserve"> _xlfn.TEXTJOIN(" ", FALSE,#REF!)</f>
        <v>#REF!</v>
      </c>
      <c r="CE186" s="122"/>
      <c r="CF186" s="71" t="s">
        <v>265</v>
      </c>
      <c r="CG186" s="73" t="e">
        <f xml:space="preserve"> _xlfn.TEXTJOIN(" ", FALSE,#REF!)</f>
        <v>#REF!</v>
      </c>
      <c r="CH186" s="122"/>
      <c r="CI186" s="74" t="s">
        <v>278</v>
      </c>
      <c r="CJ186" s="73" t="e">
        <f xml:space="preserve"> _xlfn.TEXTJOIN(" ", FALSE,#REF!)</f>
        <v>#REF!</v>
      </c>
      <c r="CK186" s="65" t="s">
        <v>277</v>
      </c>
      <c r="CL186" s="70" t="e">
        <f t="shared" si="17"/>
        <v>#REF!</v>
      </c>
      <c r="CM186" s="64" t="s">
        <v>267</v>
      </c>
      <c r="CN186" s="122"/>
      <c r="CO186" s="71" t="s">
        <v>268</v>
      </c>
      <c r="CP186" s="73" t="e">
        <f xml:space="preserve"> _xlfn.TEXTJOIN(" ", FALSE,#REF!)</f>
        <v>#REF!</v>
      </c>
      <c r="CQ186" s="122"/>
      <c r="CR186" s="71" t="s">
        <v>269</v>
      </c>
      <c r="CS186" s="73" t="e">
        <f xml:space="preserve"> _xlfn.TEXTJOIN(" ", FALSE,#REF!)</f>
        <v>#REF!</v>
      </c>
      <c r="CT186" s="122"/>
      <c r="CU186" s="71" t="s">
        <v>270</v>
      </c>
      <c r="CV186" s="72" t="e">
        <f xml:space="preserve"> _xlfn.TEXTJOIN(" ", FALSE,#REF!)</f>
        <v>#REF!</v>
      </c>
      <c r="CW186" s="122"/>
      <c r="CX186" s="71" t="s">
        <v>271</v>
      </c>
      <c r="CY186" s="72" t="e">
        <f xml:space="preserve"> _xlfn.TEXTJOIN(" ", FALSE,#REF!)</f>
        <v>#REF!</v>
      </c>
      <c r="CZ186" s="122"/>
      <c r="DA186" s="71" t="s">
        <v>272</v>
      </c>
      <c r="DB186" s="73" t="e">
        <f xml:space="preserve"> _xlfn.TEXTJOIN(" ", FALSE,#REF!)</f>
        <v>#REF!</v>
      </c>
      <c r="DC186" s="65" t="s">
        <v>277</v>
      </c>
      <c r="DD186" s="70" t="e">
        <f t="shared" si="18"/>
        <v>#REF!</v>
      </c>
      <c r="DE186" s="64" t="s">
        <v>273</v>
      </c>
      <c r="DF186" s="122"/>
      <c r="DG186" s="71" t="s">
        <v>274</v>
      </c>
      <c r="DH186" s="72" t="e">
        <f xml:space="preserve"> _xlfn.TEXTJOIN(" ", FALSE,#REF!)</f>
        <v>#REF!</v>
      </c>
      <c r="DI186" s="122"/>
      <c r="DJ186" s="71" t="s">
        <v>275</v>
      </c>
      <c r="DK186" s="73" t="e">
        <f xml:space="preserve"> _xlfn.TEXTJOIN(" ", FALSE,#REF!)</f>
        <v>#REF!</v>
      </c>
      <c r="DL186" s="65" t="s">
        <v>277</v>
      </c>
      <c r="DM186" s="70" t="e">
        <f t="shared" si="19"/>
        <v>#REF!</v>
      </c>
      <c r="DN186" s="70" t="e">
        <f t="shared" si="20"/>
        <v>#REF!</v>
      </c>
    </row>
    <row r="187" spans="1:118" ht="108" customHeight="1">
      <c r="A187" s="122" t="e">
        <f>Summary!A187</f>
        <v>#REF!</v>
      </c>
      <c r="B187" s="64" t="s">
        <v>233</v>
      </c>
      <c r="C187" s="65" t="e">
        <f>Summary!B187</f>
        <v>#REF!</v>
      </c>
      <c r="D187" s="122"/>
      <c r="E187" s="64" t="s">
        <v>235</v>
      </c>
      <c r="F187" s="132" t="e">
        <f>Summary!C187</f>
        <v>#REF!</v>
      </c>
      <c r="G187" s="64" t="s">
        <v>236</v>
      </c>
      <c r="H187" s="132" t="e">
        <f>Summary!D187</f>
        <v>#REF!</v>
      </c>
      <c r="I187" s="64" t="s">
        <v>237</v>
      </c>
      <c r="J187" s="66">
        <f>Summary!E187</f>
        <v>7</v>
      </c>
      <c r="K187" s="64" t="s">
        <v>238</v>
      </c>
      <c r="L187" s="132" t="e">
        <f>Summary!F187</f>
        <v>#REF!</v>
      </c>
      <c r="M187" s="64" t="s">
        <v>239</v>
      </c>
      <c r="N187" s="132" t="e">
        <f>Summary!G187</f>
        <v>#REF!</v>
      </c>
      <c r="O187" s="64" t="s">
        <v>240</v>
      </c>
      <c r="P187" s="132" t="e">
        <f>Summary!H187</f>
        <v>#REF!</v>
      </c>
      <c r="Q187" s="65" t="s">
        <v>277</v>
      </c>
      <c r="R187" s="70" t="e">
        <f t="shared" si="14"/>
        <v>#REF!</v>
      </c>
      <c r="S187" s="64" t="s">
        <v>243</v>
      </c>
      <c r="T187" s="122"/>
      <c r="U187" s="71" t="s">
        <v>244</v>
      </c>
      <c r="V187" s="72" t="e">
        <f xml:space="preserve"> _xlfn.TEXTJOIN(" ", FALSE,#REF!)</f>
        <v>#REF!</v>
      </c>
      <c r="W187" s="122"/>
      <c r="X187" s="71" t="s">
        <v>245</v>
      </c>
      <c r="Y187" s="72" t="e">
        <f xml:space="preserve"> _xlfn.TEXTJOIN(" ", FALSE,#REF!)</f>
        <v>#REF!</v>
      </c>
      <c r="Z187" s="122"/>
      <c r="AA187" s="71" t="s">
        <v>246</v>
      </c>
      <c r="AB187" s="72" t="e">
        <f xml:space="preserve"> _xlfn.TEXTJOIN(" ", FALSE,#REF!)</f>
        <v>#REF!</v>
      </c>
      <c r="AC187" s="122"/>
      <c r="AD187" s="71" t="s">
        <v>247</v>
      </c>
      <c r="AE187" s="72" t="e">
        <f xml:space="preserve"> _xlfn.TEXTJOIN(" ", FALSE,#REF!)</f>
        <v>#REF!</v>
      </c>
      <c r="AF187" s="122"/>
      <c r="AG187" s="71" t="s">
        <v>248</v>
      </c>
      <c r="AH187" s="73" t="e">
        <f xml:space="preserve"> _xlfn.TEXTJOIN(" ", FALSE,#REF!)</f>
        <v>#REF!</v>
      </c>
      <c r="AI187" s="122"/>
      <c r="AJ187" s="71" t="s">
        <v>249</v>
      </c>
      <c r="AK187" s="73" t="e">
        <f xml:space="preserve"> _xlfn.TEXTJOIN(" ", FALSE,#REF!)</f>
        <v>#REF!</v>
      </c>
      <c r="AL187" s="122"/>
      <c r="AM187" s="71" t="s">
        <v>250</v>
      </c>
      <c r="AN187" s="73" t="e">
        <f xml:space="preserve"> _xlfn.TEXTJOIN(" ", FALSE,#REF!)</f>
        <v>#REF!</v>
      </c>
      <c r="AO187" s="122"/>
      <c r="AP187" s="71" t="s">
        <v>251</v>
      </c>
      <c r="AQ187" s="72" t="e">
        <f xml:space="preserve"> _xlfn.TEXTJOIN(" ", FALSE,#REF!)</f>
        <v>#REF!</v>
      </c>
      <c r="AR187" s="122"/>
      <c r="AS187" s="71" t="s">
        <v>252</v>
      </c>
      <c r="AT187" s="72" t="e">
        <f xml:space="preserve"> _xlfn.TEXTJOIN(" ", FALSE,#REF!)</f>
        <v>#REF!</v>
      </c>
      <c r="AU187" s="122"/>
      <c r="AV187" s="71" t="s">
        <v>253</v>
      </c>
      <c r="AW187" s="73" t="e">
        <f xml:space="preserve"> _xlfn.TEXTJOIN(" ", FALSE,#REF!)</f>
        <v>#REF!</v>
      </c>
      <c r="AX187" s="122"/>
      <c r="AY187" s="71" t="s">
        <v>254</v>
      </c>
      <c r="AZ187" s="72" t="e">
        <f xml:space="preserve"> _xlfn.TEXTJOIN(" ", FALSE,#REF!)</f>
        <v>#REF!</v>
      </c>
      <c r="BA187" s="122"/>
      <c r="BB187" s="71" t="s">
        <v>255</v>
      </c>
      <c r="BC187" s="72" t="e">
        <f xml:space="preserve"> _xlfn.TEXTJOIN(" ", FALSE,#REF!)</f>
        <v>#REF!</v>
      </c>
      <c r="BD187" s="122"/>
      <c r="BE187" s="71" t="s">
        <v>256</v>
      </c>
      <c r="BF187" s="72" t="e">
        <f xml:space="preserve"> _xlfn.TEXTJOIN(" ", FALSE,#REF!)</f>
        <v>#REF!</v>
      </c>
      <c r="BG187" s="65" t="s">
        <v>277</v>
      </c>
      <c r="BH187" s="70" t="e">
        <f t="shared" si="15"/>
        <v>#REF!</v>
      </c>
      <c r="BI187" s="64" t="s">
        <v>257</v>
      </c>
      <c r="BJ187" s="122"/>
      <c r="BK187" s="71" t="s">
        <v>258</v>
      </c>
      <c r="BL187" s="74" t="str">
        <f>_xlfn.TEXTJOIN(" ", FALSE, 'Task 2a - Mitigating the Proble'!U187:AC187)</f>
        <v xml:space="preserve">1 1 1 1 0 1 0 0 </v>
      </c>
      <c r="BM187" s="65" t="s">
        <v>277</v>
      </c>
      <c r="BN187" s="70" t="str">
        <f t="shared" si="16"/>
        <v>[Details for Task 2a:]  /Question 12: 1 1 1 1 0 1 0 0  .</v>
      </c>
      <c r="BO187" s="64" t="s">
        <v>259</v>
      </c>
      <c r="BP187" s="122"/>
      <c r="BQ187" s="71" t="s">
        <v>260</v>
      </c>
      <c r="BR187" s="73" t="e">
        <f xml:space="preserve"> _xlfn.TEXTJOIN(" ", FALSE,#REF!)</f>
        <v>#REF!</v>
      </c>
      <c r="BS187" s="122"/>
      <c r="BT187" s="71" t="s">
        <v>261</v>
      </c>
      <c r="BU187" s="73" t="e">
        <f xml:space="preserve"> _xlfn.TEXTJOIN(" ", FALSE,#REF!)</f>
        <v>#REF!</v>
      </c>
      <c r="BV187" s="122"/>
      <c r="BW187" s="71" t="s">
        <v>262</v>
      </c>
      <c r="BX187" s="73" t="e">
        <f xml:space="preserve"> _xlfn.TEXTJOIN(" ", FALSE,#REF!)</f>
        <v>#REF!</v>
      </c>
      <c r="BY187" s="122"/>
      <c r="BZ187" s="71" t="s">
        <v>263</v>
      </c>
      <c r="CA187" s="73" t="e">
        <f xml:space="preserve"> _xlfn.TEXTJOIN(" ", FALSE,#REF!)</f>
        <v>#REF!</v>
      </c>
      <c r="CB187" s="122"/>
      <c r="CC187" s="71" t="s">
        <v>264</v>
      </c>
      <c r="CD187" s="73" t="e">
        <f xml:space="preserve"> _xlfn.TEXTJOIN(" ", FALSE,#REF!)</f>
        <v>#REF!</v>
      </c>
      <c r="CE187" s="122"/>
      <c r="CF187" s="71" t="s">
        <v>265</v>
      </c>
      <c r="CG187" s="73" t="e">
        <f xml:space="preserve"> _xlfn.TEXTJOIN(" ", FALSE,#REF!)</f>
        <v>#REF!</v>
      </c>
      <c r="CH187" s="122"/>
      <c r="CI187" s="74" t="s">
        <v>278</v>
      </c>
      <c r="CJ187" s="73" t="e">
        <f xml:space="preserve"> _xlfn.TEXTJOIN(" ", FALSE,#REF!)</f>
        <v>#REF!</v>
      </c>
      <c r="CK187" s="65" t="s">
        <v>277</v>
      </c>
      <c r="CL187" s="70" t="e">
        <f t="shared" si="17"/>
        <v>#REF!</v>
      </c>
      <c r="CM187" s="64" t="s">
        <v>267</v>
      </c>
      <c r="CN187" s="122"/>
      <c r="CO187" s="71" t="s">
        <v>268</v>
      </c>
      <c r="CP187" s="73" t="e">
        <f xml:space="preserve"> _xlfn.TEXTJOIN(" ", FALSE,#REF!)</f>
        <v>#REF!</v>
      </c>
      <c r="CQ187" s="122"/>
      <c r="CR187" s="71" t="s">
        <v>269</v>
      </c>
      <c r="CS187" s="73" t="e">
        <f xml:space="preserve"> _xlfn.TEXTJOIN(" ", FALSE,#REF!)</f>
        <v>#REF!</v>
      </c>
      <c r="CT187" s="122"/>
      <c r="CU187" s="71" t="s">
        <v>270</v>
      </c>
      <c r="CV187" s="72" t="e">
        <f xml:space="preserve"> _xlfn.TEXTJOIN(" ", FALSE,#REF!)</f>
        <v>#REF!</v>
      </c>
      <c r="CW187" s="122"/>
      <c r="CX187" s="71" t="s">
        <v>271</v>
      </c>
      <c r="CY187" s="72" t="e">
        <f xml:space="preserve"> _xlfn.TEXTJOIN(" ", FALSE,#REF!)</f>
        <v>#REF!</v>
      </c>
      <c r="CZ187" s="122"/>
      <c r="DA187" s="71" t="s">
        <v>272</v>
      </c>
      <c r="DB187" s="73" t="e">
        <f xml:space="preserve"> _xlfn.TEXTJOIN(" ", FALSE,#REF!)</f>
        <v>#REF!</v>
      </c>
      <c r="DC187" s="65" t="s">
        <v>277</v>
      </c>
      <c r="DD187" s="70" t="e">
        <f t="shared" si="18"/>
        <v>#REF!</v>
      </c>
      <c r="DE187" s="64" t="s">
        <v>273</v>
      </c>
      <c r="DF187" s="122"/>
      <c r="DG187" s="71" t="s">
        <v>274</v>
      </c>
      <c r="DH187" s="72" t="e">
        <f xml:space="preserve"> _xlfn.TEXTJOIN(" ", FALSE,#REF!)</f>
        <v>#REF!</v>
      </c>
      <c r="DI187" s="122"/>
      <c r="DJ187" s="71" t="s">
        <v>275</v>
      </c>
      <c r="DK187" s="73" t="e">
        <f xml:space="preserve"> _xlfn.TEXTJOIN(" ", FALSE,#REF!)</f>
        <v>#REF!</v>
      </c>
      <c r="DL187" s="65" t="s">
        <v>277</v>
      </c>
      <c r="DM187" s="70" t="e">
        <f t="shared" si="19"/>
        <v>#REF!</v>
      </c>
      <c r="DN187" s="70" t="e">
        <f t="shared" si="20"/>
        <v>#REF!</v>
      </c>
    </row>
    <row r="188" spans="1:118" ht="108" customHeight="1">
      <c r="A188" s="122" t="e">
        <f>Summary!A188</f>
        <v>#REF!</v>
      </c>
      <c r="B188" s="64" t="s">
        <v>233</v>
      </c>
      <c r="C188" s="65" t="e">
        <f>Summary!B188</f>
        <v>#REF!</v>
      </c>
      <c r="D188" s="122"/>
      <c r="E188" s="64" t="s">
        <v>235</v>
      </c>
      <c r="F188" s="132" t="e">
        <f>Summary!C188</f>
        <v>#REF!</v>
      </c>
      <c r="G188" s="64" t="s">
        <v>236</v>
      </c>
      <c r="H188" s="132" t="e">
        <f>Summary!D188</f>
        <v>#REF!</v>
      </c>
      <c r="I188" s="64" t="s">
        <v>237</v>
      </c>
      <c r="J188" s="66">
        <f>Summary!E188</f>
        <v>5</v>
      </c>
      <c r="K188" s="64" t="s">
        <v>238</v>
      </c>
      <c r="L188" s="132" t="e">
        <f>Summary!F188</f>
        <v>#REF!</v>
      </c>
      <c r="M188" s="64" t="s">
        <v>239</v>
      </c>
      <c r="N188" s="132" t="e">
        <f>Summary!G188</f>
        <v>#REF!</v>
      </c>
      <c r="O188" s="64" t="s">
        <v>240</v>
      </c>
      <c r="P188" s="132" t="e">
        <f>Summary!H188</f>
        <v>#REF!</v>
      </c>
      <c r="Q188" s="65" t="s">
        <v>277</v>
      </c>
      <c r="R188" s="70" t="e">
        <f t="shared" si="14"/>
        <v>#REF!</v>
      </c>
      <c r="S188" s="64" t="s">
        <v>243</v>
      </c>
      <c r="T188" s="122"/>
      <c r="U188" s="71" t="s">
        <v>244</v>
      </c>
      <c r="V188" s="72" t="e">
        <f xml:space="preserve"> _xlfn.TEXTJOIN(" ", FALSE,#REF!)</f>
        <v>#REF!</v>
      </c>
      <c r="W188" s="122"/>
      <c r="X188" s="71" t="s">
        <v>245</v>
      </c>
      <c r="Y188" s="72" t="e">
        <f xml:space="preserve"> _xlfn.TEXTJOIN(" ", FALSE,#REF!)</f>
        <v>#REF!</v>
      </c>
      <c r="Z188" s="122"/>
      <c r="AA188" s="71" t="s">
        <v>246</v>
      </c>
      <c r="AB188" s="72" t="e">
        <f xml:space="preserve"> _xlfn.TEXTJOIN(" ", FALSE,#REF!)</f>
        <v>#REF!</v>
      </c>
      <c r="AC188" s="122"/>
      <c r="AD188" s="71" t="s">
        <v>247</v>
      </c>
      <c r="AE188" s="72" t="e">
        <f xml:space="preserve"> _xlfn.TEXTJOIN(" ", FALSE,#REF!)</f>
        <v>#REF!</v>
      </c>
      <c r="AF188" s="122"/>
      <c r="AG188" s="71" t="s">
        <v>248</v>
      </c>
      <c r="AH188" s="73" t="e">
        <f xml:space="preserve"> _xlfn.TEXTJOIN(" ", FALSE,#REF!)</f>
        <v>#REF!</v>
      </c>
      <c r="AI188" s="122"/>
      <c r="AJ188" s="71" t="s">
        <v>249</v>
      </c>
      <c r="AK188" s="73" t="e">
        <f xml:space="preserve"> _xlfn.TEXTJOIN(" ", FALSE,#REF!)</f>
        <v>#REF!</v>
      </c>
      <c r="AL188" s="122"/>
      <c r="AM188" s="71" t="s">
        <v>250</v>
      </c>
      <c r="AN188" s="73" t="e">
        <f xml:space="preserve"> _xlfn.TEXTJOIN(" ", FALSE,#REF!)</f>
        <v>#REF!</v>
      </c>
      <c r="AO188" s="122"/>
      <c r="AP188" s="71" t="s">
        <v>251</v>
      </c>
      <c r="AQ188" s="72" t="e">
        <f xml:space="preserve"> _xlfn.TEXTJOIN(" ", FALSE,#REF!)</f>
        <v>#REF!</v>
      </c>
      <c r="AR188" s="122"/>
      <c r="AS188" s="71" t="s">
        <v>252</v>
      </c>
      <c r="AT188" s="72" t="e">
        <f xml:space="preserve"> _xlfn.TEXTJOIN(" ", FALSE,#REF!)</f>
        <v>#REF!</v>
      </c>
      <c r="AU188" s="122"/>
      <c r="AV188" s="71" t="s">
        <v>253</v>
      </c>
      <c r="AW188" s="73" t="e">
        <f xml:space="preserve"> _xlfn.TEXTJOIN(" ", FALSE,#REF!)</f>
        <v>#REF!</v>
      </c>
      <c r="AX188" s="122"/>
      <c r="AY188" s="71" t="s">
        <v>254</v>
      </c>
      <c r="AZ188" s="72" t="e">
        <f xml:space="preserve"> _xlfn.TEXTJOIN(" ", FALSE,#REF!)</f>
        <v>#REF!</v>
      </c>
      <c r="BA188" s="122"/>
      <c r="BB188" s="71" t="s">
        <v>255</v>
      </c>
      <c r="BC188" s="72" t="e">
        <f xml:space="preserve"> _xlfn.TEXTJOIN(" ", FALSE,#REF!)</f>
        <v>#REF!</v>
      </c>
      <c r="BD188" s="122"/>
      <c r="BE188" s="71" t="s">
        <v>256</v>
      </c>
      <c r="BF188" s="72" t="e">
        <f xml:space="preserve"> _xlfn.TEXTJOIN(" ", FALSE,#REF!)</f>
        <v>#REF!</v>
      </c>
      <c r="BG188" s="65" t="s">
        <v>277</v>
      </c>
      <c r="BH188" s="70" t="e">
        <f t="shared" si="15"/>
        <v>#REF!</v>
      </c>
      <c r="BI188" s="64" t="s">
        <v>257</v>
      </c>
      <c r="BJ188" s="122"/>
      <c r="BK188" s="71" t="s">
        <v>258</v>
      </c>
      <c r="BL188" s="74" t="str">
        <f>_xlfn.TEXTJOIN(" ", FALSE, 'Task 2a - Mitigating the Proble'!U188:AC188)</f>
        <v xml:space="preserve">1 0 0 0 0 1 0 0 </v>
      </c>
      <c r="BM188" s="65" t="s">
        <v>277</v>
      </c>
      <c r="BN188" s="70" t="str">
        <f t="shared" si="16"/>
        <v>[Details for Task 2a:]  /Question 12: 1 0 0 0 0 1 0 0  .</v>
      </c>
      <c r="BO188" s="64" t="s">
        <v>259</v>
      </c>
      <c r="BP188" s="122"/>
      <c r="BQ188" s="71" t="s">
        <v>260</v>
      </c>
      <c r="BR188" s="73" t="e">
        <f xml:space="preserve"> _xlfn.TEXTJOIN(" ", FALSE,#REF!)</f>
        <v>#REF!</v>
      </c>
      <c r="BS188" s="122"/>
      <c r="BT188" s="71" t="s">
        <v>261</v>
      </c>
      <c r="BU188" s="73" t="e">
        <f xml:space="preserve"> _xlfn.TEXTJOIN(" ", FALSE,#REF!)</f>
        <v>#REF!</v>
      </c>
      <c r="BV188" s="122"/>
      <c r="BW188" s="71" t="s">
        <v>262</v>
      </c>
      <c r="BX188" s="73" t="e">
        <f xml:space="preserve"> _xlfn.TEXTJOIN(" ", FALSE,#REF!)</f>
        <v>#REF!</v>
      </c>
      <c r="BY188" s="122"/>
      <c r="BZ188" s="71" t="s">
        <v>263</v>
      </c>
      <c r="CA188" s="73" t="e">
        <f xml:space="preserve"> _xlfn.TEXTJOIN(" ", FALSE,#REF!)</f>
        <v>#REF!</v>
      </c>
      <c r="CB188" s="122"/>
      <c r="CC188" s="71" t="s">
        <v>264</v>
      </c>
      <c r="CD188" s="73" t="e">
        <f xml:space="preserve"> _xlfn.TEXTJOIN(" ", FALSE,#REF!)</f>
        <v>#REF!</v>
      </c>
      <c r="CE188" s="122"/>
      <c r="CF188" s="71" t="s">
        <v>265</v>
      </c>
      <c r="CG188" s="73" t="e">
        <f xml:space="preserve"> _xlfn.TEXTJOIN(" ", FALSE,#REF!)</f>
        <v>#REF!</v>
      </c>
      <c r="CH188" s="122"/>
      <c r="CI188" s="74" t="s">
        <v>278</v>
      </c>
      <c r="CJ188" s="73" t="e">
        <f xml:space="preserve"> _xlfn.TEXTJOIN(" ", FALSE,#REF!)</f>
        <v>#REF!</v>
      </c>
      <c r="CK188" s="65" t="s">
        <v>277</v>
      </c>
      <c r="CL188" s="70" t="e">
        <f t="shared" si="17"/>
        <v>#REF!</v>
      </c>
      <c r="CM188" s="64" t="s">
        <v>267</v>
      </c>
      <c r="CN188" s="122"/>
      <c r="CO188" s="71" t="s">
        <v>268</v>
      </c>
      <c r="CP188" s="73" t="e">
        <f xml:space="preserve"> _xlfn.TEXTJOIN(" ", FALSE,#REF!)</f>
        <v>#REF!</v>
      </c>
      <c r="CQ188" s="122"/>
      <c r="CR188" s="71" t="s">
        <v>269</v>
      </c>
      <c r="CS188" s="73" t="e">
        <f xml:space="preserve"> _xlfn.TEXTJOIN(" ", FALSE,#REF!)</f>
        <v>#REF!</v>
      </c>
      <c r="CT188" s="122"/>
      <c r="CU188" s="71" t="s">
        <v>270</v>
      </c>
      <c r="CV188" s="72" t="e">
        <f xml:space="preserve"> _xlfn.TEXTJOIN(" ", FALSE,#REF!)</f>
        <v>#REF!</v>
      </c>
      <c r="CW188" s="122"/>
      <c r="CX188" s="71" t="s">
        <v>271</v>
      </c>
      <c r="CY188" s="72" t="e">
        <f xml:space="preserve"> _xlfn.TEXTJOIN(" ", FALSE,#REF!)</f>
        <v>#REF!</v>
      </c>
      <c r="CZ188" s="122"/>
      <c r="DA188" s="71" t="s">
        <v>272</v>
      </c>
      <c r="DB188" s="73" t="e">
        <f xml:space="preserve"> _xlfn.TEXTJOIN(" ", FALSE,#REF!)</f>
        <v>#REF!</v>
      </c>
      <c r="DC188" s="65" t="s">
        <v>277</v>
      </c>
      <c r="DD188" s="70" t="e">
        <f t="shared" si="18"/>
        <v>#REF!</v>
      </c>
      <c r="DE188" s="64" t="s">
        <v>273</v>
      </c>
      <c r="DF188" s="122"/>
      <c r="DG188" s="71" t="s">
        <v>274</v>
      </c>
      <c r="DH188" s="72" t="e">
        <f xml:space="preserve"> _xlfn.TEXTJOIN(" ", FALSE,#REF!)</f>
        <v>#REF!</v>
      </c>
      <c r="DI188" s="122"/>
      <c r="DJ188" s="71" t="s">
        <v>275</v>
      </c>
      <c r="DK188" s="73" t="e">
        <f xml:space="preserve"> _xlfn.TEXTJOIN(" ", FALSE,#REF!)</f>
        <v>#REF!</v>
      </c>
      <c r="DL188" s="65" t="s">
        <v>277</v>
      </c>
      <c r="DM188" s="70" t="e">
        <f t="shared" si="19"/>
        <v>#REF!</v>
      </c>
      <c r="DN188" s="70" t="e">
        <f t="shared" si="20"/>
        <v>#REF!</v>
      </c>
    </row>
    <row r="189" spans="1:118" ht="108" customHeight="1">
      <c r="A189" s="122" t="e">
        <f>Summary!A189</f>
        <v>#REF!</v>
      </c>
      <c r="B189" s="64" t="s">
        <v>233</v>
      </c>
      <c r="C189" s="65" t="e">
        <f>Summary!B189</f>
        <v>#REF!</v>
      </c>
      <c r="D189" s="122"/>
      <c r="E189" s="64" t="s">
        <v>235</v>
      </c>
      <c r="F189" s="132" t="e">
        <f>Summary!C189</f>
        <v>#REF!</v>
      </c>
      <c r="G189" s="64" t="s">
        <v>236</v>
      </c>
      <c r="H189" s="132" t="e">
        <f>Summary!D189</f>
        <v>#REF!</v>
      </c>
      <c r="I189" s="64" t="s">
        <v>237</v>
      </c>
      <c r="J189" s="66">
        <f>Summary!E189</f>
        <v>5</v>
      </c>
      <c r="K189" s="64" t="s">
        <v>238</v>
      </c>
      <c r="L189" s="132" t="e">
        <f>Summary!F189</f>
        <v>#REF!</v>
      </c>
      <c r="M189" s="64" t="s">
        <v>239</v>
      </c>
      <c r="N189" s="132" t="e">
        <f>Summary!G189</f>
        <v>#REF!</v>
      </c>
      <c r="O189" s="64" t="s">
        <v>240</v>
      </c>
      <c r="P189" s="132" t="e">
        <f>Summary!H189</f>
        <v>#REF!</v>
      </c>
      <c r="Q189" s="65" t="s">
        <v>277</v>
      </c>
      <c r="R189" s="70" t="e">
        <f t="shared" si="14"/>
        <v>#REF!</v>
      </c>
      <c r="S189" s="64" t="s">
        <v>243</v>
      </c>
      <c r="T189" s="122"/>
      <c r="U189" s="71" t="s">
        <v>244</v>
      </c>
      <c r="V189" s="72" t="e">
        <f xml:space="preserve"> _xlfn.TEXTJOIN(" ", FALSE,#REF!)</f>
        <v>#REF!</v>
      </c>
      <c r="W189" s="122"/>
      <c r="X189" s="71" t="s">
        <v>245</v>
      </c>
      <c r="Y189" s="72" t="e">
        <f xml:space="preserve"> _xlfn.TEXTJOIN(" ", FALSE,#REF!)</f>
        <v>#REF!</v>
      </c>
      <c r="Z189" s="122"/>
      <c r="AA189" s="71" t="s">
        <v>246</v>
      </c>
      <c r="AB189" s="72" t="e">
        <f xml:space="preserve"> _xlfn.TEXTJOIN(" ", FALSE,#REF!)</f>
        <v>#REF!</v>
      </c>
      <c r="AC189" s="122"/>
      <c r="AD189" s="71" t="s">
        <v>247</v>
      </c>
      <c r="AE189" s="72" t="e">
        <f xml:space="preserve"> _xlfn.TEXTJOIN(" ", FALSE,#REF!)</f>
        <v>#REF!</v>
      </c>
      <c r="AF189" s="122"/>
      <c r="AG189" s="71" t="s">
        <v>248</v>
      </c>
      <c r="AH189" s="73" t="e">
        <f xml:space="preserve"> _xlfn.TEXTJOIN(" ", FALSE,#REF!)</f>
        <v>#REF!</v>
      </c>
      <c r="AI189" s="122"/>
      <c r="AJ189" s="71" t="s">
        <v>249</v>
      </c>
      <c r="AK189" s="73" t="e">
        <f xml:space="preserve"> _xlfn.TEXTJOIN(" ", FALSE,#REF!)</f>
        <v>#REF!</v>
      </c>
      <c r="AL189" s="122"/>
      <c r="AM189" s="71" t="s">
        <v>250</v>
      </c>
      <c r="AN189" s="73" t="e">
        <f xml:space="preserve"> _xlfn.TEXTJOIN(" ", FALSE,#REF!)</f>
        <v>#REF!</v>
      </c>
      <c r="AO189" s="122"/>
      <c r="AP189" s="71" t="s">
        <v>251</v>
      </c>
      <c r="AQ189" s="72" t="e">
        <f xml:space="preserve"> _xlfn.TEXTJOIN(" ", FALSE,#REF!)</f>
        <v>#REF!</v>
      </c>
      <c r="AR189" s="122"/>
      <c r="AS189" s="71" t="s">
        <v>252</v>
      </c>
      <c r="AT189" s="72" t="e">
        <f xml:space="preserve"> _xlfn.TEXTJOIN(" ", FALSE,#REF!)</f>
        <v>#REF!</v>
      </c>
      <c r="AU189" s="122"/>
      <c r="AV189" s="71" t="s">
        <v>253</v>
      </c>
      <c r="AW189" s="73" t="e">
        <f xml:space="preserve"> _xlfn.TEXTJOIN(" ", FALSE,#REF!)</f>
        <v>#REF!</v>
      </c>
      <c r="AX189" s="122"/>
      <c r="AY189" s="71" t="s">
        <v>254</v>
      </c>
      <c r="AZ189" s="72" t="e">
        <f xml:space="preserve"> _xlfn.TEXTJOIN(" ", FALSE,#REF!)</f>
        <v>#REF!</v>
      </c>
      <c r="BA189" s="122"/>
      <c r="BB189" s="71" t="s">
        <v>255</v>
      </c>
      <c r="BC189" s="72" t="e">
        <f xml:space="preserve"> _xlfn.TEXTJOIN(" ", FALSE,#REF!)</f>
        <v>#REF!</v>
      </c>
      <c r="BD189" s="122"/>
      <c r="BE189" s="71" t="s">
        <v>256</v>
      </c>
      <c r="BF189" s="72" t="e">
        <f xml:space="preserve"> _xlfn.TEXTJOIN(" ", FALSE,#REF!)</f>
        <v>#REF!</v>
      </c>
      <c r="BG189" s="65" t="s">
        <v>277</v>
      </c>
      <c r="BH189" s="70" t="e">
        <f t="shared" si="15"/>
        <v>#REF!</v>
      </c>
      <c r="BI189" s="64" t="s">
        <v>257</v>
      </c>
      <c r="BJ189" s="122"/>
      <c r="BK189" s="71" t="s">
        <v>258</v>
      </c>
      <c r="BL189" s="74" t="str">
        <f>_xlfn.TEXTJOIN(" ", FALSE, 'Task 2a - Mitigating the Proble'!U189:AC189)</f>
        <v xml:space="preserve">1 0 0 0 0 1 0 0 </v>
      </c>
      <c r="BM189" s="65" t="s">
        <v>277</v>
      </c>
      <c r="BN189" s="70" t="str">
        <f t="shared" si="16"/>
        <v>[Details for Task 2a:]  /Question 12: 1 0 0 0 0 1 0 0  .</v>
      </c>
      <c r="BO189" s="64" t="s">
        <v>259</v>
      </c>
      <c r="BP189" s="122"/>
      <c r="BQ189" s="71" t="s">
        <v>260</v>
      </c>
      <c r="BR189" s="73" t="e">
        <f xml:space="preserve"> _xlfn.TEXTJOIN(" ", FALSE,#REF!)</f>
        <v>#REF!</v>
      </c>
      <c r="BS189" s="122"/>
      <c r="BT189" s="71" t="s">
        <v>261</v>
      </c>
      <c r="BU189" s="73" t="e">
        <f xml:space="preserve"> _xlfn.TEXTJOIN(" ", FALSE,#REF!)</f>
        <v>#REF!</v>
      </c>
      <c r="BV189" s="122"/>
      <c r="BW189" s="71" t="s">
        <v>262</v>
      </c>
      <c r="BX189" s="73" t="e">
        <f xml:space="preserve"> _xlfn.TEXTJOIN(" ", FALSE,#REF!)</f>
        <v>#REF!</v>
      </c>
      <c r="BY189" s="122"/>
      <c r="BZ189" s="71" t="s">
        <v>263</v>
      </c>
      <c r="CA189" s="73" t="e">
        <f xml:space="preserve"> _xlfn.TEXTJOIN(" ", FALSE,#REF!)</f>
        <v>#REF!</v>
      </c>
      <c r="CB189" s="122"/>
      <c r="CC189" s="71" t="s">
        <v>264</v>
      </c>
      <c r="CD189" s="73" t="e">
        <f xml:space="preserve"> _xlfn.TEXTJOIN(" ", FALSE,#REF!)</f>
        <v>#REF!</v>
      </c>
      <c r="CE189" s="122"/>
      <c r="CF189" s="71" t="s">
        <v>265</v>
      </c>
      <c r="CG189" s="73" t="e">
        <f xml:space="preserve"> _xlfn.TEXTJOIN(" ", FALSE,#REF!)</f>
        <v>#REF!</v>
      </c>
      <c r="CH189" s="122"/>
      <c r="CI189" s="74" t="s">
        <v>278</v>
      </c>
      <c r="CJ189" s="73" t="e">
        <f xml:space="preserve"> _xlfn.TEXTJOIN(" ", FALSE,#REF!)</f>
        <v>#REF!</v>
      </c>
      <c r="CK189" s="65" t="s">
        <v>277</v>
      </c>
      <c r="CL189" s="70" t="e">
        <f t="shared" si="17"/>
        <v>#REF!</v>
      </c>
      <c r="CM189" s="64" t="s">
        <v>267</v>
      </c>
      <c r="CN189" s="122"/>
      <c r="CO189" s="71" t="s">
        <v>268</v>
      </c>
      <c r="CP189" s="73" t="e">
        <f xml:space="preserve"> _xlfn.TEXTJOIN(" ", FALSE,#REF!)</f>
        <v>#REF!</v>
      </c>
      <c r="CQ189" s="122"/>
      <c r="CR189" s="71" t="s">
        <v>269</v>
      </c>
      <c r="CS189" s="73" t="e">
        <f xml:space="preserve"> _xlfn.TEXTJOIN(" ", FALSE,#REF!)</f>
        <v>#REF!</v>
      </c>
      <c r="CT189" s="122"/>
      <c r="CU189" s="71" t="s">
        <v>270</v>
      </c>
      <c r="CV189" s="72" t="e">
        <f xml:space="preserve"> _xlfn.TEXTJOIN(" ", FALSE,#REF!)</f>
        <v>#REF!</v>
      </c>
      <c r="CW189" s="122"/>
      <c r="CX189" s="71" t="s">
        <v>271</v>
      </c>
      <c r="CY189" s="72" t="e">
        <f xml:space="preserve"> _xlfn.TEXTJOIN(" ", FALSE,#REF!)</f>
        <v>#REF!</v>
      </c>
      <c r="CZ189" s="122"/>
      <c r="DA189" s="71" t="s">
        <v>272</v>
      </c>
      <c r="DB189" s="73" t="e">
        <f xml:space="preserve"> _xlfn.TEXTJOIN(" ", FALSE,#REF!)</f>
        <v>#REF!</v>
      </c>
      <c r="DC189" s="65" t="s">
        <v>277</v>
      </c>
      <c r="DD189" s="70" t="e">
        <f t="shared" si="18"/>
        <v>#REF!</v>
      </c>
      <c r="DE189" s="64" t="s">
        <v>273</v>
      </c>
      <c r="DF189" s="122"/>
      <c r="DG189" s="71" t="s">
        <v>274</v>
      </c>
      <c r="DH189" s="72" t="e">
        <f xml:space="preserve"> _xlfn.TEXTJOIN(" ", FALSE,#REF!)</f>
        <v>#REF!</v>
      </c>
      <c r="DI189" s="122"/>
      <c r="DJ189" s="71" t="s">
        <v>275</v>
      </c>
      <c r="DK189" s="73" t="e">
        <f xml:space="preserve"> _xlfn.TEXTJOIN(" ", FALSE,#REF!)</f>
        <v>#REF!</v>
      </c>
      <c r="DL189" s="65" t="s">
        <v>277</v>
      </c>
      <c r="DM189" s="70" t="e">
        <f t="shared" si="19"/>
        <v>#REF!</v>
      </c>
      <c r="DN189" s="70" t="e">
        <f t="shared" si="20"/>
        <v>#REF!</v>
      </c>
    </row>
    <row r="190" spans="1:118" ht="108" customHeight="1">
      <c r="A190" s="122" t="e">
        <f>Summary!A190</f>
        <v>#REF!</v>
      </c>
      <c r="B190" s="64" t="s">
        <v>233</v>
      </c>
      <c r="C190" s="65" t="e">
        <f>Summary!B190</f>
        <v>#REF!</v>
      </c>
      <c r="D190" s="122"/>
      <c r="E190" s="64" t="s">
        <v>235</v>
      </c>
      <c r="F190" s="132" t="e">
        <f>Summary!C190</f>
        <v>#REF!</v>
      </c>
      <c r="G190" s="64" t="s">
        <v>236</v>
      </c>
      <c r="H190" s="132" t="e">
        <f>Summary!D190</f>
        <v>#REF!</v>
      </c>
      <c r="I190" s="64" t="s">
        <v>237</v>
      </c>
      <c r="J190" s="66">
        <f>Summary!E190</f>
        <v>7</v>
      </c>
      <c r="K190" s="64" t="s">
        <v>238</v>
      </c>
      <c r="L190" s="132" t="e">
        <f>Summary!F190</f>
        <v>#REF!</v>
      </c>
      <c r="M190" s="64" t="s">
        <v>239</v>
      </c>
      <c r="N190" s="132" t="e">
        <f>Summary!G190</f>
        <v>#REF!</v>
      </c>
      <c r="O190" s="64" t="s">
        <v>240</v>
      </c>
      <c r="P190" s="132" t="e">
        <f>Summary!H190</f>
        <v>#REF!</v>
      </c>
      <c r="Q190" s="65" t="s">
        <v>277</v>
      </c>
      <c r="R190" s="70" t="e">
        <f t="shared" si="14"/>
        <v>#REF!</v>
      </c>
      <c r="S190" s="64" t="s">
        <v>243</v>
      </c>
      <c r="T190" s="122"/>
      <c r="U190" s="71" t="s">
        <v>244</v>
      </c>
      <c r="V190" s="72" t="e">
        <f xml:space="preserve"> _xlfn.TEXTJOIN(" ", FALSE,#REF!)</f>
        <v>#REF!</v>
      </c>
      <c r="W190" s="122"/>
      <c r="X190" s="71" t="s">
        <v>245</v>
      </c>
      <c r="Y190" s="72" t="e">
        <f xml:space="preserve"> _xlfn.TEXTJOIN(" ", FALSE,#REF!)</f>
        <v>#REF!</v>
      </c>
      <c r="Z190" s="122"/>
      <c r="AA190" s="71" t="s">
        <v>246</v>
      </c>
      <c r="AB190" s="72" t="e">
        <f xml:space="preserve"> _xlfn.TEXTJOIN(" ", FALSE,#REF!)</f>
        <v>#REF!</v>
      </c>
      <c r="AC190" s="122"/>
      <c r="AD190" s="71" t="s">
        <v>247</v>
      </c>
      <c r="AE190" s="72" t="e">
        <f xml:space="preserve"> _xlfn.TEXTJOIN(" ", FALSE,#REF!)</f>
        <v>#REF!</v>
      </c>
      <c r="AF190" s="122"/>
      <c r="AG190" s="71" t="s">
        <v>248</v>
      </c>
      <c r="AH190" s="73" t="e">
        <f xml:space="preserve"> _xlfn.TEXTJOIN(" ", FALSE,#REF!)</f>
        <v>#REF!</v>
      </c>
      <c r="AI190" s="122"/>
      <c r="AJ190" s="71" t="s">
        <v>249</v>
      </c>
      <c r="AK190" s="73" t="e">
        <f xml:space="preserve"> _xlfn.TEXTJOIN(" ", FALSE,#REF!)</f>
        <v>#REF!</v>
      </c>
      <c r="AL190" s="122"/>
      <c r="AM190" s="71" t="s">
        <v>250</v>
      </c>
      <c r="AN190" s="73" t="e">
        <f xml:space="preserve"> _xlfn.TEXTJOIN(" ", FALSE,#REF!)</f>
        <v>#REF!</v>
      </c>
      <c r="AO190" s="122"/>
      <c r="AP190" s="71" t="s">
        <v>251</v>
      </c>
      <c r="AQ190" s="72" t="e">
        <f xml:space="preserve"> _xlfn.TEXTJOIN(" ", FALSE,#REF!)</f>
        <v>#REF!</v>
      </c>
      <c r="AR190" s="122"/>
      <c r="AS190" s="71" t="s">
        <v>252</v>
      </c>
      <c r="AT190" s="72" t="e">
        <f xml:space="preserve"> _xlfn.TEXTJOIN(" ", FALSE,#REF!)</f>
        <v>#REF!</v>
      </c>
      <c r="AU190" s="122"/>
      <c r="AV190" s="71" t="s">
        <v>253</v>
      </c>
      <c r="AW190" s="73" t="e">
        <f xml:space="preserve"> _xlfn.TEXTJOIN(" ", FALSE,#REF!)</f>
        <v>#REF!</v>
      </c>
      <c r="AX190" s="122"/>
      <c r="AY190" s="71" t="s">
        <v>254</v>
      </c>
      <c r="AZ190" s="72" t="e">
        <f xml:space="preserve"> _xlfn.TEXTJOIN(" ", FALSE,#REF!)</f>
        <v>#REF!</v>
      </c>
      <c r="BA190" s="122"/>
      <c r="BB190" s="71" t="s">
        <v>255</v>
      </c>
      <c r="BC190" s="72" t="e">
        <f xml:space="preserve"> _xlfn.TEXTJOIN(" ", FALSE,#REF!)</f>
        <v>#REF!</v>
      </c>
      <c r="BD190" s="122"/>
      <c r="BE190" s="71" t="s">
        <v>256</v>
      </c>
      <c r="BF190" s="72" t="e">
        <f xml:space="preserve"> _xlfn.TEXTJOIN(" ", FALSE,#REF!)</f>
        <v>#REF!</v>
      </c>
      <c r="BG190" s="65" t="s">
        <v>277</v>
      </c>
      <c r="BH190" s="70" t="e">
        <f t="shared" si="15"/>
        <v>#REF!</v>
      </c>
      <c r="BI190" s="64" t="s">
        <v>257</v>
      </c>
      <c r="BJ190" s="122"/>
      <c r="BK190" s="71" t="s">
        <v>258</v>
      </c>
      <c r="BL190" s="74" t="str">
        <f>_xlfn.TEXTJOIN(" ", FALSE, 'Task 2a - Mitigating the Proble'!U190:AC190)</f>
        <v xml:space="preserve">1 1 1 1 0 1 0 0 </v>
      </c>
      <c r="BM190" s="65" t="s">
        <v>277</v>
      </c>
      <c r="BN190" s="70" t="str">
        <f t="shared" si="16"/>
        <v>[Details for Task 2a:]  /Question 12: 1 1 1 1 0 1 0 0  .</v>
      </c>
      <c r="BO190" s="64" t="s">
        <v>259</v>
      </c>
      <c r="BP190" s="122"/>
      <c r="BQ190" s="71" t="s">
        <v>260</v>
      </c>
      <c r="BR190" s="73" t="e">
        <f xml:space="preserve"> _xlfn.TEXTJOIN(" ", FALSE,#REF!)</f>
        <v>#REF!</v>
      </c>
      <c r="BS190" s="122"/>
      <c r="BT190" s="71" t="s">
        <v>261</v>
      </c>
      <c r="BU190" s="73" t="e">
        <f xml:space="preserve"> _xlfn.TEXTJOIN(" ", FALSE,#REF!)</f>
        <v>#REF!</v>
      </c>
      <c r="BV190" s="122"/>
      <c r="BW190" s="71" t="s">
        <v>262</v>
      </c>
      <c r="BX190" s="73" t="e">
        <f xml:space="preserve"> _xlfn.TEXTJOIN(" ", FALSE,#REF!)</f>
        <v>#REF!</v>
      </c>
      <c r="BY190" s="122"/>
      <c r="BZ190" s="71" t="s">
        <v>263</v>
      </c>
      <c r="CA190" s="73" t="e">
        <f xml:space="preserve"> _xlfn.TEXTJOIN(" ", FALSE,#REF!)</f>
        <v>#REF!</v>
      </c>
      <c r="CB190" s="122"/>
      <c r="CC190" s="71" t="s">
        <v>264</v>
      </c>
      <c r="CD190" s="73" t="e">
        <f xml:space="preserve"> _xlfn.TEXTJOIN(" ", FALSE,#REF!)</f>
        <v>#REF!</v>
      </c>
      <c r="CE190" s="122"/>
      <c r="CF190" s="71" t="s">
        <v>265</v>
      </c>
      <c r="CG190" s="73" t="e">
        <f xml:space="preserve"> _xlfn.TEXTJOIN(" ", FALSE,#REF!)</f>
        <v>#REF!</v>
      </c>
      <c r="CH190" s="122"/>
      <c r="CI190" s="74" t="s">
        <v>278</v>
      </c>
      <c r="CJ190" s="73" t="e">
        <f xml:space="preserve"> _xlfn.TEXTJOIN(" ", FALSE,#REF!)</f>
        <v>#REF!</v>
      </c>
      <c r="CK190" s="65" t="s">
        <v>277</v>
      </c>
      <c r="CL190" s="70" t="e">
        <f t="shared" si="17"/>
        <v>#REF!</v>
      </c>
      <c r="CM190" s="64" t="s">
        <v>267</v>
      </c>
      <c r="CN190" s="122"/>
      <c r="CO190" s="71" t="s">
        <v>268</v>
      </c>
      <c r="CP190" s="73" t="e">
        <f xml:space="preserve"> _xlfn.TEXTJOIN(" ", FALSE,#REF!)</f>
        <v>#REF!</v>
      </c>
      <c r="CQ190" s="122"/>
      <c r="CR190" s="71" t="s">
        <v>269</v>
      </c>
      <c r="CS190" s="73" t="e">
        <f xml:space="preserve"> _xlfn.TEXTJOIN(" ", FALSE,#REF!)</f>
        <v>#REF!</v>
      </c>
      <c r="CT190" s="122"/>
      <c r="CU190" s="71" t="s">
        <v>270</v>
      </c>
      <c r="CV190" s="72" t="e">
        <f xml:space="preserve"> _xlfn.TEXTJOIN(" ", FALSE,#REF!)</f>
        <v>#REF!</v>
      </c>
      <c r="CW190" s="122"/>
      <c r="CX190" s="71" t="s">
        <v>271</v>
      </c>
      <c r="CY190" s="72" t="e">
        <f xml:space="preserve"> _xlfn.TEXTJOIN(" ", FALSE,#REF!)</f>
        <v>#REF!</v>
      </c>
      <c r="CZ190" s="122"/>
      <c r="DA190" s="71" t="s">
        <v>272</v>
      </c>
      <c r="DB190" s="73" t="e">
        <f xml:space="preserve"> _xlfn.TEXTJOIN(" ", FALSE,#REF!)</f>
        <v>#REF!</v>
      </c>
      <c r="DC190" s="65" t="s">
        <v>277</v>
      </c>
      <c r="DD190" s="70" t="e">
        <f t="shared" si="18"/>
        <v>#REF!</v>
      </c>
      <c r="DE190" s="64" t="s">
        <v>273</v>
      </c>
      <c r="DF190" s="122"/>
      <c r="DG190" s="71" t="s">
        <v>274</v>
      </c>
      <c r="DH190" s="72" t="e">
        <f xml:space="preserve"> _xlfn.TEXTJOIN(" ", FALSE,#REF!)</f>
        <v>#REF!</v>
      </c>
      <c r="DI190" s="122"/>
      <c r="DJ190" s="71" t="s">
        <v>275</v>
      </c>
      <c r="DK190" s="73" t="e">
        <f xml:space="preserve"> _xlfn.TEXTJOIN(" ", FALSE,#REF!)</f>
        <v>#REF!</v>
      </c>
      <c r="DL190" s="65" t="s">
        <v>277</v>
      </c>
      <c r="DM190" s="70" t="e">
        <f t="shared" si="19"/>
        <v>#REF!</v>
      </c>
      <c r="DN190" s="70" t="e">
        <f t="shared" si="20"/>
        <v>#REF!</v>
      </c>
    </row>
    <row r="191" spans="1:118" ht="108" customHeight="1">
      <c r="A191" s="122" t="e">
        <f>Summary!A191</f>
        <v>#REF!</v>
      </c>
      <c r="B191" s="64" t="s">
        <v>233</v>
      </c>
      <c r="C191" s="65" t="e">
        <f>Summary!B191</f>
        <v>#REF!</v>
      </c>
      <c r="D191" s="122"/>
      <c r="E191" s="64" t="s">
        <v>235</v>
      </c>
      <c r="F191" s="132" t="e">
        <f>Summary!C191</f>
        <v>#REF!</v>
      </c>
      <c r="G191" s="64" t="s">
        <v>236</v>
      </c>
      <c r="H191" s="132" t="e">
        <f>Summary!D191</f>
        <v>#REF!</v>
      </c>
      <c r="I191" s="64" t="s">
        <v>237</v>
      </c>
      <c r="J191" s="66">
        <f>Summary!E191</f>
        <v>5</v>
      </c>
      <c r="K191" s="64" t="s">
        <v>238</v>
      </c>
      <c r="L191" s="132" t="e">
        <f>Summary!F191</f>
        <v>#REF!</v>
      </c>
      <c r="M191" s="64" t="s">
        <v>239</v>
      </c>
      <c r="N191" s="132" t="e">
        <f>Summary!G191</f>
        <v>#REF!</v>
      </c>
      <c r="O191" s="64" t="s">
        <v>240</v>
      </c>
      <c r="P191" s="132" t="e">
        <f>Summary!H191</f>
        <v>#REF!</v>
      </c>
      <c r="Q191" s="65" t="s">
        <v>277</v>
      </c>
      <c r="R191" s="70" t="e">
        <f t="shared" si="14"/>
        <v>#REF!</v>
      </c>
      <c r="S191" s="64" t="s">
        <v>243</v>
      </c>
      <c r="T191" s="122"/>
      <c r="U191" s="71" t="s">
        <v>244</v>
      </c>
      <c r="V191" s="72" t="e">
        <f xml:space="preserve"> _xlfn.TEXTJOIN(" ", FALSE,#REF!)</f>
        <v>#REF!</v>
      </c>
      <c r="W191" s="122"/>
      <c r="X191" s="71" t="s">
        <v>245</v>
      </c>
      <c r="Y191" s="72" t="e">
        <f xml:space="preserve"> _xlfn.TEXTJOIN(" ", FALSE,#REF!)</f>
        <v>#REF!</v>
      </c>
      <c r="Z191" s="122"/>
      <c r="AA191" s="71" t="s">
        <v>246</v>
      </c>
      <c r="AB191" s="72" t="e">
        <f xml:space="preserve"> _xlfn.TEXTJOIN(" ", FALSE,#REF!)</f>
        <v>#REF!</v>
      </c>
      <c r="AC191" s="122"/>
      <c r="AD191" s="71" t="s">
        <v>247</v>
      </c>
      <c r="AE191" s="72" t="e">
        <f xml:space="preserve"> _xlfn.TEXTJOIN(" ", FALSE,#REF!)</f>
        <v>#REF!</v>
      </c>
      <c r="AF191" s="122"/>
      <c r="AG191" s="71" t="s">
        <v>248</v>
      </c>
      <c r="AH191" s="73" t="e">
        <f xml:space="preserve"> _xlfn.TEXTJOIN(" ", FALSE,#REF!)</f>
        <v>#REF!</v>
      </c>
      <c r="AI191" s="122"/>
      <c r="AJ191" s="71" t="s">
        <v>249</v>
      </c>
      <c r="AK191" s="73" t="e">
        <f xml:space="preserve"> _xlfn.TEXTJOIN(" ", FALSE,#REF!)</f>
        <v>#REF!</v>
      </c>
      <c r="AL191" s="122"/>
      <c r="AM191" s="71" t="s">
        <v>250</v>
      </c>
      <c r="AN191" s="73" t="e">
        <f xml:space="preserve"> _xlfn.TEXTJOIN(" ", FALSE,#REF!)</f>
        <v>#REF!</v>
      </c>
      <c r="AO191" s="122"/>
      <c r="AP191" s="71" t="s">
        <v>251</v>
      </c>
      <c r="AQ191" s="72" t="e">
        <f xml:space="preserve"> _xlfn.TEXTJOIN(" ", FALSE,#REF!)</f>
        <v>#REF!</v>
      </c>
      <c r="AR191" s="122"/>
      <c r="AS191" s="71" t="s">
        <v>252</v>
      </c>
      <c r="AT191" s="72" t="e">
        <f xml:space="preserve"> _xlfn.TEXTJOIN(" ", FALSE,#REF!)</f>
        <v>#REF!</v>
      </c>
      <c r="AU191" s="122"/>
      <c r="AV191" s="71" t="s">
        <v>253</v>
      </c>
      <c r="AW191" s="73" t="e">
        <f xml:space="preserve"> _xlfn.TEXTJOIN(" ", FALSE,#REF!)</f>
        <v>#REF!</v>
      </c>
      <c r="AX191" s="122"/>
      <c r="AY191" s="71" t="s">
        <v>254</v>
      </c>
      <c r="AZ191" s="72" t="e">
        <f xml:space="preserve"> _xlfn.TEXTJOIN(" ", FALSE,#REF!)</f>
        <v>#REF!</v>
      </c>
      <c r="BA191" s="122"/>
      <c r="BB191" s="71" t="s">
        <v>255</v>
      </c>
      <c r="BC191" s="72" t="e">
        <f xml:space="preserve"> _xlfn.TEXTJOIN(" ", FALSE,#REF!)</f>
        <v>#REF!</v>
      </c>
      <c r="BD191" s="122"/>
      <c r="BE191" s="71" t="s">
        <v>256</v>
      </c>
      <c r="BF191" s="72" t="e">
        <f xml:space="preserve"> _xlfn.TEXTJOIN(" ", FALSE,#REF!)</f>
        <v>#REF!</v>
      </c>
      <c r="BG191" s="65" t="s">
        <v>277</v>
      </c>
      <c r="BH191" s="70" t="e">
        <f t="shared" si="15"/>
        <v>#REF!</v>
      </c>
      <c r="BI191" s="64" t="s">
        <v>257</v>
      </c>
      <c r="BJ191" s="122"/>
      <c r="BK191" s="71" t="s">
        <v>258</v>
      </c>
      <c r="BL191" s="74" t="str">
        <f>_xlfn.TEXTJOIN(" ", FALSE, 'Task 2a - Mitigating the Proble'!U191:AC191)</f>
        <v xml:space="preserve">1 0 0 0 0 1 0 0 </v>
      </c>
      <c r="BM191" s="65" t="s">
        <v>277</v>
      </c>
      <c r="BN191" s="70" t="str">
        <f t="shared" si="16"/>
        <v>[Details for Task 2a:]  /Question 12: 1 0 0 0 0 1 0 0  .</v>
      </c>
      <c r="BO191" s="64" t="s">
        <v>259</v>
      </c>
      <c r="BP191" s="122"/>
      <c r="BQ191" s="71" t="s">
        <v>260</v>
      </c>
      <c r="BR191" s="73" t="e">
        <f xml:space="preserve"> _xlfn.TEXTJOIN(" ", FALSE,#REF!)</f>
        <v>#REF!</v>
      </c>
      <c r="BS191" s="122"/>
      <c r="BT191" s="71" t="s">
        <v>261</v>
      </c>
      <c r="BU191" s="73" t="e">
        <f xml:space="preserve"> _xlfn.TEXTJOIN(" ", FALSE,#REF!)</f>
        <v>#REF!</v>
      </c>
      <c r="BV191" s="122"/>
      <c r="BW191" s="71" t="s">
        <v>262</v>
      </c>
      <c r="BX191" s="73" t="e">
        <f xml:space="preserve"> _xlfn.TEXTJOIN(" ", FALSE,#REF!)</f>
        <v>#REF!</v>
      </c>
      <c r="BY191" s="122"/>
      <c r="BZ191" s="71" t="s">
        <v>263</v>
      </c>
      <c r="CA191" s="73" t="e">
        <f xml:space="preserve"> _xlfn.TEXTJOIN(" ", FALSE,#REF!)</f>
        <v>#REF!</v>
      </c>
      <c r="CB191" s="122"/>
      <c r="CC191" s="71" t="s">
        <v>264</v>
      </c>
      <c r="CD191" s="73" t="e">
        <f xml:space="preserve"> _xlfn.TEXTJOIN(" ", FALSE,#REF!)</f>
        <v>#REF!</v>
      </c>
      <c r="CE191" s="122"/>
      <c r="CF191" s="71" t="s">
        <v>265</v>
      </c>
      <c r="CG191" s="73" t="e">
        <f xml:space="preserve"> _xlfn.TEXTJOIN(" ", FALSE,#REF!)</f>
        <v>#REF!</v>
      </c>
      <c r="CH191" s="122"/>
      <c r="CI191" s="74" t="s">
        <v>278</v>
      </c>
      <c r="CJ191" s="73" t="e">
        <f xml:space="preserve"> _xlfn.TEXTJOIN(" ", FALSE,#REF!)</f>
        <v>#REF!</v>
      </c>
      <c r="CK191" s="65" t="s">
        <v>277</v>
      </c>
      <c r="CL191" s="70" t="e">
        <f t="shared" si="17"/>
        <v>#REF!</v>
      </c>
      <c r="CM191" s="64" t="s">
        <v>267</v>
      </c>
      <c r="CN191" s="122"/>
      <c r="CO191" s="71" t="s">
        <v>268</v>
      </c>
      <c r="CP191" s="73" t="e">
        <f xml:space="preserve"> _xlfn.TEXTJOIN(" ", FALSE,#REF!)</f>
        <v>#REF!</v>
      </c>
      <c r="CQ191" s="122"/>
      <c r="CR191" s="71" t="s">
        <v>269</v>
      </c>
      <c r="CS191" s="73" t="e">
        <f xml:space="preserve"> _xlfn.TEXTJOIN(" ", FALSE,#REF!)</f>
        <v>#REF!</v>
      </c>
      <c r="CT191" s="122"/>
      <c r="CU191" s="71" t="s">
        <v>270</v>
      </c>
      <c r="CV191" s="72" t="e">
        <f xml:space="preserve"> _xlfn.TEXTJOIN(" ", FALSE,#REF!)</f>
        <v>#REF!</v>
      </c>
      <c r="CW191" s="122"/>
      <c r="CX191" s="71" t="s">
        <v>271</v>
      </c>
      <c r="CY191" s="72" t="e">
        <f xml:space="preserve"> _xlfn.TEXTJOIN(" ", FALSE,#REF!)</f>
        <v>#REF!</v>
      </c>
      <c r="CZ191" s="122"/>
      <c r="DA191" s="71" t="s">
        <v>272</v>
      </c>
      <c r="DB191" s="73" t="e">
        <f xml:space="preserve"> _xlfn.TEXTJOIN(" ", FALSE,#REF!)</f>
        <v>#REF!</v>
      </c>
      <c r="DC191" s="65" t="s">
        <v>277</v>
      </c>
      <c r="DD191" s="70" t="e">
        <f t="shared" si="18"/>
        <v>#REF!</v>
      </c>
      <c r="DE191" s="64" t="s">
        <v>273</v>
      </c>
      <c r="DF191" s="122"/>
      <c r="DG191" s="71" t="s">
        <v>274</v>
      </c>
      <c r="DH191" s="72" t="e">
        <f xml:space="preserve"> _xlfn.TEXTJOIN(" ", FALSE,#REF!)</f>
        <v>#REF!</v>
      </c>
      <c r="DI191" s="122"/>
      <c r="DJ191" s="71" t="s">
        <v>275</v>
      </c>
      <c r="DK191" s="73" t="e">
        <f xml:space="preserve"> _xlfn.TEXTJOIN(" ", FALSE,#REF!)</f>
        <v>#REF!</v>
      </c>
      <c r="DL191" s="65" t="s">
        <v>277</v>
      </c>
      <c r="DM191" s="70" t="e">
        <f t="shared" si="19"/>
        <v>#REF!</v>
      </c>
      <c r="DN191" s="70" t="e">
        <f t="shared" si="20"/>
        <v>#REF!</v>
      </c>
    </row>
    <row r="192" spans="1:118" ht="108" customHeight="1">
      <c r="A192" s="122" t="e">
        <f>Summary!A192</f>
        <v>#REF!</v>
      </c>
      <c r="B192" s="64" t="s">
        <v>233</v>
      </c>
      <c r="C192" s="65" t="e">
        <f>Summary!B192</f>
        <v>#REF!</v>
      </c>
      <c r="D192" s="122"/>
      <c r="E192" s="64" t="s">
        <v>235</v>
      </c>
      <c r="F192" s="132" t="e">
        <f>Summary!C192</f>
        <v>#REF!</v>
      </c>
      <c r="G192" s="64" t="s">
        <v>236</v>
      </c>
      <c r="H192" s="132" t="e">
        <f>Summary!D192</f>
        <v>#REF!</v>
      </c>
      <c r="I192" s="64" t="s">
        <v>237</v>
      </c>
      <c r="J192" s="66">
        <f>Summary!E192</f>
        <v>5</v>
      </c>
      <c r="K192" s="64" t="s">
        <v>238</v>
      </c>
      <c r="L192" s="132" t="e">
        <f>Summary!F192</f>
        <v>#REF!</v>
      </c>
      <c r="M192" s="64" t="s">
        <v>239</v>
      </c>
      <c r="N192" s="132" t="e">
        <f>Summary!G192</f>
        <v>#REF!</v>
      </c>
      <c r="O192" s="64" t="s">
        <v>240</v>
      </c>
      <c r="P192" s="132" t="e">
        <f>Summary!H192</f>
        <v>#REF!</v>
      </c>
      <c r="Q192" s="65" t="s">
        <v>277</v>
      </c>
      <c r="R192" s="70" t="e">
        <f t="shared" si="14"/>
        <v>#REF!</v>
      </c>
      <c r="S192" s="64" t="s">
        <v>243</v>
      </c>
      <c r="T192" s="122"/>
      <c r="U192" s="71" t="s">
        <v>244</v>
      </c>
      <c r="V192" s="72" t="e">
        <f xml:space="preserve"> _xlfn.TEXTJOIN(" ", FALSE,#REF!)</f>
        <v>#REF!</v>
      </c>
      <c r="W192" s="122"/>
      <c r="X192" s="71" t="s">
        <v>245</v>
      </c>
      <c r="Y192" s="72" t="e">
        <f xml:space="preserve"> _xlfn.TEXTJOIN(" ", FALSE,#REF!)</f>
        <v>#REF!</v>
      </c>
      <c r="Z192" s="122"/>
      <c r="AA192" s="71" t="s">
        <v>246</v>
      </c>
      <c r="AB192" s="72" t="e">
        <f xml:space="preserve"> _xlfn.TEXTJOIN(" ", FALSE,#REF!)</f>
        <v>#REF!</v>
      </c>
      <c r="AC192" s="122"/>
      <c r="AD192" s="71" t="s">
        <v>247</v>
      </c>
      <c r="AE192" s="72" t="e">
        <f xml:space="preserve"> _xlfn.TEXTJOIN(" ", FALSE,#REF!)</f>
        <v>#REF!</v>
      </c>
      <c r="AF192" s="122"/>
      <c r="AG192" s="71" t="s">
        <v>248</v>
      </c>
      <c r="AH192" s="73" t="e">
        <f xml:space="preserve"> _xlfn.TEXTJOIN(" ", FALSE,#REF!)</f>
        <v>#REF!</v>
      </c>
      <c r="AI192" s="122"/>
      <c r="AJ192" s="71" t="s">
        <v>249</v>
      </c>
      <c r="AK192" s="73" t="e">
        <f xml:space="preserve"> _xlfn.TEXTJOIN(" ", FALSE,#REF!)</f>
        <v>#REF!</v>
      </c>
      <c r="AL192" s="122"/>
      <c r="AM192" s="71" t="s">
        <v>250</v>
      </c>
      <c r="AN192" s="73" t="e">
        <f xml:space="preserve"> _xlfn.TEXTJOIN(" ", FALSE,#REF!)</f>
        <v>#REF!</v>
      </c>
      <c r="AO192" s="122"/>
      <c r="AP192" s="71" t="s">
        <v>251</v>
      </c>
      <c r="AQ192" s="72" t="e">
        <f xml:space="preserve"> _xlfn.TEXTJOIN(" ", FALSE,#REF!)</f>
        <v>#REF!</v>
      </c>
      <c r="AR192" s="122"/>
      <c r="AS192" s="71" t="s">
        <v>252</v>
      </c>
      <c r="AT192" s="72" t="e">
        <f xml:space="preserve"> _xlfn.TEXTJOIN(" ", FALSE,#REF!)</f>
        <v>#REF!</v>
      </c>
      <c r="AU192" s="122"/>
      <c r="AV192" s="71" t="s">
        <v>253</v>
      </c>
      <c r="AW192" s="73" t="e">
        <f xml:space="preserve"> _xlfn.TEXTJOIN(" ", FALSE,#REF!)</f>
        <v>#REF!</v>
      </c>
      <c r="AX192" s="122"/>
      <c r="AY192" s="71" t="s">
        <v>254</v>
      </c>
      <c r="AZ192" s="72" t="e">
        <f xml:space="preserve"> _xlfn.TEXTJOIN(" ", FALSE,#REF!)</f>
        <v>#REF!</v>
      </c>
      <c r="BA192" s="122"/>
      <c r="BB192" s="71" t="s">
        <v>255</v>
      </c>
      <c r="BC192" s="72" t="e">
        <f xml:space="preserve"> _xlfn.TEXTJOIN(" ", FALSE,#REF!)</f>
        <v>#REF!</v>
      </c>
      <c r="BD192" s="122"/>
      <c r="BE192" s="71" t="s">
        <v>256</v>
      </c>
      <c r="BF192" s="72" t="e">
        <f xml:space="preserve"> _xlfn.TEXTJOIN(" ", FALSE,#REF!)</f>
        <v>#REF!</v>
      </c>
      <c r="BG192" s="65" t="s">
        <v>277</v>
      </c>
      <c r="BH192" s="70" t="e">
        <f t="shared" si="15"/>
        <v>#REF!</v>
      </c>
      <c r="BI192" s="64" t="s">
        <v>257</v>
      </c>
      <c r="BJ192" s="122"/>
      <c r="BK192" s="71" t="s">
        <v>258</v>
      </c>
      <c r="BL192" s="74" t="str">
        <f>_xlfn.TEXTJOIN(" ", FALSE, 'Task 2a - Mitigating the Proble'!U192:AC192)</f>
        <v xml:space="preserve">1 0 0 0 0 1 0 0 </v>
      </c>
      <c r="BM192" s="65" t="s">
        <v>277</v>
      </c>
      <c r="BN192" s="70" t="str">
        <f t="shared" si="16"/>
        <v>[Details for Task 2a:]  /Question 12: 1 0 0 0 0 1 0 0  .</v>
      </c>
      <c r="BO192" s="64" t="s">
        <v>259</v>
      </c>
      <c r="BP192" s="122"/>
      <c r="BQ192" s="71" t="s">
        <v>260</v>
      </c>
      <c r="BR192" s="73" t="e">
        <f xml:space="preserve"> _xlfn.TEXTJOIN(" ", FALSE,#REF!)</f>
        <v>#REF!</v>
      </c>
      <c r="BS192" s="122"/>
      <c r="BT192" s="71" t="s">
        <v>261</v>
      </c>
      <c r="BU192" s="73" t="e">
        <f xml:space="preserve"> _xlfn.TEXTJOIN(" ", FALSE,#REF!)</f>
        <v>#REF!</v>
      </c>
      <c r="BV192" s="122"/>
      <c r="BW192" s="71" t="s">
        <v>262</v>
      </c>
      <c r="BX192" s="73" t="e">
        <f xml:space="preserve"> _xlfn.TEXTJOIN(" ", FALSE,#REF!)</f>
        <v>#REF!</v>
      </c>
      <c r="BY192" s="122"/>
      <c r="BZ192" s="71" t="s">
        <v>263</v>
      </c>
      <c r="CA192" s="73" t="e">
        <f xml:space="preserve"> _xlfn.TEXTJOIN(" ", FALSE,#REF!)</f>
        <v>#REF!</v>
      </c>
      <c r="CB192" s="122"/>
      <c r="CC192" s="71" t="s">
        <v>264</v>
      </c>
      <c r="CD192" s="73" t="e">
        <f xml:space="preserve"> _xlfn.TEXTJOIN(" ", FALSE,#REF!)</f>
        <v>#REF!</v>
      </c>
      <c r="CE192" s="122"/>
      <c r="CF192" s="71" t="s">
        <v>265</v>
      </c>
      <c r="CG192" s="73" t="e">
        <f xml:space="preserve"> _xlfn.TEXTJOIN(" ", FALSE,#REF!)</f>
        <v>#REF!</v>
      </c>
      <c r="CH192" s="122"/>
      <c r="CI192" s="74" t="s">
        <v>278</v>
      </c>
      <c r="CJ192" s="73" t="e">
        <f xml:space="preserve"> _xlfn.TEXTJOIN(" ", FALSE,#REF!)</f>
        <v>#REF!</v>
      </c>
      <c r="CK192" s="65" t="s">
        <v>277</v>
      </c>
      <c r="CL192" s="70" t="e">
        <f t="shared" si="17"/>
        <v>#REF!</v>
      </c>
      <c r="CM192" s="64" t="s">
        <v>267</v>
      </c>
      <c r="CN192" s="122"/>
      <c r="CO192" s="71" t="s">
        <v>268</v>
      </c>
      <c r="CP192" s="73" t="e">
        <f xml:space="preserve"> _xlfn.TEXTJOIN(" ", FALSE,#REF!)</f>
        <v>#REF!</v>
      </c>
      <c r="CQ192" s="122"/>
      <c r="CR192" s="71" t="s">
        <v>269</v>
      </c>
      <c r="CS192" s="73" t="e">
        <f xml:space="preserve"> _xlfn.TEXTJOIN(" ", FALSE,#REF!)</f>
        <v>#REF!</v>
      </c>
      <c r="CT192" s="122"/>
      <c r="CU192" s="71" t="s">
        <v>270</v>
      </c>
      <c r="CV192" s="72" t="e">
        <f xml:space="preserve"> _xlfn.TEXTJOIN(" ", FALSE,#REF!)</f>
        <v>#REF!</v>
      </c>
      <c r="CW192" s="122"/>
      <c r="CX192" s="71" t="s">
        <v>271</v>
      </c>
      <c r="CY192" s="72" t="e">
        <f xml:space="preserve"> _xlfn.TEXTJOIN(" ", FALSE,#REF!)</f>
        <v>#REF!</v>
      </c>
      <c r="CZ192" s="122"/>
      <c r="DA192" s="71" t="s">
        <v>272</v>
      </c>
      <c r="DB192" s="73" t="e">
        <f xml:space="preserve"> _xlfn.TEXTJOIN(" ", FALSE,#REF!)</f>
        <v>#REF!</v>
      </c>
      <c r="DC192" s="65" t="s">
        <v>277</v>
      </c>
      <c r="DD192" s="70" t="e">
        <f t="shared" si="18"/>
        <v>#REF!</v>
      </c>
      <c r="DE192" s="64" t="s">
        <v>273</v>
      </c>
      <c r="DF192" s="122"/>
      <c r="DG192" s="71" t="s">
        <v>274</v>
      </c>
      <c r="DH192" s="72" t="e">
        <f xml:space="preserve"> _xlfn.TEXTJOIN(" ", FALSE,#REF!)</f>
        <v>#REF!</v>
      </c>
      <c r="DI192" s="122"/>
      <c r="DJ192" s="71" t="s">
        <v>275</v>
      </c>
      <c r="DK192" s="73" t="e">
        <f xml:space="preserve"> _xlfn.TEXTJOIN(" ", FALSE,#REF!)</f>
        <v>#REF!</v>
      </c>
      <c r="DL192" s="65" t="s">
        <v>277</v>
      </c>
      <c r="DM192" s="70" t="e">
        <f t="shared" si="19"/>
        <v>#REF!</v>
      </c>
      <c r="DN192" s="70" t="e">
        <f t="shared" si="20"/>
        <v>#REF!</v>
      </c>
    </row>
    <row r="193" spans="1:118" ht="108" customHeight="1">
      <c r="A193" s="122" t="e">
        <f>Summary!A193</f>
        <v>#REF!</v>
      </c>
      <c r="B193" s="64" t="s">
        <v>233</v>
      </c>
      <c r="C193" s="65" t="e">
        <f>Summary!B193</f>
        <v>#REF!</v>
      </c>
      <c r="D193" s="122"/>
      <c r="E193" s="64" t="s">
        <v>235</v>
      </c>
      <c r="F193" s="132" t="e">
        <f>Summary!C193</f>
        <v>#REF!</v>
      </c>
      <c r="G193" s="64" t="s">
        <v>236</v>
      </c>
      <c r="H193" s="132" t="e">
        <f>Summary!D193</f>
        <v>#REF!</v>
      </c>
      <c r="I193" s="64" t="s">
        <v>237</v>
      </c>
      <c r="J193" s="66">
        <f>Summary!E193</f>
        <v>7</v>
      </c>
      <c r="K193" s="64" t="s">
        <v>238</v>
      </c>
      <c r="L193" s="132" t="e">
        <f>Summary!F193</f>
        <v>#REF!</v>
      </c>
      <c r="M193" s="64" t="s">
        <v>239</v>
      </c>
      <c r="N193" s="132" t="e">
        <f>Summary!G193</f>
        <v>#REF!</v>
      </c>
      <c r="O193" s="64" t="s">
        <v>240</v>
      </c>
      <c r="P193" s="132" t="e">
        <f>Summary!H193</f>
        <v>#REF!</v>
      </c>
      <c r="Q193" s="65" t="s">
        <v>277</v>
      </c>
      <c r="R193" s="70" t="e">
        <f t="shared" si="14"/>
        <v>#REF!</v>
      </c>
      <c r="S193" s="64" t="s">
        <v>243</v>
      </c>
      <c r="T193" s="122"/>
      <c r="U193" s="71" t="s">
        <v>244</v>
      </c>
      <c r="V193" s="72" t="e">
        <f xml:space="preserve"> _xlfn.TEXTJOIN(" ", FALSE,#REF!)</f>
        <v>#REF!</v>
      </c>
      <c r="W193" s="122"/>
      <c r="X193" s="71" t="s">
        <v>245</v>
      </c>
      <c r="Y193" s="72" t="e">
        <f xml:space="preserve"> _xlfn.TEXTJOIN(" ", FALSE,#REF!)</f>
        <v>#REF!</v>
      </c>
      <c r="Z193" s="122"/>
      <c r="AA193" s="71" t="s">
        <v>246</v>
      </c>
      <c r="AB193" s="72" t="e">
        <f xml:space="preserve"> _xlfn.TEXTJOIN(" ", FALSE,#REF!)</f>
        <v>#REF!</v>
      </c>
      <c r="AC193" s="122"/>
      <c r="AD193" s="71" t="s">
        <v>247</v>
      </c>
      <c r="AE193" s="72" t="e">
        <f xml:space="preserve"> _xlfn.TEXTJOIN(" ", FALSE,#REF!)</f>
        <v>#REF!</v>
      </c>
      <c r="AF193" s="122"/>
      <c r="AG193" s="71" t="s">
        <v>248</v>
      </c>
      <c r="AH193" s="73" t="e">
        <f xml:space="preserve"> _xlfn.TEXTJOIN(" ", FALSE,#REF!)</f>
        <v>#REF!</v>
      </c>
      <c r="AI193" s="122"/>
      <c r="AJ193" s="71" t="s">
        <v>249</v>
      </c>
      <c r="AK193" s="73" t="e">
        <f xml:space="preserve"> _xlfn.TEXTJOIN(" ", FALSE,#REF!)</f>
        <v>#REF!</v>
      </c>
      <c r="AL193" s="122"/>
      <c r="AM193" s="71" t="s">
        <v>250</v>
      </c>
      <c r="AN193" s="73" t="e">
        <f xml:space="preserve"> _xlfn.TEXTJOIN(" ", FALSE,#REF!)</f>
        <v>#REF!</v>
      </c>
      <c r="AO193" s="122"/>
      <c r="AP193" s="71" t="s">
        <v>251</v>
      </c>
      <c r="AQ193" s="72" t="e">
        <f xml:space="preserve"> _xlfn.TEXTJOIN(" ", FALSE,#REF!)</f>
        <v>#REF!</v>
      </c>
      <c r="AR193" s="122"/>
      <c r="AS193" s="71" t="s">
        <v>252</v>
      </c>
      <c r="AT193" s="72" t="e">
        <f xml:space="preserve"> _xlfn.TEXTJOIN(" ", FALSE,#REF!)</f>
        <v>#REF!</v>
      </c>
      <c r="AU193" s="122"/>
      <c r="AV193" s="71" t="s">
        <v>253</v>
      </c>
      <c r="AW193" s="73" t="e">
        <f xml:space="preserve"> _xlfn.TEXTJOIN(" ", FALSE,#REF!)</f>
        <v>#REF!</v>
      </c>
      <c r="AX193" s="122"/>
      <c r="AY193" s="71" t="s">
        <v>254</v>
      </c>
      <c r="AZ193" s="72" t="e">
        <f xml:space="preserve"> _xlfn.TEXTJOIN(" ", FALSE,#REF!)</f>
        <v>#REF!</v>
      </c>
      <c r="BA193" s="122"/>
      <c r="BB193" s="71" t="s">
        <v>255</v>
      </c>
      <c r="BC193" s="72" t="e">
        <f xml:space="preserve"> _xlfn.TEXTJOIN(" ", FALSE,#REF!)</f>
        <v>#REF!</v>
      </c>
      <c r="BD193" s="122"/>
      <c r="BE193" s="71" t="s">
        <v>256</v>
      </c>
      <c r="BF193" s="72" t="e">
        <f xml:space="preserve"> _xlfn.TEXTJOIN(" ", FALSE,#REF!)</f>
        <v>#REF!</v>
      </c>
      <c r="BG193" s="65" t="s">
        <v>277</v>
      </c>
      <c r="BH193" s="70" t="e">
        <f t="shared" si="15"/>
        <v>#REF!</v>
      </c>
      <c r="BI193" s="64" t="s">
        <v>257</v>
      </c>
      <c r="BJ193" s="122"/>
      <c r="BK193" s="71" t="s">
        <v>258</v>
      </c>
      <c r="BL193" s="74" t="str">
        <f>_xlfn.TEXTJOIN(" ", FALSE, 'Task 2a - Mitigating the Proble'!U193:AC193)</f>
        <v xml:space="preserve">1 1 1 1 0 1 0 0 </v>
      </c>
      <c r="BM193" s="65" t="s">
        <v>277</v>
      </c>
      <c r="BN193" s="70" t="str">
        <f t="shared" si="16"/>
        <v>[Details for Task 2a:]  /Question 12: 1 1 1 1 0 1 0 0  .</v>
      </c>
      <c r="BO193" s="64" t="s">
        <v>259</v>
      </c>
      <c r="BP193" s="122"/>
      <c r="BQ193" s="71" t="s">
        <v>260</v>
      </c>
      <c r="BR193" s="73" t="e">
        <f xml:space="preserve"> _xlfn.TEXTJOIN(" ", FALSE,#REF!)</f>
        <v>#REF!</v>
      </c>
      <c r="BS193" s="122"/>
      <c r="BT193" s="71" t="s">
        <v>261</v>
      </c>
      <c r="BU193" s="73" t="e">
        <f xml:space="preserve"> _xlfn.TEXTJOIN(" ", FALSE,#REF!)</f>
        <v>#REF!</v>
      </c>
      <c r="BV193" s="122"/>
      <c r="BW193" s="71" t="s">
        <v>262</v>
      </c>
      <c r="BX193" s="73" t="e">
        <f xml:space="preserve"> _xlfn.TEXTJOIN(" ", FALSE,#REF!)</f>
        <v>#REF!</v>
      </c>
      <c r="BY193" s="122"/>
      <c r="BZ193" s="71" t="s">
        <v>263</v>
      </c>
      <c r="CA193" s="73" t="e">
        <f xml:space="preserve"> _xlfn.TEXTJOIN(" ", FALSE,#REF!)</f>
        <v>#REF!</v>
      </c>
      <c r="CB193" s="122"/>
      <c r="CC193" s="71" t="s">
        <v>264</v>
      </c>
      <c r="CD193" s="73" t="e">
        <f xml:space="preserve"> _xlfn.TEXTJOIN(" ", FALSE,#REF!)</f>
        <v>#REF!</v>
      </c>
      <c r="CE193" s="122"/>
      <c r="CF193" s="71" t="s">
        <v>265</v>
      </c>
      <c r="CG193" s="73" t="e">
        <f xml:space="preserve"> _xlfn.TEXTJOIN(" ", FALSE,#REF!)</f>
        <v>#REF!</v>
      </c>
      <c r="CH193" s="122"/>
      <c r="CI193" s="74" t="s">
        <v>278</v>
      </c>
      <c r="CJ193" s="73" t="e">
        <f xml:space="preserve"> _xlfn.TEXTJOIN(" ", FALSE,#REF!)</f>
        <v>#REF!</v>
      </c>
      <c r="CK193" s="65" t="s">
        <v>277</v>
      </c>
      <c r="CL193" s="70" t="e">
        <f t="shared" si="17"/>
        <v>#REF!</v>
      </c>
      <c r="CM193" s="64" t="s">
        <v>267</v>
      </c>
      <c r="CN193" s="122"/>
      <c r="CO193" s="71" t="s">
        <v>268</v>
      </c>
      <c r="CP193" s="73" t="e">
        <f xml:space="preserve"> _xlfn.TEXTJOIN(" ", FALSE,#REF!)</f>
        <v>#REF!</v>
      </c>
      <c r="CQ193" s="122"/>
      <c r="CR193" s="71" t="s">
        <v>269</v>
      </c>
      <c r="CS193" s="73" t="e">
        <f xml:space="preserve"> _xlfn.TEXTJOIN(" ", FALSE,#REF!)</f>
        <v>#REF!</v>
      </c>
      <c r="CT193" s="122"/>
      <c r="CU193" s="71" t="s">
        <v>270</v>
      </c>
      <c r="CV193" s="72" t="e">
        <f xml:space="preserve"> _xlfn.TEXTJOIN(" ", FALSE,#REF!)</f>
        <v>#REF!</v>
      </c>
      <c r="CW193" s="122"/>
      <c r="CX193" s="71" t="s">
        <v>271</v>
      </c>
      <c r="CY193" s="72" t="e">
        <f xml:space="preserve"> _xlfn.TEXTJOIN(" ", FALSE,#REF!)</f>
        <v>#REF!</v>
      </c>
      <c r="CZ193" s="122"/>
      <c r="DA193" s="71" t="s">
        <v>272</v>
      </c>
      <c r="DB193" s="73" t="e">
        <f xml:space="preserve"> _xlfn.TEXTJOIN(" ", FALSE,#REF!)</f>
        <v>#REF!</v>
      </c>
      <c r="DC193" s="65" t="s">
        <v>277</v>
      </c>
      <c r="DD193" s="70" t="e">
        <f t="shared" si="18"/>
        <v>#REF!</v>
      </c>
      <c r="DE193" s="64" t="s">
        <v>273</v>
      </c>
      <c r="DF193" s="122"/>
      <c r="DG193" s="71" t="s">
        <v>274</v>
      </c>
      <c r="DH193" s="72" t="e">
        <f xml:space="preserve"> _xlfn.TEXTJOIN(" ", FALSE,#REF!)</f>
        <v>#REF!</v>
      </c>
      <c r="DI193" s="122"/>
      <c r="DJ193" s="71" t="s">
        <v>275</v>
      </c>
      <c r="DK193" s="73" t="e">
        <f xml:space="preserve"> _xlfn.TEXTJOIN(" ", FALSE,#REF!)</f>
        <v>#REF!</v>
      </c>
      <c r="DL193" s="65" t="s">
        <v>277</v>
      </c>
      <c r="DM193" s="70" t="e">
        <f t="shared" si="19"/>
        <v>#REF!</v>
      </c>
      <c r="DN193" s="70" t="e">
        <f t="shared" si="20"/>
        <v>#REF!</v>
      </c>
    </row>
    <row r="194" spans="1:118" ht="108" customHeight="1">
      <c r="A194" s="122" t="e">
        <f>Summary!A194</f>
        <v>#REF!</v>
      </c>
      <c r="B194" s="64" t="s">
        <v>233</v>
      </c>
      <c r="C194" s="65" t="e">
        <f>Summary!B194</f>
        <v>#REF!</v>
      </c>
      <c r="D194" s="122"/>
      <c r="E194" s="64" t="s">
        <v>235</v>
      </c>
      <c r="F194" s="132" t="e">
        <f>Summary!C194</f>
        <v>#REF!</v>
      </c>
      <c r="G194" s="64" t="s">
        <v>236</v>
      </c>
      <c r="H194" s="132" t="e">
        <f>Summary!D194</f>
        <v>#REF!</v>
      </c>
      <c r="I194" s="64" t="s">
        <v>237</v>
      </c>
      <c r="J194" s="66">
        <f>Summary!E194</f>
        <v>5</v>
      </c>
      <c r="K194" s="64" t="s">
        <v>238</v>
      </c>
      <c r="L194" s="132" t="e">
        <f>Summary!F194</f>
        <v>#REF!</v>
      </c>
      <c r="M194" s="64" t="s">
        <v>239</v>
      </c>
      <c r="N194" s="132" t="e">
        <f>Summary!G194</f>
        <v>#REF!</v>
      </c>
      <c r="O194" s="64" t="s">
        <v>240</v>
      </c>
      <c r="P194" s="132" t="e">
        <f>Summary!H194</f>
        <v>#REF!</v>
      </c>
      <c r="Q194" s="65" t="s">
        <v>277</v>
      </c>
      <c r="R194" s="70" t="e">
        <f t="shared" si="14"/>
        <v>#REF!</v>
      </c>
      <c r="S194" s="64" t="s">
        <v>243</v>
      </c>
      <c r="T194" s="122"/>
      <c r="U194" s="71" t="s">
        <v>244</v>
      </c>
      <c r="V194" s="72" t="e">
        <f xml:space="preserve"> _xlfn.TEXTJOIN(" ", FALSE,#REF!)</f>
        <v>#REF!</v>
      </c>
      <c r="W194" s="122"/>
      <c r="X194" s="71" t="s">
        <v>245</v>
      </c>
      <c r="Y194" s="72" t="e">
        <f xml:space="preserve"> _xlfn.TEXTJOIN(" ", FALSE,#REF!)</f>
        <v>#REF!</v>
      </c>
      <c r="Z194" s="122"/>
      <c r="AA194" s="71" t="s">
        <v>246</v>
      </c>
      <c r="AB194" s="72" t="e">
        <f xml:space="preserve"> _xlfn.TEXTJOIN(" ", FALSE,#REF!)</f>
        <v>#REF!</v>
      </c>
      <c r="AC194" s="122"/>
      <c r="AD194" s="71" t="s">
        <v>247</v>
      </c>
      <c r="AE194" s="72" t="e">
        <f xml:space="preserve"> _xlfn.TEXTJOIN(" ", FALSE,#REF!)</f>
        <v>#REF!</v>
      </c>
      <c r="AF194" s="122"/>
      <c r="AG194" s="71" t="s">
        <v>248</v>
      </c>
      <c r="AH194" s="73" t="e">
        <f xml:space="preserve"> _xlfn.TEXTJOIN(" ", FALSE,#REF!)</f>
        <v>#REF!</v>
      </c>
      <c r="AI194" s="122"/>
      <c r="AJ194" s="71" t="s">
        <v>249</v>
      </c>
      <c r="AK194" s="73" t="e">
        <f xml:space="preserve"> _xlfn.TEXTJOIN(" ", FALSE,#REF!)</f>
        <v>#REF!</v>
      </c>
      <c r="AL194" s="122"/>
      <c r="AM194" s="71" t="s">
        <v>250</v>
      </c>
      <c r="AN194" s="73" t="e">
        <f xml:space="preserve"> _xlfn.TEXTJOIN(" ", FALSE,#REF!)</f>
        <v>#REF!</v>
      </c>
      <c r="AO194" s="122"/>
      <c r="AP194" s="71" t="s">
        <v>251</v>
      </c>
      <c r="AQ194" s="72" t="e">
        <f xml:space="preserve"> _xlfn.TEXTJOIN(" ", FALSE,#REF!)</f>
        <v>#REF!</v>
      </c>
      <c r="AR194" s="122"/>
      <c r="AS194" s="71" t="s">
        <v>252</v>
      </c>
      <c r="AT194" s="72" t="e">
        <f xml:space="preserve"> _xlfn.TEXTJOIN(" ", FALSE,#REF!)</f>
        <v>#REF!</v>
      </c>
      <c r="AU194" s="122"/>
      <c r="AV194" s="71" t="s">
        <v>253</v>
      </c>
      <c r="AW194" s="73" t="e">
        <f xml:space="preserve"> _xlfn.TEXTJOIN(" ", FALSE,#REF!)</f>
        <v>#REF!</v>
      </c>
      <c r="AX194" s="122"/>
      <c r="AY194" s="71" t="s">
        <v>254</v>
      </c>
      <c r="AZ194" s="72" t="e">
        <f xml:space="preserve"> _xlfn.TEXTJOIN(" ", FALSE,#REF!)</f>
        <v>#REF!</v>
      </c>
      <c r="BA194" s="122"/>
      <c r="BB194" s="71" t="s">
        <v>255</v>
      </c>
      <c r="BC194" s="72" t="e">
        <f xml:space="preserve"> _xlfn.TEXTJOIN(" ", FALSE,#REF!)</f>
        <v>#REF!</v>
      </c>
      <c r="BD194" s="122"/>
      <c r="BE194" s="71" t="s">
        <v>256</v>
      </c>
      <c r="BF194" s="72" t="e">
        <f xml:space="preserve"> _xlfn.TEXTJOIN(" ", FALSE,#REF!)</f>
        <v>#REF!</v>
      </c>
      <c r="BG194" s="65" t="s">
        <v>277</v>
      </c>
      <c r="BH194" s="70" t="e">
        <f t="shared" si="15"/>
        <v>#REF!</v>
      </c>
      <c r="BI194" s="64" t="s">
        <v>257</v>
      </c>
      <c r="BJ194" s="122"/>
      <c r="BK194" s="71" t="s">
        <v>258</v>
      </c>
      <c r="BL194" s="74" t="str">
        <f>_xlfn.TEXTJOIN(" ", FALSE, 'Task 2a - Mitigating the Proble'!U194:AC194)</f>
        <v xml:space="preserve">1 0 0 0 0 1 0 0 </v>
      </c>
      <c r="BM194" s="65" t="s">
        <v>277</v>
      </c>
      <c r="BN194" s="70" t="str">
        <f t="shared" si="16"/>
        <v>[Details for Task 2a:]  /Question 12: 1 0 0 0 0 1 0 0  .</v>
      </c>
      <c r="BO194" s="64" t="s">
        <v>259</v>
      </c>
      <c r="BP194" s="122"/>
      <c r="BQ194" s="71" t="s">
        <v>260</v>
      </c>
      <c r="BR194" s="73" t="e">
        <f xml:space="preserve"> _xlfn.TEXTJOIN(" ", FALSE,#REF!)</f>
        <v>#REF!</v>
      </c>
      <c r="BS194" s="122"/>
      <c r="BT194" s="71" t="s">
        <v>261</v>
      </c>
      <c r="BU194" s="73" t="e">
        <f xml:space="preserve"> _xlfn.TEXTJOIN(" ", FALSE,#REF!)</f>
        <v>#REF!</v>
      </c>
      <c r="BV194" s="122"/>
      <c r="BW194" s="71" t="s">
        <v>262</v>
      </c>
      <c r="BX194" s="73" t="e">
        <f xml:space="preserve"> _xlfn.TEXTJOIN(" ", FALSE,#REF!)</f>
        <v>#REF!</v>
      </c>
      <c r="BY194" s="122"/>
      <c r="BZ194" s="71" t="s">
        <v>263</v>
      </c>
      <c r="CA194" s="73" t="e">
        <f xml:space="preserve"> _xlfn.TEXTJOIN(" ", FALSE,#REF!)</f>
        <v>#REF!</v>
      </c>
      <c r="CB194" s="122"/>
      <c r="CC194" s="71" t="s">
        <v>264</v>
      </c>
      <c r="CD194" s="73" t="e">
        <f xml:space="preserve"> _xlfn.TEXTJOIN(" ", FALSE,#REF!)</f>
        <v>#REF!</v>
      </c>
      <c r="CE194" s="122"/>
      <c r="CF194" s="71" t="s">
        <v>265</v>
      </c>
      <c r="CG194" s="73" t="e">
        <f xml:space="preserve"> _xlfn.TEXTJOIN(" ", FALSE,#REF!)</f>
        <v>#REF!</v>
      </c>
      <c r="CH194" s="122"/>
      <c r="CI194" s="74" t="s">
        <v>278</v>
      </c>
      <c r="CJ194" s="73" t="e">
        <f xml:space="preserve"> _xlfn.TEXTJOIN(" ", FALSE,#REF!)</f>
        <v>#REF!</v>
      </c>
      <c r="CK194" s="65" t="s">
        <v>277</v>
      </c>
      <c r="CL194" s="70" t="e">
        <f t="shared" si="17"/>
        <v>#REF!</v>
      </c>
      <c r="CM194" s="64" t="s">
        <v>267</v>
      </c>
      <c r="CN194" s="122"/>
      <c r="CO194" s="71" t="s">
        <v>268</v>
      </c>
      <c r="CP194" s="73" t="e">
        <f xml:space="preserve"> _xlfn.TEXTJOIN(" ", FALSE,#REF!)</f>
        <v>#REF!</v>
      </c>
      <c r="CQ194" s="122"/>
      <c r="CR194" s="71" t="s">
        <v>269</v>
      </c>
      <c r="CS194" s="73" t="e">
        <f xml:space="preserve"> _xlfn.TEXTJOIN(" ", FALSE,#REF!)</f>
        <v>#REF!</v>
      </c>
      <c r="CT194" s="122"/>
      <c r="CU194" s="71" t="s">
        <v>270</v>
      </c>
      <c r="CV194" s="72" t="e">
        <f xml:space="preserve"> _xlfn.TEXTJOIN(" ", FALSE,#REF!)</f>
        <v>#REF!</v>
      </c>
      <c r="CW194" s="122"/>
      <c r="CX194" s="71" t="s">
        <v>271</v>
      </c>
      <c r="CY194" s="72" t="e">
        <f xml:space="preserve"> _xlfn.TEXTJOIN(" ", FALSE,#REF!)</f>
        <v>#REF!</v>
      </c>
      <c r="CZ194" s="122"/>
      <c r="DA194" s="71" t="s">
        <v>272</v>
      </c>
      <c r="DB194" s="73" t="e">
        <f xml:space="preserve"> _xlfn.TEXTJOIN(" ", FALSE,#REF!)</f>
        <v>#REF!</v>
      </c>
      <c r="DC194" s="65" t="s">
        <v>277</v>
      </c>
      <c r="DD194" s="70" t="e">
        <f t="shared" si="18"/>
        <v>#REF!</v>
      </c>
      <c r="DE194" s="64" t="s">
        <v>273</v>
      </c>
      <c r="DF194" s="122"/>
      <c r="DG194" s="71" t="s">
        <v>274</v>
      </c>
      <c r="DH194" s="72" t="e">
        <f xml:space="preserve"> _xlfn.TEXTJOIN(" ", FALSE,#REF!)</f>
        <v>#REF!</v>
      </c>
      <c r="DI194" s="122"/>
      <c r="DJ194" s="71" t="s">
        <v>275</v>
      </c>
      <c r="DK194" s="73" t="e">
        <f xml:space="preserve"> _xlfn.TEXTJOIN(" ", FALSE,#REF!)</f>
        <v>#REF!</v>
      </c>
      <c r="DL194" s="65" t="s">
        <v>277</v>
      </c>
      <c r="DM194" s="70" t="e">
        <f t="shared" si="19"/>
        <v>#REF!</v>
      </c>
      <c r="DN194" s="70" t="e">
        <f t="shared" si="20"/>
        <v>#REF!</v>
      </c>
    </row>
    <row r="195" spans="1:118" ht="108" customHeight="1">
      <c r="A195" s="122" t="e">
        <f>Summary!A195</f>
        <v>#REF!</v>
      </c>
      <c r="B195" s="64" t="s">
        <v>233</v>
      </c>
      <c r="C195" s="65" t="e">
        <f>Summary!B195</f>
        <v>#REF!</v>
      </c>
      <c r="D195" s="122"/>
      <c r="E195" s="64" t="s">
        <v>235</v>
      </c>
      <c r="F195" s="132" t="e">
        <f>Summary!C195</f>
        <v>#REF!</v>
      </c>
      <c r="G195" s="64" t="s">
        <v>236</v>
      </c>
      <c r="H195" s="132" t="e">
        <f>Summary!D195</f>
        <v>#REF!</v>
      </c>
      <c r="I195" s="64" t="s">
        <v>237</v>
      </c>
      <c r="J195" s="66">
        <f>Summary!E195</f>
        <v>5</v>
      </c>
      <c r="K195" s="64" t="s">
        <v>238</v>
      </c>
      <c r="L195" s="132" t="e">
        <f>Summary!F195</f>
        <v>#REF!</v>
      </c>
      <c r="M195" s="64" t="s">
        <v>239</v>
      </c>
      <c r="N195" s="132" t="e">
        <f>Summary!G195</f>
        <v>#REF!</v>
      </c>
      <c r="O195" s="64" t="s">
        <v>240</v>
      </c>
      <c r="P195" s="132" t="e">
        <f>Summary!H195</f>
        <v>#REF!</v>
      </c>
      <c r="Q195" s="65" t="s">
        <v>277</v>
      </c>
      <c r="R195" s="70" t="e">
        <f t="shared" si="14"/>
        <v>#REF!</v>
      </c>
      <c r="S195" s="64" t="s">
        <v>243</v>
      </c>
      <c r="T195" s="122"/>
      <c r="U195" s="71" t="s">
        <v>244</v>
      </c>
      <c r="V195" s="72" t="e">
        <f xml:space="preserve"> _xlfn.TEXTJOIN(" ", FALSE,#REF!)</f>
        <v>#REF!</v>
      </c>
      <c r="W195" s="122"/>
      <c r="X195" s="71" t="s">
        <v>245</v>
      </c>
      <c r="Y195" s="72" t="e">
        <f xml:space="preserve"> _xlfn.TEXTJOIN(" ", FALSE,#REF!)</f>
        <v>#REF!</v>
      </c>
      <c r="Z195" s="122"/>
      <c r="AA195" s="71" t="s">
        <v>246</v>
      </c>
      <c r="AB195" s="72" t="e">
        <f xml:space="preserve"> _xlfn.TEXTJOIN(" ", FALSE,#REF!)</f>
        <v>#REF!</v>
      </c>
      <c r="AC195" s="122"/>
      <c r="AD195" s="71" t="s">
        <v>247</v>
      </c>
      <c r="AE195" s="72" t="e">
        <f xml:space="preserve"> _xlfn.TEXTJOIN(" ", FALSE,#REF!)</f>
        <v>#REF!</v>
      </c>
      <c r="AF195" s="122"/>
      <c r="AG195" s="71" t="s">
        <v>248</v>
      </c>
      <c r="AH195" s="73" t="e">
        <f xml:space="preserve"> _xlfn.TEXTJOIN(" ", FALSE,#REF!)</f>
        <v>#REF!</v>
      </c>
      <c r="AI195" s="122"/>
      <c r="AJ195" s="71" t="s">
        <v>249</v>
      </c>
      <c r="AK195" s="73" t="e">
        <f xml:space="preserve"> _xlfn.TEXTJOIN(" ", FALSE,#REF!)</f>
        <v>#REF!</v>
      </c>
      <c r="AL195" s="122"/>
      <c r="AM195" s="71" t="s">
        <v>250</v>
      </c>
      <c r="AN195" s="73" t="e">
        <f xml:space="preserve"> _xlfn.TEXTJOIN(" ", FALSE,#REF!)</f>
        <v>#REF!</v>
      </c>
      <c r="AO195" s="122"/>
      <c r="AP195" s="71" t="s">
        <v>251</v>
      </c>
      <c r="AQ195" s="72" t="e">
        <f xml:space="preserve"> _xlfn.TEXTJOIN(" ", FALSE,#REF!)</f>
        <v>#REF!</v>
      </c>
      <c r="AR195" s="122"/>
      <c r="AS195" s="71" t="s">
        <v>252</v>
      </c>
      <c r="AT195" s="72" t="e">
        <f xml:space="preserve"> _xlfn.TEXTJOIN(" ", FALSE,#REF!)</f>
        <v>#REF!</v>
      </c>
      <c r="AU195" s="122"/>
      <c r="AV195" s="71" t="s">
        <v>253</v>
      </c>
      <c r="AW195" s="73" t="e">
        <f xml:space="preserve"> _xlfn.TEXTJOIN(" ", FALSE,#REF!)</f>
        <v>#REF!</v>
      </c>
      <c r="AX195" s="122"/>
      <c r="AY195" s="71" t="s">
        <v>254</v>
      </c>
      <c r="AZ195" s="72" t="e">
        <f xml:space="preserve"> _xlfn.TEXTJOIN(" ", FALSE,#REF!)</f>
        <v>#REF!</v>
      </c>
      <c r="BA195" s="122"/>
      <c r="BB195" s="71" t="s">
        <v>255</v>
      </c>
      <c r="BC195" s="72" t="e">
        <f xml:space="preserve"> _xlfn.TEXTJOIN(" ", FALSE,#REF!)</f>
        <v>#REF!</v>
      </c>
      <c r="BD195" s="122"/>
      <c r="BE195" s="71" t="s">
        <v>256</v>
      </c>
      <c r="BF195" s="72" t="e">
        <f xml:space="preserve"> _xlfn.TEXTJOIN(" ", FALSE,#REF!)</f>
        <v>#REF!</v>
      </c>
      <c r="BG195" s="65" t="s">
        <v>277</v>
      </c>
      <c r="BH195" s="70" t="e">
        <f t="shared" si="15"/>
        <v>#REF!</v>
      </c>
      <c r="BI195" s="64" t="s">
        <v>257</v>
      </c>
      <c r="BJ195" s="122"/>
      <c r="BK195" s="71" t="s">
        <v>258</v>
      </c>
      <c r="BL195" s="74" t="str">
        <f>_xlfn.TEXTJOIN(" ", FALSE, 'Task 2a - Mitigating the Proble'!U195:AC195)</f>
        <v xml:space="preserve">1 0 0 0 0 1 0 0 </v>
      </c>
      <c r="BM195" s="65" t="s">
        <v>277</v>
      </c>
      <c r="BN195" s="70" t="str">
        <f t="shared" si="16"/>
        <v>[Details for Task 2a:]  /Question 12: 1 0 0 0 0 1 0 0  .</v>
      </c>
      <c r="BO195" s="64" t="s">
        <v>259</v>
      </c>
      <c r="BP195" s="122"/>
      <c r="BQ195" s="71" t="s">
        <v>260</v>
      </c>
      <c r="BR195" s="73" t="e">
        <f xml:space="preserve"> _xlfn.TEXTJOIN(" ", FALSE,#REF!)</f>
        <v>#REF!</v>
      </c>
      <c r="BS195" s="122"/>
      <c r="BT195" s="71" t="s">
        <v>261</v>
      </c>
      <c r="BU195" s="73" t="e">
        <f xml:space="preserve"> _xlfn.TEXTJOIN(" ", FALSE,#REF!)</f>
        <v>#REF!</v>
      </c>
      <c r="BV195" s="122"/>
      <c r="BW195" s="71" t="s">
        <v>262</v>
      </c>
      <c r="BX195" s="73" t="e">
        <f xml:space="preserve"> _xlfn.TEXTJOIN(" ", FALSE,#REF!)</f>
        <v>#REF!</v>
      </c>
      <c r="BY195" s="122"/>
      <c r="BZ195" s="71" t="s">
        <v>263</v>
      </c>
      <c r="CA195" s="73" t="e">
        <f xml:space="preserve"> _xlfn.TEXTJOIN(" ", FALSE,#REF!)</f>
        <v>#REF!</v>
      </c>
      <c r="CB195" s="122"/>
      <c r="CC195" s="71" t="s">
        <v>264</v>
      </c>
      <c r="CD195" s="73" t="e">
        <f xml:space="preserve"> _xlfn.TEXTJOIN(" ", FALSE,#REF!)</f>
        <v>#REF!</v>
      </c>
      <c r="CE195" s="122"/>
      <c r="CF195" s="71" t="s">
        <v>265</v>
      </c>
      <c r="CG195" s="73" t="e">
        <f xml:space="preserve"> _xlfn.TEXTJOIN(" ", FALSE,#REF!)</f>
        <v>#REF!</v>
      </c>
      <c r="CH195" s="122"/>
      <c r="CI195" s="74" t="s">
        <v>278</v>
      </c>
      <c r="CJ195" s="73" t="e">
        <f xml:space="preserve"> _xlfn.TEXTJOIN(" ", FALSE,#REF!)</f>
        <v>#REF!</v>
      </c>
      <c r="CK195" s="65" t="s">
        <v>277</v>
      </c>
      <c r="CL195" s="70" t="e">
        <f t="shared" si="17"/>
        <v>#REF!</v>
      </c>
      <c r="CM195" s="64" t="s">
        <v>267</v>
      </c>
      <c r="CN195" s="122"/>
      <c r="CO195" s="71" t="s">
        <v>268</v>
      </c>
      <c r="CP195" s="73" t="e">
        <f xml:space="preserve"> _xlfn.TEXTJOIN(" ", FALSE,#REF!)</f>
        <v>#REF!</v>
      </c>
      <c r="CQ195" s="122"/>
      <c r="CR195" s="71" t="s">
        <v>269</v>
      </c>
      <c r="CS195" s="73" t="e">
        <f xml:space="preserve"> _xlfn.TEXTJOIN(" ", FALSE,#REF!)</f>
        <v>#REF!</v>
      </c>
      <c r="CT195" s="122"/>
      <c r="CU195" s="71" t="s">
        <v>270</v>
      </c>
      <c r="CV195" s="72" t="e">
        <f xml:space="preserve"> _xlfn.TEXTJOIN(" ", FALSE,#REF!)</f>
        <v>#REF!</v>
      </c>
      <c r="CW195" s="122"/>
      <c r="CX195" s="71" t="s">
        <v>271</v>
      </c>
      <c r="CY195" s="72" t="e">
        <f xml:space="preserve"> _xlfn.TEXTJOIN(" ", FALSE,#REF!)</f>
        <v>#REF!</v>
      </c>
      <c r="CZ195" s="122"/>
      <c r="DA195" s="71" t="s">
        <v>272</v>
      </c>
      <c r="DB195" s="73" t="e">
        <f xml:space="preserve"> _xlfn.TEXTJOIN(" ", FALSE,#REF!)</f>
        <v>#REF!</v>
      </c>
      <c r="DC195" s="65" t="s">
        <v>277</v>
      </c>
      <c r="DD195" s="70" t="e">
        <f t="shared" si="18"/>
        <v>#REF!</v>
      </c>
      <c r="DE195" s="64" t="s">
        <v>273</v>
      </c>
      <c r="DF195" s="122"/>
      <c r="DG195" s="71" t="s">
        <v>274</v>
      </c>
      <c r="DH195" s="72" t="e">
        <f xml:space="preserve"> _xlfn.TEXTJOIN(" ", FALSE,#REF!)</f>
        <v>#REF!</v>
      </c>
      <c r="DI195" s="122"/>
      <c r="DJ195" s="71" t="s">
        <v>275</v>
      </c>
      <c r="DK195" s="73" t="e">
        <f xml:space="preserve"> _xlfn.TEXTJOIN(" ", FALSE,#REF!)</f>
        <v>#REF!</v>
      </c>
      <c r="DL195" s="65" t="s">
        <v>277</v>
      </c>
      <c r="DM195" s="70" t="e">
        <f t="shared" si="19"/>
        <v>#REF!</v>
      </c>
      <c r="DN195" s="70" t="e">
        <f t="shared" si="20"/>
        <v>#REF!</v>
      </c>
    </row>
    <row r="196" spans="1:118" ht="108" customHeight="1">
      <c r="A196" s="122" t="e">
        <f>Summary!A196</f>
        <v>#REF!</v>
      </c>
      <c r="B196" s="64" t="s">
        <v>233</v>
      </c>
      <c r="C196" s="65" t="e">
        <f>Summary!B196</f>
        <v>#REF!</v>
      </c>
      <c r="D196" s="122"/>
      <c r="E196" s="64" t="s">
        <v>235</v>
      </c>
      <c r="F196" s="132" t="e">
        <f>Summary!C196</f>
        <v>#REF!</v>
      </c>
      <c r="G196" s="64" t="s">
        <v>236</v>
      </c>
      <c r="H196" s="132" t="e">
        <f>Summary!D196</f>
        <v>#REF!</v>
      </c>
      <c r="I196" s="64" t="s">
        <v>237</v>
      </c>
      <c r="J196" s="66">
        <f>Summary!E196</f>
        <v>6</v>
      </c>
      <c r="K196" s="64" t="s">
        <v>238</v>
      </c>
      <c r="L196" s="132" t="e">
        <f>Summary!F196</f>
        <v>#REF!</v>
      </c>
      <c r="M196" s="64" t="s">
        <v>239</v>
      </c>
      <c r="N196" s="132" t="e">
        <f>Summary!G196</f>
        <v>#REF!</v>
      </c>
      <c r="O196" s="64" t="s">
        <v>240</v>
      </c>
      <c r="P196" s="132" t="e">
        <f>Summary!H196</f>
        <v>#REF!</v>
      </c>
      <c r="Q196" s="65" t="s">
        <v>277</v>
      </c>
      <c r="R196" s="70" t="e">
        <f t="shared" si="14"/>
        <v>#REF!</v>
      </c>
      <c r="S196" s="64" t="s">
        <v>243</v>
      </c>
      <c r="T196" s="122"/>
      <c r="U196" s="71" t="s">
        <v>244</v>
      </c>
      <c r="V196" s="72" t="e">
        <f xml:space="preserve"> _xlfn.TEXTJOIN(" ", FALSE,#REF!)</f>
        <v>#REF!</v>
      </c>
      <c r="W196" s="122"/>
      <c r="X196" s="71" t="s">
        <v>245</v>
      </c>
      <c r="Y196" s="72" t="e">
        <f xml:space="preserve"> _xlfn.TEXTJOIN(" ", FALSE,#REF!)</f>
        <v>#REF!</v>
      </c>
      <c r="Z196" s="122"/>
      <c r="AA196" s="71" t="s">
        <v>246</v>
      </c>
      <c r="AB196" s="72" t="e">
        <f xml:space="preserve"> _xlfn.TEXTJOIN(" ", FALSE,#REF!)</f>
        <v>#REF!</v>
      </c>
      <c r="AC196" s="122"/>
      <c r="AD196" s="71" t="s">
        <v>247</v>
      </c>
      <c r="AE196" s="72" t="e">
        <f xml:space="preserve"> _xlfn.TEXTJOIN(" ", FALSE,#REF!)</f>
        <v>#REF!</v>
      </c>
      <c r="AF196" s="122"/>
      <c r="AG196" s="71" t="s">
        <v>248</v>
      </c>
      <c r="AH196" s="73" t="e">
        <f xml:space="preserve"> _xlfn.TEXTJOIN(" ", FALSE,#REF!)</f>
        <v>#REF!</v>
      </c>
      <c r="AI196" s="122"/>
      <c r="AJ196" s="71" t="s">
        <v>249</v>
      </c>
      <c r="AK196" s="73" t="e">
        <f xml:space="preserve"> _xlfn.TEXTJOIN(" ", FALSE,#REF!)</f>
        <v>#REF!</v>
      </c>
      <c r="AL196" s="122"/>
      <c r="AM196" s="71" t="s">
        <v>250</v>
      </c>
      <c r="AN196" s="73" t="e">
        <f xml:space="preserve"> _xlfn.TEXTJOIN(" ", FALSE,#REF!)</f>
        <v>#REF!</v>
      </c>
      <c r="AO196" s="122"/>
      <c r="AP196" s="71" t="s">
        <v>251</v>
      </c>
      <c r="AQ196" s="72" t="e">
        <f xml:space="preserve"> _xlfn.TEXTJOIN(" ", FALSE,#REF!)</f>
        <v>#REF!</v>
      </c>
      <c r="AR196" s="122"/>
      <c r="AS196" s="71" t="s">
        <v>252</v>
      </c>
      <c r="AT196" s="72" t="e">
        <f xml:space="preserve"> _xlfn.TEXTJOIN(" ", FALSE,#REF!)</f>
        <v>#REF!</v>
      </c>
      <c r="AU196" s="122"/>
      <c r="AV196" s="71" t="s">
        <v>253</v>
      </c>
      <c r="AW196" s="73" t="e">
        <f xml:space="preserve"> _xlfn.TEXTJOIN(" ", FALSE,#REF!)</f>
        <v>#REF!</v>
      </c>
      <c r="AX196" s="122"/>
      <c r="AY196" s="71" t="s">
        <v>254</v>
      </c>
      <c r="AZ196" s="72" t="e">
        <f xml:space="preserve"> _xlfn.TEXTJOIN(" ", FALSE,#REF!)</f>
        <v>#REF!</v>
      </c>
      <c r="BA196" s="122"/>
      <c r="BB196" s="71" t="s">
        <v>255</v>
      </c>
      <c r="BC196" s="72" t="e">
        <f xml:space="preserve"> _xlfn.TEXTJOIN(" ", FALSE,#REF!)</f>
        <v>#REF!</v>
      </c>
      <c r="BD196" s="122"/>
      <c r="BE196" s="71" t="s">
        <v>256</v>
      </c>
      <c r="BF196" s="72" t="e">
        <f xml:space="preserve"> _xlfn.TEXTJOIN(" ", FALSE,#REF!)</f>
        <v>#REF!</v>
      </c>
      <c r="BG196" s="65" t="s">
        <v>277</v>
      </c>
      <c r="BH196" s="70" t="e">
        <f t="shared" si="15"/>
        <v>#REF!</v>
      </c>
      <c r="BI196" s="64" t="s">
        <v>257</v>
      </c>
      <c r="BJ196" s="122"/>
      <c r="BK196" s="71" t="s">
        <v>258</v>
      </c>
      <c r="BL196" s="74" t="str">
        <f>_xlfn.TEXTJOIN(" ", FALSE, 'Task 2a - Mitigating the Proble'!U196:AC196)</f>
        <v xml:space="preserve">1 1 1 0 0 1 0 0 </v>
      </c>
      <c r="BM196" s="65" t="s">
        <v>277</v>
      </c>
      <c r="BN196" s="70" t="str">
        <f t="shared" si="16"/>
        <v>[Details for Task 2a:]  /Question 12: 1 1 1 0 0 1 0 0  .</v>
      </c>
      <c r="BO196" s="64" t="s">
        <v>259</v>
      </c>
      <c r="BP196" s="122"/>
      <c r="BQ196" s="71" t="s">
        <v>260</v>
      </c>
      <c r="BR196" s="73" t="e">
        <f xml:space="preserve"> _xlfn.TEXTJOIN(" ", FALSE,#REF!)</f>
        <v>#REF!</v>
      </c>
      <c r="BS196" s="122"/>
      <c r="BT196" s="71" t="s">
        <v>261</v>
      </c>
      <c r="BU196" s="73" t="e">
        <f xml:space="preserve"> _xlfn.TEXTJOIN(" ", FALSE,#REF!)</f>
        <v>#REF!</v>
      </c>
      <c r="BV196" s="122"/>
      <c r="BW196" s="71" t="s">
        <v>262</v>
      </c>
      <c r="BX196" s="73" t="e">
        <f xml:space="preserve"> _xlfn.TEXTJOIN(" ", FALSE,#REF!)</f>
        <v>#REF!</v>
      </c>
      <c r="BY196" s="122"/>
      <c r="BZ196" s="71" t="s">
        <v>263</v>
      </c>
      <c r="CA196" s="73" t="e">
        <f xml:space="preserve"> _xlfn.TEXTJOIN(" ", FALSE,#REF!)</f>
        <v>#REF!</v>
      </c>
      <c r="CB196" s="122"/>
      <c r="CC196" s="71" t="s">
        <v>264</v>
      </c>
      <c r="CD196" s="73" t="e">
        <f xml:space="preserve"> _xlfn.TEXTJOIN(" ", FALSE,#REF!)</f>
        <v>#REF!</v>
      </c>
      <c r="CE196" s="122"/>
      <c r="CF196" s="71" t="s">
        <v>265</v>
      </c>
      <c r="CG196" s="73" t="e">
        <f xml:space="preserve"> _xlfn.TEXTJOIN(" ", FALSE,#REF!)</f>
        <v>#REF!</v>
      </c>
      <c r="CH196" s="122"/>
      <c r="CI196" s="74" t="s">
        <v>278</v>
      </c>
      <c r="CJ196" s="73" t="e">
        <f xml:space="preserve"> _xlfn.TEXTJOIN(" ", FALSE,#REF!)</f>
        <v>#REF!</v>
      </c>
      <c r="CK196" s="65" t="s">
        <v>277</v>
      </c>
      <c r="CL196" s="70" t="e">
        <f t="shared" si="17"/>
        <v>#REF!</v>
      </c>
      <c r="CM196" s="64" t="s">
        <v>267</v>
      </c>
      <c r="CN196" s="122"/>
      <c r="CO196" s="71" t="s">
        <v>268</v>
      </c>
      <c r="CP196" s="73" t="e">
        <f xml:space="preserve"> _xlfn.TEXTJOIN(" ", FALSE,#REF!)</f>
        <v>#REF!</v>
      </c>
      <c r="CQ196" s="122"/>
      <c r="CR196" s="71" t="s">
        <v>269</v>
      </c>
      <c r="CS196" s="73" t="e">
        <f xml:space="preserve"> _xlfn.TEXTJOIN(" ", FALSE,#REF!)</f>
        <v>#REF!</v>
      </c>
      <c r="CT196" s="122"/>
      <c r="CU196" s="71" t="s">
        <v>270</v>
      </c>
      <c r="CV196" s="72" t="e">
        <f xml:space="preserve"> _xlfn.TEXTJOIN(" ", FALSE,#REF!)</f>
        <v>#REF!</v>
      </c>
      <c r="CW196" s="122"/>
      <c r="CX196" s="71" t="s">
        <v>271</v>
      </c>
      <c r="CY196" s="72" t="e">
        <f xml:space="preserve"> _xlfn.TEXTJOIN(" ", FALSE,#REF!)</f>
        <v>#REF!</v>
      </c>
      <c r="CZ196" s="122"/>
      <c r="DA196" s="71" t="s">
        <v>272</v>
      </c>
      <c r="DB196" s="73" t="e">
        <f xml:space="preserve"> _xlfn.TEXTJOIN(" ", FALSE,#REF!)</f>
        <v>#REF!</v>
      </c>
      <c r="DC196" s="65" t="s">
        <v>277</v>
      </c>
      <c r="DD196" s="70" t="e">
        <f t="shared" si="18"/>
        <v>#REF!</v>
      </c>
      <c r="DE196" s="64" t="s">
        <v>273</v>
      </c>
      <c r="DF196" s="122"/>
      <c r="DG196" s="71" t="s">
        <v>274</v>
      </c>
      <c r="DH196" s="72" t="e">
        <f xml:space="preserve"> _xlfn.TEXTJOIN(" ", FALSE,#REF!)</f>
        <v>#REF!</v>
      </c>
      <c r="DI196" s="122"/>
      <c r="DJ196" s="71" t="s">
        <v>275</v>
      </c>
      <c r="DK196" s="73" t="e">
        <f xml:space="preserve"> _xlfn.TEXTJOIN(" ", FALSE,#REF!)</f>
        <v>#REF!</v>
      </c>
      <c r="DL196" s="65" t="s">
        <v>277</v>
      </c>
      <c r="DM196" s="70" t="e">
        <f t="shared" si="19"/>
        <v>#REF!</v>
      </c>
      <c r="DN196" s="70" t="e">
        <f t="shared" si="20"/>
        <v>#REF!</v>
      </c>
    </row>
    <row r="197" spans="1:118" ht="108" customHeight="1">
      <c r="A197" s="122" t="e">
        <f>Summary!A197</f>
        <v>#REF!</v>
      </c>
      <c r="B197" s="64" t="s">
        <v>233</v>
      </c>
      <c r="C197" s="65" t="e">
        <f>Summary!B197</f>
        <v>#REF!</v>
      </c>
      <c r="D197" s="122"/>
      <c r="E197" s="64" t="s">
        <v>235</v>
      </c>
      <c r="F197" s="132" t="e">
        <f>Summary!C197</f>
        <v>#REF!</v>
      </c>
      <c r="G197" s="64" t="s">
        <v>236</v>
      </c>
      <c r="H197" s="132" t="e">
        <f>Summary!D197</f>
        <v>#REF!</v>
      </c>
      <c r="I197" s="64" t="s">
        <v>237</v>
      </c>
      <c r="J197" s="66">
        <f>Summary!E197</f>
        <v>6</v>
      </c>
      <c r="K197" s="64" t="s">
        <v>238</v>
      </c>
      <c r="L197" s="132" t="e">
        <f>Summary!F197</f>
        <v>#REF!</v>
      </c>
      <c r="M197" s="64" t="s">
        <v>239</v>
      </c>
      <c r="N197" s="132" t="e">
        <f>Summary!G197</f>
        <v>#REF!</v>
      </c>
      <c r="O197" s="64" t="s">
        <v>240</v>
      </c>
      <c r="P197" s="132" t="e">
        <f>Summary!H197</f>
        <v>#REF!</v>
      </c>
      <c r="Q197" s="65" t="s">
        <v>277</v>
      </c>
      <c r="R197" s="70" t="e">
        <f t="shared" si="14"/>
        <v>#REF!</v>
      </c>
      <c r="S197" s="64" t="s">
        <v>243</v>
      </c>
      <c r="T197" s="122"/>
      <c r="U197" s="71" t="s">
        <v>244</v>
      </c>
      <c r="V197" s="72" t="e">
        <f xml:space="preserve"> _xlfn.TEXTJOIN(" ", FALSE,#REF!)</f>
        <v>#REF!</v>
      </c>
      <c r="W197" s="122"/>
      <c r="X197" s="71" t="s">
        <v>245</v>
      </c>
      <c r="Y197" s="72" t="e">
        <f xml:space="preserve"> _xlfn.TEXTJOIN(" ", FALSE,#REF!)</f>
        <v>#REF!</v>
      </c>
      <c r="Z197" s="122"/>
      <c r="AA197" s="71" t="s">
        <v>246</v>
      </c>
      <c r="AB197" s="72" t="e">
        <f xml:space="preserve"> _xlfn.TEXTJOIN(" ", FALSE,#REF!)</f>
        <v>#REF!</v>
      </c>
      <c r="AC197" s="122"/>
      <c r="AD197" s="71" t="s">
        <v>247</v>
      </c>
      <c r="AE197" s="72" t="e">
        <f xml:space="preserve"> _xlfn.TEXTJOIN(" ", FALSE,#REF!)</f>
        <v>#REF!</v>
      </c>
      <c r="AF197" s="122"/>
      <c r="AG197" s="71" t="s">
        <v>248</v>
      </c>
      <c r="AH197" s="73" t="e">
        <f xml:space="preserve"> _xlfn.TEXTJOIN(" ", FALSE,#REF!)</f>
        <v>#REF!</v>
      </c>
      <c r="AI197" s="122"/>
      <c r="AJ197" s="71" t="s">
        <v>249</v>
      </c>
      <c r="AK197" s="73" t="e">
        <f xml:space="preserve"> _xlfn.TEXTJOIN(" ", FALSE,#REF!)</f>
        <v>#REF!</v>
      </c>
      <c r="AL197" s="122"/>
      <c r="AM197" s="71" t="s">
        <v>250</v>
      </c>
      <c r="AN197" s="73" t="e">
        <f xml:space="preserve"> _xlfn.TEXTJOIN(" ", FALSE,#REF!)</f>
        <v>#REF!</v>
      </c>
      <c r="AO197" s="122"/>
      <c r="AP197" s="71" t="s">
        <v>251</v>
      </c>
      <c r="AQ197" s="72" t="e">
        <f xml:space="preserve"> _xlfn.TEXTJOIN(" ", FALSE,#REF!)</f>
        <v>#REF!</v>
      </c>
      <c r="AR197" s="122"/>
      <c r="AS197" s="71" t="s">
        <v>252</v>
      </c>
      <c r="AT197" s="72" t="e">
        <f xml:space="preserve"> _xlfn.TEXTJOIN(" ", FALSE,#REF!)</f>
        <v>#REF!</v>
      </c>
      <c r="AU197" s="122"/>
      <c r="AV197" s="71" t="s">
        <v>253</v>
      </c>
      <c r="AW197" s="73" t="e">
        <f xml:space="preserve"> _xlfn.TEXTJOIN(" ", FALSE,#REF!)</f>
        <v>#REF!</v>
      </c>
      <c r="AX197" s="122"/>
      <c r="AY197" s="71" t="s">
        <v>254</v>
      </c>
      <c r="AZ197" s="72" t="e">
        <f xml:space="preserve"> _xlfn.TEXTJOIN(" ", FALSE,#REF!)</f>
        <v>#REF!</v>
      </c>
      <c r="BA197" s="122"/>
      <c r="BB197" s="71" t="s">
        <v>255</v>
      </c>
      <c r="BC197" s="72" t="e">
        <f xml:space="preserve"> _xlfn.TEXTJOIN(" ", FALSE,#REF!)</f>
        <v>#REF!</v>
      </c>
      <c r="BD197" s="122"/>
      <c r="BE197" s="71" t="s">
        <v>256</v>
      </c>
      <c r="BF197" s="72" t="e">
        <f xml:space="preserve"> _xlfn.TEXTJOIN(" ", FALSE,#REF!)</f>
        <v>#REF!</v>
      </c>
      <c r="BG197" s="65" t="s">
        <v>277</v>
      </c>
      <c r="BH197" s="70" t="e">
        <f t="shared" si="15"/>
        <v>#REF!</v>
      </c>
      <c r="BI197" s="64" t="s">
        <v>257</v>
      </c>
      <c r="BJ197" s="122"/>
      <c r="BK197" s="71" t="s">
        <v>258</v>
      </c>
      <c r="BL197" s="74" t="str">
        <f>_xlfn.TEXTJOIN(" ", FALSE, 'Task 2a - Mitigating the Proble'!U197:AC197)</f>
        <v>1 0 1 0 0 1 0 1 I liked the extra detail on how the two regularisation approaches can work complementary (not just restating individual benefits).</v>
      </c>
      <c r="BM197" s="65" t="s">
        <v>277</v>
      </c>
      <c r="BN197" s="70" t="str">
        <f t="shared" si="16"/>
        <v>[Details for Task 2a:]  /Question 12: 1 0 1 0 0 1 0 1 I liked the extra detail on how the two regularisation approaches can work complementary (not just restating individual benefits). .</v>
      </c>
      <c r="BO197" s="64" t="s">
        <v>259</v>
      </c>
      <c r="BP197" s="122"/>
      <c r="BQ197" s="71" t="s">
        <v>260</v>
      </c>
      <c r="BR197" s="73" t="e">
        <f xml:space="preserve"> _xlfn.TEXTJOIN(" ", FALSE,#REF!)</f>
        <v>#REF!</v>
      </c>
      <c r="BS197" s="122"/>
      <c r="BT197" s="71" t="s">
        <v>261</v>
      </c>
      <c r="BU197" s="73" t="e">
        <f xml:space="preserve"> _xlfn.TEXTJOIN(" ", FALSE,#REF!)</f>
        <v>#REF!</v>
      </c>
      <c r="BV197" s="122"/>
      <c r="BW197" s="71" t="s">
        <v>262</v>
      </c>
      <c r="BX197" s="73" t="e">
        <f xml:space="preserve"> _xlfn.TEXTJOIN(" ", FALSE,#REF!)</f>
        <v>#REF!</v>
      </c>
      <c r="BY197" s="122"/>
      <c r="BZ197" s="71" t="s">
        <v>263</v>
      </c>
      <c r="CA197" s="73" t="e">
        <f xml:space="preserve"> _xlfn.TEXTJOIN(" ", FALSE,#REF!)</f>
        <v>#REF!</v>
      </c>
      <c r="CB197" s="122"/>
      <c r="CC197" s="71" t="s">
        <v>264</v>
      </c>
      <c r="CD197" s="73" t="e">
        <f xml:space="preserve"> _xlfn.TEXTJOIN(" ", FALSE,#REF!)</f>
        <v>#REF!</v>
      </c>
      <c r="CE197" s="122"/>
      <c r="CF197" s="71" t="s">
        <v>265</v>
      </c>
      <c r="CG197" s="73" t="e">
        <f xml:space="preserve"> _xlfn.TEXTJOIN(" ", FALSE,#REF!)</f>
        <v>#REF!</v>
      </c>
      <c r="CH197" s="122"/>
      <c r="CI197" s="74" t="s">
        <v>278</v>
      </c>
      <c r="CJ197" s="73" t="e">
        <f xml:space="preserve"> _xlfn.TEXTJOIN(" ", FALSE,#REF!)</f>
        <v>#REF!</v>
      </c>
      <c r="CK197" s="65" t="s">
        <v>277</v>
      </c>
      <c r="CL197" s="70" t="e">
        <f t="shared" si="17"/>
        <v>#REF!</v>
      </c>
      <c r="CM197" s="64" t="s">
        <v>267</v>
      </c>
      <c r="CN197" s="122"/>
      <c r="CO197" s="71" t="s">
        <v>268</v>
      </c>
      <c r="CP197" s="73" t="e">
        <f xml:space="preserve"> _xlfn.TEXTJOIN(" ", FALSE,#REF!)</f>
        <v>#REF!</v>
      </c>
      <c r="CQ197" s="122"/>
      <c r="CR197" s="71" t="s">
        <v>269</v>
      </c>
      <c r="CS197" s="73" t="e">
        <f xml:space="preserve"> _xlfn.TEXTJOIN(" ", FALSE,#REF!)</f>
        <v>#REF!</v>
      </c>
      <c r="CT197" s="122"/>
      <c r="CU197" s="71" t="s">
        <v>270</v>
      </c>
      <c r="CV197" s="72" t="e">
        <f xml:space="preserve"> _xlfn.TEXTJOIN(" ", FALSE,#REF!)</f>
        <v>#REF!</v>
      </c>
      <c r="CW197" s="122"/>
      <c r="CX197" s="71" t="s">
        <v>271</v>
      </c>
      <c r="CY197" s="72" t="e">
        <f xml:space="preserve"> _xlfn.TEXTJOIN(" ", FALSE,#REF!)</f>
        <v>#REF!</v>
      </c>
      <c r="CZ197" s="122"/>
      <c r="DA197" s="71" t="s">
        <v>272</v>
      </c>
      <c r="DB197" s="73" t="e">
        <f xml:space="preserve"> _xlfn.TEXTJOIN(" ", FALSE,#REF!)</f>
        <v>#REF!</v>
      </c>
      <c r="DC197" s="65" t="s">
        <v>277</v>
      </c>
      <c r="DD197" s="70" t="e">
        <f t="shared" si="18"/>
        <v>#REF!</v>
      </c>
      <c r="DE197" s="64" t="s">
        <v>273</v>
      </c>
      <c r="DF197" s="122"/>
      <c r="DG197" s="71" t="s">
        <v>274</v>
      </c>
      <c r="DH197" s="72" t="e">
        <f xml:space="preserve"> _xlfn.TEXTJOIN(" ", FALSE,#REF!)</f>
        <v>#REF!</v>
      </c>
      <c r="DI197" s="122"/>
      <c r="DJ197" s="71" t="s">
        <v>275</v>
      </c>
      <c r="DK197" s="73" t="e">
        <f xml:space="preserve"> _xlfn.TEXTJOIN(" ", FALSE,#REF!)</f>
        <v>#REF!</v>
      </c>
      <c r="DL197" s="65" t="s">
        <v>277</v>
      </c>
      <c r="DM197" s="70" t="e">
        <f t="shared" si="19"/>
        <v>#REF!</v>
      </c>
      <c r="DN197" s="70" t="e">
        <f t="shared" si="20"/>
        <v>#REF!</v>
      </c>
    </row>
    <row r="198" spans="1:118" ht="108" customHeight="1">
      <c r="A198" s="122" t="e">
        <f>Summary!A198</f>
        <v>#REF!</v>
      </c>
      <c r="B198" s="64" t="s">
        <v>233</v>
      </c>
      <c r="C198" s="65" t="e">
        <f>Summary!B198</f>
        <v>#REF!</v>
      </c>
      <c r="D198" s="122"/>
      <c r="E198" s="64" t="s">
        <v>235</v>
      </c>
      <c r="F198" s="132" t="e">
        <f>Summary!C198</f>
        <v>#REF!</v>
      </c>
      <c r="G198" s="64" t="s">
        <v>236</v>
      </c>
      <c r="H198" s="132" t="e">
        <f>Summary!D198</f>
        <v>#REF!</v>
      </c>
      <c r="I198" s="64" t="s">
        <v>237</v>
      </c>
      <c r="J198" s="66">
        <f>Summary!E198</f>
        <v>4</v>
      </c>
      <c r="K198" s="64" t="s">
        <v>238</v>
      </c>
      <c r="L198" s="132" t="e">
        <f>Summary!F198</f>
        <v>#REF!</v>
      </c>
      <c r="M198" s="64" t="s">
        <v>239</v>
      </c>
      <c r="N198" s="132" t="e">
        <f>Summary!G198</f>
        <v>#REF!</v>
      </c>
      <c r="O198" s="64" t="s">
        <v>240</v>
      </c>
      <c r="P198" s="132" t="e">
        <f>Summary!H198</f>
        <v>#REF!</v>
      </c>
      <c r="Q198" s="65" t="s">
        <v>277</v>
      </c>
      <c r="R198" s="70" t="e">
        <f t="shared" si="14"/>
        <v>#REF!</v>
      </c>
      <c r="S198" s="64" t="s">
        <v>243</v>
      </c>
      <c r="T198" s="122"/>
      <c r="U198" s="71" t="s">
        <v>244</v>
      </c>
      <c r="V198" s="72" t="e">
        <f xml:space="preserve"> _xlfn.TEXTJOIN(" ", FALSE,#REF!)</f>
        <v>#REF!</v>
      </c>
      <c r="W198" s="122"/>
      <c r="X198" s="71" t="s">
        <v>245</v>
      </c>
      <c r="Y198" s="72" t="e">
        <f xml:space="preserve"> _xlfn.TEXTJOIN(" ", FALSE,#REF!)</f>
        <v>#REF!</v>
      </c>
      <c r="Z198" s="122"/>
      <c r="AA198" s="71" t="s">
        <v>246</v>
      </c>
      <c r="AB198" s="72" t="e">
        <f xml:space="preserve"> _xlfn.TEXTJOIN(" ", FALSE,#REF!)</f>
        <v>#REF!</v>
      </c>
      <c r="AC198" s="122"/>
      <c r="AD198" s="71" t="s">
        <v>247</v>
      </c>
      <c r="AE198" s="72" t="e">
        <f xml:space="preserve"> _xlfn.TEXTJOIN(" ", FALSE,#REF!)</f>
        <v>#REF!</v>
      </c>
      <c r="AF198" s="122"/>
      <c r="AG198" s="71" t="s">
        <v>248</v>
      </c>
      <c r="AH198" s="73" t="e">
        <f xml:space="preserve"> _xlfn.TEXTJOIN(" ", FALSE,#REF!)</f>
        <v>#REF!</v>
      </c>
      <c r="AI198" s="122"/>
      <c r="AJ198" s="71" t="s">
        <v>249</v>
      </c>
      <c r="AK198" s="73" t="e">
        <f xml:space="preserve"> _xlfn.TEXTJOIN(" ", FALSE,#REF!)</f>
        <v>#REF!</v>
      </c>
      <c r="AL198" s="122"/>
      <c r="AM198" s="71" t="s">
        <v>250</v>
      </c>
      <c r="AN198" s="73" t="e">
        <f xml:space="preserve"> _xlfn.TEXTJOIN(" ", FALSE,#REF!)</f>
        <v>#REF!</v>
      </c>
      <c r="AO198" s="122"/>
      <c r="AP198" s="71" t="s">
        <v>251</v>
      </c>
      <c r="AQ198" s="72" t="e">
        <f xml:space="preserve"> _xlfn.TEXTJOIN(" ", FALSE,#REF!)</f>
        <v>#REF!</v>
      </c>
      <c r="AR198" s="122"/>
      <c r="AS198" s="71" t="s">
        <v>252</v>
      </c>
      <c r="AT198" s="72" t="e">
        <f xml:space="preserve"> _xlfn.TEXTJOIN(" ", FALSE,#REF!)</f>
        <v>#REF!</v>
      </c>
      <c r="AU198" s="122"/>
      <c r="AV198" s="71" t="s">
        <v>253</v>
      </c>
      <c r="AW198" s="73" t="e">
        <f xml:space="preserve"> _xlfn.TEXTJOIN(" ", FALSE,#REF!)</f>
        <v>#REF!</v>
      </c>
      <c r="AX198" s="122"/>
      <c r="AY198" s="71" t="s">
        <v>254</v>
      </c>
      <c r="AZ198" s="72" t="e">
        <f xml:space="preserve"> _xlfn.TEXTJOIN(" ", FALSE,#REF!)</f>
        <v>#REF!</v>
      </c>
      <c r="BA198" s="122"/>
      <c r="BB198" s="71" t="s">
        <v>255</v>
      </c>
      <c r="BC198" s="72" t="e">
        <f xml:space="preserve"> _xlfn.TEXTJOIN(" ", FALSE,#REF!)</f>
        <v>#REF!</v>
      </c>
      <c r="BD198" s="122"/>
      <c r="BE198" s="71" t="s">
        <v>256</v>
      </c>
      <c r="BF198" s="72" t="e">
        <f xml:space="preserve"> _xlfn.TEXTJOIN(" ", FALSE,#REF!)</f>
        <v>#REF!</v>
      </c>
      <c r="BG198" s="65" t="s">
        <v>277</v>
      </c>
      <c r="BH198" s="70" t="e">
        <f t="shared" si="15"/>
        <v>#REF!</v>
      </c>
      <c r="BI198" s="64" t="s">
        <v>257</v>
      </c>
      <c r="BJ198" s="122"/>
      <c r="BK198" s="71" t="s">
        <v>258</v>
      </c>
      <c r="BL198" s="74" t="str">
        <f>_xlfn.TEXTJOIN(" ", FALSE, 'Task 2a - Mitigating the Proble'!U198:AC198)</f>
        <v>0 0 0 0 0 1 0 0 The question is about the "how".</v>
      </c>
      <c r="BM198" s="65" t="s">
        <v>277</v>
      </c>
      <c r="BN198" s="70" t="str">
        <f t="shared" si="16"/>
        <v>[Details for Task 2a:]  /Question 12: 0 0 0 0 0 1 0 0 The question is about the "how". .</v>
      </c>
      <c r="BO198" s="64" t="s">
        <v>259</v>
      </c>
      <c r="BP198" s="122"/>
      <c r="BQ198" s="71" t="s">
        <v>260</v>
      </c>
      <c r="BR198" s="73" t="e">
        <f xml:space="preserve"> _xlfn.TEXTJOIN(" ", FALSE,#REF!)</f>
        <v>#REF!</v>
      </c>
      <c r="BS198" s="122"/>
      <c r="BT198" s="71" t="s">
        <v>261</v>
      </c>
      <c r="BU198" s="73" t="e">
        <f xml:space="preserve"> _xlfn.TEXTJOIN(" ", FALSE,#REF!)</f>
        <v>#REF!</v>
      </c>
      <c r="BV198" s="122"/>
      <c r="BW198" s="71" t="s">
        <v>262</v>
      </c>
      <c r="BX198" s="73" t="e">
        <f xml:space="preserve"> _xlfn.TEXTJOIN(" ", FALSE,#REF!)</f>
        <v>#REF!</v>
      </c>
      <c r="BY198" s="122"/>
      <c r="BZ198" s="71" t="s">
        <v>263</v>
      </c>
      <c r="CA198" s="73" t="e">
        <f xml:space="preserve"> _xlfn.TEXTJOIN(" ", FALSE,#REF!)</f>
        <v>#REF!</v>
      </c>
      <c r="CB198" s="122"/>
      <c r="CC198" s="71" t="s">
        <v>264</v>
      </c>
      <c r="CD198" s="73" t="e">
        <f xml:space="preserve"> _xlfn.TEXTJOIN(" ", FALSE,#REF!)</f>
        <v>#REF!</v>
      </c>
      <c r="CE198" s="122"/>
      <c r="CF198" s="71" t="s">
        <v>265</v>
      </c>
      <c r="CG198" s="73" t="e">
        <f xml:space="preserve"> _xlfn.TEXTJOIN(" ", FALSE,#REF!)</f>
        <v>#REF!</v>
      </c>
      <c r="CH198" s="122"/>
      <c r="CI198" s="74" t="s">
        <v>278</v>
      </c>
      <c r="CJ198" s="73" t="e">
        <f xml:space="preserve"> _xlfn.TEXTJOIN(" ", FALSE,#REF!)</f>
        <v>#REF!</v>
      </c>
      <c r="CK198" s="65" t="s">
        <v>277</v>
      </c>
      <c r="CL198" s="70" t="e">
        <f t="shared" si="17"/>
        <v>#REF!</v>
      </c>
      <c r="CM198" s="64" t="s">
        <v>267</v>
      </c>
      <c r="CN198" s="122"/>
      <c r="CO198" s="71" t="s">
        <v>268</v>
      </c>
      <c r="CP198" s="73" t="e">
        <f xml:space="preserve"> _xlfn.TEXTJOIN(" ", FALSE,#REF!)</f>
        <v>#REF!</v>
      </c>
      <c r="CQ198" s="122"/>
      <c r="CR198" s="71" t="s">
        <v>269</v>
      </c>
      <c r="CS198" s="73" t="e">
        <f xml:space="preserve"> _xlfn.TEXTJOIN(" ", FALSE,#REF!)</f>
        <v>#REF!</v>
      </c>
      <c r="CT198" s="122"/>
      <c r="CU198" s="71" t="s">
        <v>270</v>
      </c>
      <c r="CV198" s="72" t="e">
        <f xml:space="preserve"> _xlfn.TEXTJOIN(" ", FALSE,#REF!)</f>
        <v>#REF!</v>
      </c>
      <c r="CW198" s="122"/>
      <c r="CX198" s="71" t="s">
        <v>271</v>
      </c>
      <c r="CY198" s="72" t="e">
        <f xml:space="preserve"> _xlfn.TEXTJOIN(" ", FALSE,#REF!)</f>
        <v>#REF!</v>
      </c>
      <c r="CZ198" s="122"/>
      <c r="DA198" s="71" t="s">
        <v>272</v>
      </c>
      <c r="DB198" s="73" t="e">
        <f xml:space="preserve"> _xlfn.TEXTJOIN(" ", FALSE,#REF!)</f>
        <v>#REF!</v>
      </c>
      <c r="DC198" s="65" t="s">
        <v>277</v>
      </c>
      <c r="DD198" s="70" t="e">
        <f t="shared" si="18"/>
        <v>#REF!</v>
      </c>
      <c r="DE198" s="64" t="s">
        <v>273</v>
      </c>
      <c r="DF198" s="122"/>
      <c r="DG198" s="71" t="s">
        <v>274</v>
      </c>
      <c r="DH198" s="72" t="e">
        <f xml:space="preserve"> _xlfn.TEXTJOIN(" ", FALSE,#REF!)</f>
        <v>#REF!</v>
      </c>
      <c r="DI198" s="122"/>
      <c r="DJ198" s="71" t="s">
        <v>275</v>
      </c>
      <c r="DK198" s="73" t="e">
        <f xml:space="preserve"> _xlfn.TEXTJOIN(" ", FALSE,#REF!)</f>
        <v>#REF!</v>
      </c>
      <c r="DL198" s="65" t="s">
        <v>277</v>
      </c>
      <c r="DM198" s="70" t="e">
        <f t="shared" si="19"/>
        <v>#REF!</v>
      </c>
      <c r="DN198" s="70" t="e">
        <f t="shared" si="20"/>
        <v>#REF!</v>
      </c>
    </row>
    <row r="199" spans="1:118" ht="108" customHeight="1">
      <c r="A199" s="122" t="e">
        <f>Summary!A199</f>
        <v>#REF!</v>
      </c>
      <c r="B199" s="64" t="s">
        <v>233</v>
      </c>
      <c r="C199" s="65" t="e">
        <f>Summary!B199</f>
        <v>#REF!</v>
      </c>
      <c r="D199" s="122"/>
      <c r="E199" s="64" t="s">
        <v>235</v>
      </c>
      <c r="F199" s="132" t="e">
        <f>Summary!C199</f>
        <v>#REF!</v>
      </c>
      <c r="G199" s="64" t="s">
        <v>236</v>
      </c>
      <c r="H199" s="132" t="e">
        <f>Summary!D199</f>
        <v>#REF!</v>
      </c>
      <c r="I199" s="64" t="s">
        <v>237</v>
      </c>
      <c r="J199" s="66">
        <f>Summary!E199</f>
        <v>4</v>
      </c>
      <c r="K199" s="64" t="s">
        <v>238</v>
      </c>
      <c r="L199" s="132" t="e">
        <f>Summary!F199</f>
        <v>#REF!</v>
      </c>
      <c r="M199" s="64" t="s">
        <v>239</v>
      </c>
      <c r="N199" s="132" t="e">
        <f>Summary!G199</f>
        <v>#REF!</v>
      </c>
      <c r="O199" s="64" t="s">
        <v>240</v>
      </c>
      <c r="P199" s="132" t="e">
        <f>Summary!H199</f>
        <v>#REF!</v>
      </c>
      <c r="Q199" s="65" t="s">
        <v>277</v>
      </c>
      <c r="R199" s="70" t="e">
        <f t="shared" si="14"/>
        <v>#REF!</v>
      </c>
      <c r="S199" s="64" t="s">
        <v>243</v>
      </c>
      <c r="T199" s="122"/>
      <c r="U199" s="71" t="s">
        <v>244</v>
      </c>
      <c r="V199" s="72" t="e">
        <f xml:space="preserve"> _xlfn.TEXTJOIN(" ", FALSE,#REF!)</f>
        <v>#REF!</v>
      </c>
      <c r="W199" s="122"/>
      <c r="X199" s="71" t="s">
        <v>245</v>
      </c>
      <c r="Y199" s="72" t="e">
        <f xml:space="preserve"> _xlfn.TEXTJOIN(" ", FALSE,#REF!)</f>
        <v>#REF!</v>
      </c>
      <c r="Z199" s="122"/>
      <c r="AA199" s="71" t="s">
        <v>246</v>
      </c>
      <c r="AB199" s="72" t="e">
        <f xml:space="preserve"> _xlfn.TEXTJOIN(" ", FALSE,#REF!)</f>
        <v>#REF!</v>
      </c>
      <c r="AC199" s="122"/>
      <c r="AD199" s="71" t="s">
        <v>247</v>
      </c>
      <c r="AE199" s="72" t="e">
        <f xml:space="preserve"> _xlfn.TEXTJOIN(" ", FALSE,#REF!)</f>
        <v>#REF!</v>
      </c>
      <c r="AF199" s="122"/>
      <c r="AG199" s="71" t="s">
        <v>248</v>
      </c>
      <c r="AH199" s="73" t="e">
        <f xml:space="preserve"> _xlfn.TEXTJOIN(" ", FALSE,#REF!)</f>
        <v>#REF!</v>
      </c>
      <c r="AI199" s="122"/>
      <c r="AJ199" s="71" t="s">
        <v>249</v>
      </c>
      <c r="AK199" s="73" t="e">
        <f xml:space="preserve"> _xlfn.TEXTJOIN(" ", FALSE,#REF!)</f>
        <v>#REF!</v>
      </c>
      <c r="AL199" s="122"/>
      <c r="AM199" s="71" t="s">
        <v>250</v>
      </c>
      <c r="AN199" s="73" t="e">
        <f xml:space="preserve"> _xlfn.TEXTJOIN(" ", FALSE,#REF!)</f>
        <v>#REF!</v>
      </c>
      <c r="AO199" s="122"/>
      <c r="AP199" s="71" t="s">
        <v>251</v>
      </c>
      <c r="AQ199" s="72" t="e">
        <f xml:space="preserve"> _xlfn.TEXTJOIN(" ", FALSE,#REF!)</f>
        <v>#REF!</v>
      </c>
      <c r="AR199" s="122"/>
      <c r="AS199" s="71" t="s">
        <v>252</v>
      </c>
      <c r="AT199" s="72" t="e">
        <f xml:space="preserve"> _xlfn.TEXTJOIN(" ", FALSE,#REF!)</f>
        <v>#REF!</v>
      </c>
      <c r="AU199" s="122"/>
      <c r="AV199" s="71" t="s">
        <v>253</v>
      </c>
      <c r="AW199" s="73" t="e">
        <f xml:space="preserve"> _xlfn.TEXTJOIN(" ", FALSE,#REF!)</f>
        <v>#REF!</v>
      </c>
      <c r="AX199" s="122"/>
      <c r="AY199" s="71" t="s">
        <v>254</v>
      </c>
      <c r="AZ199" s="72" t="e">
        <f xml:space="preserve"> _xlfn.TEXTJOIN(" ", FALSE,#REF!)</f>
        <v>#REF!</v>
      </c>
      <c r="BA199" s="122"/>
      <c r="BB199" s="71" t="s">
        <v>255</v>
      </c>
      <c r="BC199" s="72" t="e">
        <f xml:space="preserve"> _xlfn.TEXTJOIN(" ", FALSE,#REF!)</f>
        <v>#REF!</v>
      </c>
      <c r="BD199" s="122"/>
      <c r="BE199" s="71" t="s">
        <v>256</v>
      </c>
      <c r="BF199" s="72" t="e">
        <f xml:space="preserve"> _xlfn.TEXTJOIN(" ", FALSE,#REF!)</f>
        <v>#REF!</v>
      </c>
      <c r="BG199" s="65" t="s">
        <v>277</v>
      </c>
      <c r="BH199" s="70" t="e">
        <f t="shared" si="15"/>
        <v>#REF!</v>
      </c>
      <c r="BI199" s="64" t="s">
        <v>257</v>
      </c>
      <c r="BJ199" s="122"/>
      <c r="BK199" s="71" t="s">
        <v>258</v>
      </c>
      <c r="BL199" s="74" t="str">
        <f>_xlfn.TEXTJOIN(" ", FALSE, 'Task 2a - Mitigating the Proble'!U199:AC199)</f>
        <v>0 0 0 0 0 1 0 0 The question is about the "how".</v>
      </c>
      <c r="BM199" s="65" t="s">
        <v>277</v>
      </c>
      <c r="BN199" s="70" t="str">
        <f t="shared" si="16"/>
        <v>[Details for Task 2a:]  /Question 12: 0 0 0 0 0 1 0 0 The question is about the "how". .</v>
      </c>
      <c r="BO199" s="64" t="s">
        <v>259</v>
      </c>
      <c r="BP199" s="122"/>
      <c r="BQ199" s="71" t="s">
        <v>260</v>
      </c>
      <c r="BR199" s="73" t="e">
        <f xml:space="preserve"> _xlfn.TEXTJOIN(" ", FALSE,#REF!)</f>
        <v>#REF!</v>
      </c>
      <c r="BS199" s="122"/>
      <c r="BT199" s="71" t="s">
        <v>261</v>
      </c>
      <c r="BU199" s="73" t="e">
        <f xml:space="preserve"> _xlfn.TEXTJOIN(" ", FALSE,#REF!)</f>
        <v>#REF!</v>
      </c>
      <c r="BV199" s="122"/>
      <c r="BW199" s="71" t="s">
        <v>262</v>
      </c>
      <c r="BX199" s="73" t="e">
        <f xml:space="preserve"> _xlfn.TEXTJOIN(" ", FALSE,#REF!)</f>
        <v>#REF!</v>
      </c>
      <c r="BY199" s="122"/>
      <c r="BZ199" s="71" t="s">
        <v>263</v>
      </c>
      <c r="CA199" s="73" t="e">
        <f xml:space="preserve"> _xlfn.TEXTJOIN(" ", FALSE,#REF!)</f>
        <v>#REF!</v>
      </c>
      <c r="CB199" s="122"/>
      <c r="CC199" s="71" t="s">
        <v>264</v>
      </c>
      <c r="CD199" s="73" t="e">
        <f xml:space="preserve"> _xlfn.TEXTJOIN(" ", FALSE,#REF!)</f>
        <v>#REF!</v>
      </c>
      <c r="CE199" s="122"/>
      <c r="CF199" s="71" t="s">
        <v>265</v>
      </c>
      <c r="CG199" s="73" t="e">
        <f xml:space="preserve"> _xlfn.TEXTJOIN(" ", FALSE,#REF!)</f>
        <v>#REF!</v>
      </c>
      <c r="CH199" s="122"/>
      <c r="CI199" s="74" t="s">
        <v>278</v>
      </c>
      <c r="CJ199" s="73" t="e">
        <f xml:space="preserve"> _xlfn.TEXTJOIN(" ", FALSE,#REF!)</f>
        <v>#REF!</v>
      </c>
      <c r="CK199" s="65" t="s">
        <v>277</v>
      </c>
      <c r="CL199" s="70" t="e">
        <f t="shared" si="17"/>
        <v>#REF!</v>
      </c>
      <c r="CM199" s="64" t="s">
        <v>267</v>
      </c>
      <c r="CN199" s="122"/>
      <c r="CO199" s="71" t="s">
        <v>268</v>
      </c>
      <c r="CP199" s="73" t="e">
        <f xml:space="preserve"> _xlfn.TEXTJOIN(" ", FALSE,#REF!)</f>
        <v>#REF!</v>
      </c>
      <c r="CQ199" s="122"/>
      <c r="CR199" s="71" t="s">
        <v>269</v>
      </c>
      <c r="CS199" s="73" t="e">
        <f xml:space="preserve"> _xlfn.TEXTJOIN(" ", FALSE,#REF!)</f>
        <v>#REF!</v>
      </c>
      <c r="CT199" s="122"/>
      <c r="CU199" s="71" t="s">
        <v>270</v>
      </c>
      <c r="CV199" s="72" t="e">
        <f xml:space="preserve"> _xlfn.TEXTJOIN(" ", FALSE,#REF!)</f>
        <v>#REF!</v>
      </c>
      <c r="CW199" s="122"/>
      <c r="CX199" s="71" t="s">
        <v>271</v>
      </c>
      <c r="CY199" s="72" t="e">
        <f xml:space="preserve"> _xlfn.TEXTJOIN(" ", FALSE,#REF!)</f>
        <v>#REF!</v>
      </c>
      <c r="CZ199" s="122"/>
      <c r="DA199" s="71" t="s">
        <v>272</v>
      </c>
      <c r="DB199" s="73" t="e">
        <f xml:space="preserve"> _xlfn.TEXTJOIN(" ", FALSE,#REF!)</f>
        <v>#REF!</v>
      </c>
      <c r="DC199" s="65" t="s">
        <v>277</v>
      </c>
      <c r="DD199" s="70" t="e">
        <f t="shared" si="18"/>
        <v>#REF!</v>
      </c>
      <c r="DE199" s="64" t="s">
        <v>273</v>
      </c>
      <c r="DF199" s="122"/>
      <c r="DG199" s="71" t="s">
        <v>274</v>
      </c>
      <c r="DH199" s="72" t="e">
        <f xml:space="preserve"> _xlfn.TEXTJOIN(" ", FALSE,#REF!)</f>
        <v>#REF!</v>
      </c>
      <c r="DI199" s="122"/>
      <c r="DJ199" s="71" t="s">
        <v>275</v>
      </c>
      <c r="DK199" s="73" t="e">
        <f xml:space="preserve"> _xlfn.TEXTJOIN(" ", FALSE,#REF!)</f>
        <v>#REF!</v>
      </c>
      <c r="DL199" s="65" t="s">
        <v>277</v>
      </c>
      <c r="DM199" s="70" t="e">
        <f t="shared" si="19"/>
        <v>#REF!</v>
      </c>
      <c r="DN199" s="70" t="e">
        <f t="shared" si="20"/>
        <v>#REF!</v>
      </c>
    </row>
    <row r="200" spans="1:118" ht="108" customHeight="1">
      <c r="A200" s="122" t="e">
        <f>Summary!A200</f>
        <v>#REF!</v>
      </c>
      <c r="B200" s="64" t="s">
        <v>233</v>
      </c>
      <c r="C200" s="65" t="e">
        <f>Summary!B200</f>
        <v>#REF!</v>
      </c>
      <c r="D200" s="122"/>
      <c r="E200" s="64" t="s">
        <v>235</v>
      </c>
      <c r="F200" s="132" t="e">
        <f>Summary!C200</f>
        <v>#REF!</v>
      </c>
      <c r="G200" s="64" t="s">
        <v>236</v>
      </c>
      <c r="H200" s="132" t="e">
        <f>Summary!D200</f>
        <v>#REF!</v>
      </c>
      <c r="I200" s="64" t="s">
        <v>237</v>
      </c>
      <c r="J200" s="66">
        <f>Summary!E200</f>
        <v>6</v>
      </c>
      <c r="K200" s="64" t="s">
        <v>238</v>
      </c>
      <c r="L200" s="132" t="e">
        <f>Summary!F200</f>
        <v>#REF!</v>
      </c>
      <c r="M200" s="64" t="s">
        <v>239</v>
      </c>
      <c r="N200" s="132" t="e">
        <f>Summary!G200</f>
        <v>#REF!</v>
      </c>
      <c r="O200" s="64" t="s">
        <v>240</v>
      </c>
      <c r="P200" s="132" t="e">
        <f>Summary!H200</f>
        <v>#REF!</v>
      </c>
      <c r="Q200" s="65" t="s">
        <v>277</v>
      </c>
      <c r="R200" s="70" t="e">
        <f t="shared" ref="R200:R204" si="21">_xlfn.TEXTJOIN(" ", FALSE, B200:Q200)</f>
        <v>#REF!</v>
      </c>
      <c r="S200" s="64" t="s">
        <v>243</v>
      </c>
      <c r="T200" s="122"/>
      <c r="U200" s="71" t="s">
        <v>244</v>
      </c>
      <c r="V200" s="72" t="e">
        <f xml:space="preserve"> _xlfn.TEXTJOIN(" ", FALSE,#REF!)</f>
        <v>#REF!</v>
      </c>
      <c r="W200" s="122"/>
      <c r="X200" s="71" t="s">
        <v>245</v>
      </c>
      <c r="Y200" s="72" t="e">
        <f xml:space="preserve"> _xlfn.TEXTJOIN(" ", FALSE,#REF!)</f>
        <v>#REF!</v>
      </c>
      <c r="Z200" s="122"/>
      <c r="AA200" s="71" t="s">
        <v>246</v>
      </c>
      <c r="AB200" s="72" t="e">
        <f xml:space="preserve"> _xlfn.TEXTJOIN(" ", FALSE,#REF!)</f>
        <v>#REF!</v>
      </c>
      <c r="AC200" s="122"/>
      <c r="AD200" s="71" t="s">
        <v>247</v>
      </c>
      <c r="AE200" s="72" t="e">
        <f xml:space="preserve"> _xlfn.TEXTJOIN(" ", FALSE,#REF!)</f>
        <v>#REF!</v>
      </c>
      <c r="AF200" s="122"/>
      <c r="AG200" s="71" t="s">
        <v>248</v>
      </c>
      <c r="AH200" s="73" t="e">
        <f xml:space="preserve"> _xlfn.TEXTJOIN(" ", FALSE,#REF!)</f>
        <v>#REF!</v>
      </c>
      <c r="AI200" s="122"/>
      <c r="AJ200" s="71" t="s">
        <v>249</v>
      </c>
      <c r="AK200" s="73" t="e">
        <f xml:space="preserve"> _xlfn.TEXTJOIN(" ", FALSE,#REF!)</f>
        <v>#REF!</v>
      </c>
      <c r="AL200" s="122"/>
      <c r="AM200" s="71" t="s">
        <v>250</v>
      </c>
      <c r="AN200" s="73" t="e">
        <f xml:space="preserve"> _xlfn.TEXTJOIN(" ", FALSE,#REF!)</f>
        <v>#REF!</v>
      </c>
      <c r="AO200" s="122"/>
      <c r="AP200" s="71" t="s">
        <v>251</v>
      </c>
      <c r="AQ200" s="72" t="e">
        <f xml:space="preserve"> _xlfn.TEXTJOIN(" ", FALSE,#REF!)</f>
        <v>#REF!</v>
      </c>
      <c r="AR200" s="122"/>
      <c r="AS200" s="71" t="s">
        <v>252</v>
      </c>
      <c r="AT200" s="72" t="e">
        <f xml:space="preserve"> _xlfn.TEXTJOIN(" ", FALSE,#REF!)</f>
        <v>#REF!</v>
      </c>
      <c r="AU200" s="122"/>
      <c r="AV200" s="71" t="s">
        <v>253</v>
      </c>
      <c r="AW200" s="73" t="e">
        <f xml:space="preserve"> _xlfn.TEXTJOIN(" ", FALSE,#REF!)</f>
        <v>#REF!</v>
      </c>
      <c r="AX200" s="122"/>
      <c r="AY200" s="71" t="s">
        <v>254</v>
      </c>
      <c r="AZ200" s="72" t="e">
        <f xml:space="preserve"> _xlfn.TEXTJOIN(" ", FALSE,#REF!)</f>
        <v>#REF!</v>
      </c>
      <c r="BA200" s="122"/>
      <c r="BB200" s="71" t="s">
        <v>255</v>
      </c>
      <c r="BC200" s="72" t="e">
        <f xml:space="preserve"> _xlfn.TEXTJOIN(" ", FALSE,#REF!)</f>
        <v>#REF!</v>
      </c>
      <c r="BD200" s="122"/>
      <c r="BE200" s="71" t="s">
        <v>256</v>
      </c>
      <c r="BF200" s="72" t="e">
        <f xml:space="preserve"> _xlfn.TEXTJOIN(" ", FALSE,#REF!)</f>
        <v>#REF!</v>
      </c>
      <c r="BG200" s="65" t="s">
        <v>277</v>
      </c>
      <c r="BH200" s="70" t="e">
        <f t="shared" ref="BH200:BH204" si="22">_xlfn.TEXTJOIN(" ", FALSE, S200:BG200)</f>
        <v>#REF!</v>
      </c>
      <c r="BI200" s="64" t="s">
        <v>257</v>
      </c>
      <c r="BJ200" s="122"/>
      <c r="BK200" s="71" t="s">
        <v>258</v>
      </c>
      <c r="BL200" s="74" t="str">
        <f>_xlfn.TEXTJOIN(" ", FALSE, 'Task 2a - Mitigating the Proble'!U200:AC200)</f>
        <v>1 1 0 0 0 1 0 1 I like the final point where you demonstrate the equivalence of previous setups with edge cases of this one.</v>
      </c>
      <c r="BM200" s="65" t="s">
        <v>277</v>
      </c>
      <c r="BN200" s="70" t="str">
        <f t="shared" ref="BN200:BN204" si="23">_xlfn.TEXTJOIN(" ", FALSE, BI200:BM200)</f>
        <v>[Details for Task 2a:]  /Question 12: 1 1 0 0 0 1 0 1 I like the final point where you demonstrate the equivalence of previous setups with edge cases of this one. .</v>
      </c>
      <c r="BO200" s="64" t="s">
        <v>259</v>
      </c>
      <c r="BP200" s="122"/>
      <c r="BQ200" s="71" t="s">
        <v>260</v>
      </c>
      <c r="BR200" s="73" t="e">
        <f xml:space="preserve"> _xlfn.TEXTJOIN(" ", FALSE,#REF!)</f>
        <v>#REF!</v>
      </c>
      <c r="BS200" s="122"/>
      <c r="BT200" s="71" t="s">
        <v>261</v>
      </c>
      <c r="BU200" s="73" t="e">
        <f xml:space="preserve"> _xlfn.TEXTJOIN(" ", FALSE,#REF!)</f>
        <v>#REF!</v>
      </c>
      <c r="BV200" s="122"/>
      <c r="BW200" s="71" t="s">
        <v>262</v>
      </c>
      <c r="BX200" s="73" t="e">
        <f xml:space="preserve"> _xlfn.TEXTJOIN(" ", FALSE,#REF!)</f>
        <v>#REF!</v>
      </c>
      <c r="BY200" s="122"/>
      <c r="BZ200" s="71" t="s">
        <v>263</v>
      </c>
      <c r="CA200" s="73" t="e">
        <f xml:space="preserve"> _xlfn.TEXTJOIN(" ", FALSE,#REF!)</f>
        <v>#REF!</v>
      </c>
      <c r="CB200" s="122"/>
      <c r="CC200" s="71" t="s">
        <v>264</v>
      </c>
      <c r="CD200" s="73" t="e">
        <f xml:space="preserve"> _xlfn.TEXTJOIN(" ", FALSE,#REF!)</f>
        <v>#REF!</v>
      </c>
      <c r="CE200" s="122"/>
      <c r="CF200" s="71" t="s">
        <v>265</v>
      </c>
      <c r="CG200" s="73" t="e">
        <f xml:space="preserve"> _xlfn.TEXTJOIN(" ", FALSE,#REF!)</f>
        <v>#REF!</v>
      </c>
      <c r="CH200" s="122"/>
      <c r="CI200" s="74" t="s">
        <v>278</v>
      </c>
      <c r="CJ200" s="73" t="e">
        <f xml:space="preserve"> _xlfn.TEXTJOIN(" ", FALSE,#REF!)</f>
        <v>#REF!</v>
      </c>
      <c r="CK200" s="65" t="s">
        <v>277</v>
      </c>
      <c r="CL200" s="70" t="e">
        <f t="shared" ref="CL200:CL204" si="24">_xlfn.TEXTJOIN(" ", FALSE, BO200:CK200)</f>
        <v>#REF!</v>
      </c>
      <c r="CM200" s="64" t="s">
        <v>267</v>
      </c>
      <c r="CN200" s="122"/>
      <c r="CO200" s="71" t="s">
        <v>268</v>
      </c>
      <c r="CP200" s="73" t="e">
        <f xml:space="preserve"> _xlfn.TEXTJOIN(" ", FALSE,#REF!)</f>
        <v>#REF!</v>
      </c>
      <c r="CQ200" s="122"/>
      <c r="CR200" s="71" t="s">
        <v>269</v>
      </c>
      <c r="CS200" s="73" t="e">
        <f xml:space="preserve"> _xlfn.TEXTJOIN(" ", FALSE,#REF!)</f>
        <v>#REF!</v>
      </c>
      <c r="CT200" s="122"/>
      <c r="CU200" s="71" t="s">
        <v>270</v>
      </c>
      <c r="CV200" s="72" t="e">
        <f xml:space="preserve"> _xlfn.TEXTJOIN(" ", FALSE,#REF!)</f>
        <v>#REF!</v>
      </c>
      <c r="CW200" s="122"/>
      <c r="CX200" s="71" t="s">
        <v>271</v>
      </c>
      <c r="CY200" s="72" t="e">
        <f xml:space="preserve"> _xlfn.TEXTJOIN(" ", FALSE,#REF!)</f>
        <v>#REF!</v>
      </c>
      <c r="CZ200" s="122"/>
      <c r="DA200" s="71" t="s">
        <v>272</v>
      </c>
      <c r="DB200" s="73" t="e">
        <f xml:space="preserve"> _xlfn.TEXTJOIN(" ", FALSE,#REF!)</f>
        <v>#REF!</v>
      </c>
      <c r="DC200" s="65" t="s">
        <v>277</v>
      </c>
      <c r="DD200" s="70" t="e">
        <f t="shared" ref="DD200:DD204" si="25">_xlfn.TEXTJOIN(" ", FALSE, CM200:DC200)</f>
        <v>#REF!</v>
      </c>
      <c r="DE200" s="64" t="s">
        <v>273</v>
      </c>
      <c r="DF200" s="122"/>
      <c r="DG200" s="71" t="s">
        <v>274</v>
      </c>
      <c r="DH200" s="72" t="e">
        <f xml:space="preserve"> _xlfn.TEXTJOIN(" ", FALSE,#REF!)</f>
        <v>#REF!</v>
      </c>
      <c r="DI200" s="122"/>
      <c r="DJ200" s="71" t="s">
        <v>275</v>
      </c>
      <c r="DK200" s="73" t="e">
        <f xml:space="preserve"> _xlfn.TEXTJOIN(" ", FALSE,#REF!)</f>
        <v>#REF!</v>
      </c>
      <c r="DL200" s="65" t="s">
        <v>277</v>
      </c>
      <c r="DM200" s="70" t="e">
        <f t="shared" ref="DM200:DM204" si="26">_xlfn.TEXTJOIN(" ", FALSE, DE200:DL200)</f>
        <v>#REF!</v>
      </c>
      <c r="DN200" s="70" t="e">
        <f t="shared" ref="DN200:DN204" si="27">_xlfn.TEXTJOIN(CHAR(10), FALSE, R200,BH200,BN200,CL200,DD200,DM200)</f>
        <v>#REF!</v>
      </c>
    </row>
    <row r="201" spans="1:118" ht="108" customHeight="1">
      <c r="A201" s="122" t="e">
        <f>Summary!A201</f>
        <v>#REF!</v>
      </c>
      <c r="B201" s="64" t="s">
        <v>233</v>
      </c>
      <c r="C201" s="65" t="e">
        <f>Summary!B201</f>
        <v>#REF!</v>
      </c>
      <c r="D201" s="122"/>
      <c r="E201" s="64" t="s">
        <v>235</v>
      </c>
      <c r="F201" s="132" t="e">
        <f>Summary!C201</f>
        <v>#REF!</v>
      </c>
      <c r="G201" s="64" t="s">
        <v>236</v>
      </c>
      <c r="H201" s="132" t="e">
        <f>Summary!D201</f>
        <v>#REF!</v>
      </c>
      <c r="I201" s="64" t="s">
        <v>237</v>
      </c>
      <c r="J201" s="66">
        <f>Summary!E201</f>
        <v>8</v>
      </c>
      <c r="K201" s="64" t="s">
        <v>238</v>
      </c>
      <c r="L201" s="132" t="e">
        <f>Summary!F201</f>
        <v>#REF!</v>
      </c>
      <c r="M201" s="64" t="s">
        <v>239</v>
      </c>
      <c r="N201" s="132" t="e">
        <f>Summary!G201</f>
        <v>#REF!</v>
      </c>
      <c r="O201" s="64" t="s">
        <v>240</v>
      </c>
      <c r="P201" s="132" t="e">
        <f>Summary!H201</f>
        <v>#REF!</v>
      </c>
      <c r="Q201" s="65" t="s">
        <v>277</v>
      </c>
      <c r="R201" s="70" t="e">
        <f t="shared" si="21"/>
        <v>#REF!</v>
      </c>
      <c r="S201" s="64" t="s">
        <v>243</v>
      </c>
      <c r="T201" s="122"/>
      <c r="U201" s="71" t="s">
        <v>244</v>
      </c>
      <c r="V201" s="72" t="e">
        <f xml:space="preserve"> _xlfn.TEXTJOIN(" ", FALSE,#REF!)</f>
        <v>#REF!</v>
      </c>
      <c r="W201" s="122"/>
      <c r="X201" s="71" t="s">
        <v>245</v>
      </c>
      <c r="Y201" s="72" t="e">
        <f xml:space="preserve"> _xlfn.TEXTJOIN(" ", FALSE,#REF!)</f>
        <v>#REF!</v>
      </c>
      <c r="Z201" s="122"/>
      <c r="AA201" s="71" t="s">
        <v>246</v>
      </c>
      <c r="AB201" s="72" t="e">
        <f xml:space="preserve"> _xlfn.TEXTJOIN(" ", FALSE,#REF!)</f>
        <v>#REF!</v>
      </c>
      <c r="AC201" s="122"/>
      <c r="AD201" s="71" t="s">
        <v>247</v>
      </c>
      <c r="AE201" s="72" t="e">
        <f xml:space="preserve"> _xlfn.TEXTJOIN(" ", FALSE,#REF!)</f>
        <v>#REF!</v>
      </c>
      <c r="AF201" s="122"/>
      <c r="AG201" s="71" t="s">
        <v>248</v>
      </c>
      <c r="AH201" s="73" t="e">
        <f xml:space="preserve"> _xlfn.TEXTJOIN(" ", FALSE,#REF!)</f>
        <v>#REF!</v>
      </c>
      <c r="AI201" s="122"/>
      <c r="AJ201" s="71" t="s">
        <v>249</v>
      </c>
      <c r="AK201" s="73" t="e">
        <f xml:space="preserve"> _xlfn.TEXTJOIN(" ", FALSE,#REF!)</f>
        <v>#REF!</v>
      </c>
      <c r="AL201" s="122"/>
      <c r="AM201" s="71" t="s">
        <v>250</v>
      </c>
      <c r="AN201" s="73" t="e">
        <f xml:space="preserve"> _xlfn.TEXTJOIN(" ", FALSE,#REF!)</f>
        <v>#REF!</v>
      </c>
      <c r="AO201" s="122"/>
      <c r="AP201" s="71" t="s">
        <v>251</v>
      </c>
      <c r="AQ201" s="72" t="e">
        <f xml:space="preserve"> _xlfn.TEXTJOIN(" ", FALSE,#REF!)</f>
        <v>#REF!</v>
      </c>
      <c r="AR201" s="122"/>
      <c r="AS201" s="71" t="s">
        <v>252</v>
      </c>
      <c r="AT201" s="72" t="e">
        <f xml:space="preserve"> _xlfn.TEXTJOIN(" ", FALSE,#REF!)</f>
        <v>#REF!</v>
      </c>
      <c r="AU201" s="122"/>
      <c r="AV201" s="71" t="s">
        <v>253</v>
      </c>
      <c r="AW201" s="73" t="e">
        <f xml:space="preserve"> _xlfn.TEXTJOIN(" ", FALSE,#REF!)</f>
        <v>#REF!</v>
      </c>
      <c r="AX201" s="122"/>
      <c r="AY201" s="71" t="s">
        <v>254</v>
      </c>
      <c r="AZ201" s="72" t="e">
        <f xml:space="preserve"> _xlfn.TEXTJOIN(" ", FALSE,#REF!)</f>
        <v>#REF!</v>
      </c>
      <c r="BA201" s="122"/>
      <c r="BB201" s="71" t="s">
        <v>255</v>
      </c>
      <c r="BC201" s="72" t="e">
        <f xml:space="preserve"> _xlfn.TEXTJOIN(" ", FALSE,#REF!)</f>
        <v>#REF!</v>
      </c>
      <c r="BD201" s="122"/>
      <c r="BE201" s="71" t="s">
        <v>256</v>
      </c>
      <c r="BF201" s="72" t="e">
        <f xml:space="preserve"> _xlfn.TEXTJOIN(" ", FALSE,#REF!)</f>
        <v>#REF!</v>
      </c>
      <c r="BG201" s="65" t="s">
        <v>277</v>
      </c>
      <c r="BH201" s="70" t="e">
        <f t="shared" si="22"/>
        <v>#REF!</v>
      </c>
      <c r="BI201" s="64" t="s">
        <v>257</v>
      </c>
      <c r="BJ201" s="122"/>
      <c r="BK201" s="71" t="s">
        <v>258</v>
      </c>
      <c r="BL201" s="74" t="str">
        <f>_xlfn.TEXTJOIN(" ", FALSE, 'Task 2a - Mitigating the Proble'!U201:AC201)</f>
        <v>1 1 1 1 0 1 0 1 Gives further clarification on benefits (beyond simple combo) with evidence from paper.</v>
      </c>
      <c r="BM201" s="65" t="s">
        <v>277</v>
      </c>
      <c r="BN201" s="70" t="str">
        <f t="shared" si="23"/>
        <v>[Details for Task 2a:]  /Question 12: 1 1 1 1 0 1 0 1 Gives further clarification on benefits (beyond simple combo) with evidence from paper. .</v>
      </c>
      <c r="BO201" s="64" t="s">
        <v>259</v>
      </c>
      <c r="BP201" s="122"/>
      <c r="BQ201" s="71" t="s">
        <v>260</v>
      </c>
      <c r="BR201" s="73" t="e">
        <f xml:space="preserve"> _xlfn.TEXTJOIN(" ", FALSE,#REF!)</f>
        <v>#REF!</v>
      </c>
      <c r="BS201" s="122"/>
      <c r="BT201" s="71" t="s">
        <v>261</v>
      </c>
      <c r="BU201" s="73" t="e">
        <f xml:space="preserve"> _xlfn.TEXTJOIN(" ", FALSE,#REF!)</f>
        <v>#REF!</v>
      </c>
      <c r="BV201" s="122"/>
      <c r="BW201" s="71" t="s">
        <v>262</v>
      </c>
      <c r="BX201" s="73" t="e">
        <f xml:space="preserve"> _xlfn.TEXTJOIN(" ", FALSE,#REF!)</f>
        <v>#REF!</v>
      </c>
      <c r="BY201" s="122"/>
      <c r="BZ201" s="71" t="s">
        <v>263</v>
      </c>
      <c r="CA201" s="73" t="e">
        <f xml:space="preserve"> _xlfn.TEXTJOIN(" ", FALSE,#REF!)</f>
        <v>#REF!</v>
      </c>
      <c r="CB201" s="122"/>
      <c r="CC201" s="71" t="s">
        <v>264</v>
      </c>
      <c r="CD201" s="73" t="e">
        <f xml:space="preserve"> _xlfn.TEXTJOIN(" ", FALSE,#REF!)</f>
        <v>#REF!</v>
      </c>
      <c r="CE201" s="122"/>
      <c r="CF201" s="71" t="s">
        <v>265</v>
      </c>
      <c r="CG201" s="73" t="e">
        <f xml:space="preserve"> _xlfn.TEXTJOIN(" ", FALSE,#REF!)</f>
        <v>#REF!</v>
      </c>
      <c r="CH201" s="122"/>
      <c r="CI201" s="74" t="s">
        <v>278</v>
      </c>
      <c r="CJ201" s="73" t="e">
        <f xml:space="preserve"> _xlfn.TEXTJOIN(" ", FALSE,#REF!)</f>
        <v>#REF!</v>
      </c>
      <c r="CK201" s="65" t="s">
        <v>277</v>
      </c>
      <c r="CL201" s="70" t="e">
        <f t="shared" si="24"/>
        <v>#REF!</v>
      </c>
      <c r="CM201" s="64" t="s">
        <v>267</v>
      </c>
      <c r="CN201" s="122"/>
      <c r="CO201" s="71" t="s">
        <v>268</v>
      </c>
      <c r="CP201" s="73" t="e">
        <f xml:space="preserve"> _xlfn.TEXTJOIN(" ", FALSE,#REF!)</f>
        <v>#REF!</v>
      </c>
      <c r="CQ201" s="122"/>
      <c r="CR201" s="71" t="s">
        <v>269</v>
      </c>
      <c r="CS201" s="73" t="e">
        <f xml:space="preserve"> _xlfn.TEXTJOIN(" ", FALSE,#REF!)</f>
        <v>#REF!</v>
      </c>
      <c r="CT201" s="122"/>
      <c r="CU201" s="71" t="s">
        <v>270</v>
      </c>
      <c r="CV201" s="72" t="e">
        <f xml:space="preserve"> _xlfn.TEXTJOIN(" ", FALSE,#REF!)</f>
        <v>#REF!</v>
      </c>
      <c r="CW201" s="122"/>
      <c r="CX201" s="71" t="s">
        <v>271</v>
      </c>
      <c r="CY201" s="72" t="e">
        <f xml:space="preserve"> _xlfn.TEXTJOIN(" ", FALSE,#REF!)</f>
        <v>#REF!</v>
      </c>
      <c r="CZ201" s="122"/>
      <c r="DA201" s="71" t="s">
        <v>272</v>
      </c>
      <c r="DB201" s="73" t="e">
        <f xml:space="preserve"> _xlfn.TEXTJOIN(" ", FALSE,#REF!)</f>
        <v>#REF!</v>
      </c>
      <c r="DC201" s="65" t="s">
        <v>277</v>
      </c>
      <c r="DD201" s="70" t="e">
        <f t="shared" si="25"/>
        <v>#REF!</v>
      </c>
      <c r="DE201" s="64" t="s">
        <v>273</v>
      </c>
      <c r="DF201" s="122"/>
      <c r="DG201" s="71" t="s">
        <v>274</v>
      </c>
      <c r="DH201" s="72" t="e">
        <f xml:space="preserve"> _xlfn.TEXTJOIN(" ", FALSE,#REF!)</f>
        <v>#REF!</v>
      </c>
      <c r="DI201" s="122"/>
      <c r="DJ201" s="71" t="s">
        <v>275</v>
      </c>
      <c r="DK201" s="73" t="e">
        <f xml:space="preserve"> _xlfn.TEXTJOIN(" ", FALSE,#REF!)</f>
        <v>#REF!</v>
      </c>
      <c r="DL201" s="65" t="s">
        <v>277</v>
      </c>
      <c r="DM201" s="70" t="e">
        <f t="shared" si="26"/>
        <v>#REF!</v>
      </c>
      <c r="DN201" s="70" t="e">
        <f t="shared" si="27"/>
        <v>#REF!</v>
      </c>
    </row>
    <row r="202" spans="1:118" ht="108" customHeight="1">
      <c r="A202" s="122" t="e">
        <f>Summary!A202</f>
        <v>#REF!</v>
      </c>
      <c r="B202" s="64" t="s">
        <v>233</v>
      </c>
      <c r="C202" s="65" t="e">
        <f>Summary!B202</f>
        <v>#REF!</v>
      </c>
      <c r="D202" s="122"/>
      <c r="E202" s="64" t="s">
        <v>235</v>
      </c>
      <c r="F202" s="132" t="e">
        <f>Summary!C202</f>
        <v>#REF!</v>
      </c>
      <c r="G202" s="64" t="s">
        <v>236</v>
      </c>
      <c r="H202" s="132" t="e">
        <f>Summary!D202</f>
        <v>#REF!</v>
      </c>
      <c r="I202" s="64" t="s">
        <v>237</v>
      </c>
      <c r="J202" s="66">
        <f>Summary!E202</f>
        <v>6</v>
      </c>
      <c r="K202" s="64" t="s">
        <v>238</v>
      </c>
      <c r="L202" s="132" t="e">
        <f>Summary!F202</f>
        <v>#REF!</v>
      </c>
      <c r="M202" s="64" t="s">
        <v>239</v>
      </c>
      <c r="N202" s="132" t="e">
        <f>Summary!G202</f>
        <v>#REF!</v>
      </c>
      <c r="O202" s="64" t="s">
        <v>240</v>
      </c>
      <c r="P202" s="132" t="e">
        <f>Summary!H202</f>
        <v>#REF!</v>
      </c>
      <c r="Q202" s="65" t="s">
        <v>277</v>
      </c>
      <c r="R202" s="70" t="e">
        <f t="shared" si="21"/>
        <v>#REF!</v>
      </c>
      <c r="S202" s="64" t="s">
        <v>243</v>
      </c>
      <c r="T202" s="122"/>
      <c r="U202" s="71" t="s">
        <v>244</v>
      </c>
      <c r="V202" s="72" t="e">
        <f xml:space="preserve"> _xlfn.TEXTJOIN(" ", FALSE,#REF!)</f>
        <v>#REF!</v>
      </c>
      <c r="W202" s="122"/>
      <c r="X202" s="71" t="s">
        <v>245</v>
      </c>
      <c r="Y202" s="72" t="e">
        <f xml:space="preserve"> _xlfn.TEXTJOIN(" ", FALSE,#REF!)</f>
        <v>#REF!</v>
      </c>
      <c r="Z202" s="122"/>
      <c r="AA202" s="71" t="s">
        <v>246</v>
      </c>
      <c r="AB202" s="72" t="e">
        <f xml:space="preserve"> _xlfn.TEXTJOIN(" ", FALSE,#REF!)</f>
        <v>#REF!</v>
      </c>
      <c r="AC202" s="122"/>
      <c r="AD202" s="71" t="s">
        <v>247</v>
      </c>
      <c r="AE202" s="72" t="e">
        <f xml:space="preserve"> _xlfn.TEXTJOIN(" ", FALSE,#REF!)</f>
        <v>#REF!</v>
      </c>
      <c r="AF202" s="122"/>
      <c r="AG202" s="71" t="s">
        <v>248</v>
      </c>
      <c r="AH202" s="73" t="e">
        <f xml:space="preserve"> _xlfn.TEXTJOIN(" ", FALSE,#REF!)</f>
        <v>#REF!</v>
      </c>
      <c r="AI202" s="122"/>
      <c r="AJ202" s="71" t="s">
        <v>249</v>
      </c>
      <c r="AK202" s="73" t="e">
        <f xml:space="preserve"> _xlfn.TEXTJOIN(" ", FALSE,#REF!)</f>
        <v>#REF!</v>
      </c>
      <c r="AL202" s="122"/>
      <c r="AM202" s="71" t="s">
        <v>250</v>
      </c>
      <c r="AN202" s="73" t="e">
        <f xml:space="preserve"> _xlfn.TEXTJOIN(" ", FALSE,#REF!)</f>
        <v>#REF!</v>
      </c>
      <c r="AO202" s="122"/>
      <c r="AP202" s="71" t="s">
        <v>251</v>
      </c>
      <c r="AQ202" s="72" t="e">
        <f xml:space="preserve"> _xlfn.TEXTJOIN(" ", FALSE,#REF!)</f>
        <v>#REF!</v>
      </c>
      <c r="AR202" s="122"/>
      <c r="AS202" s="71" t="s">
        <v>252</v>
      </c>
      <c r="AT202" s="72" t="e">
        <f xml:space="preserve"> _xlfn.TEXTJOIN(" ", FALSE,#REF!)</f>
        <v>#REF!</v>
      </c>
      <c r="AU202" s="122"/>
      <c r="AV202" s="71" t="s">
        <v>253</v>
      </c>
      <c r="AW202" s="73" t="e">
        <f xml:space="preserve"> _xlfn.TEXTJOIN(" ", FALSE,#REF!)</f>
        <v>#REF!</v>
      </c>
      <c r="AX202" s="122"/>
      <c r="AY202" s="71" t="s">
        <v>254</v>
      </c>
      <c r="AZ202" s="72" t="e">
        <f xml:space="preserve"> _xlfn.TEXTJOIN(" ", FALSE,#REF!)</f>
        <v>#REF!</v>
      </c>
      <c r="BA202" s="122"/>
      <c r="BB202" s="71" t="s">
        <v>255</v>
      </c>
      <c r="BC202" s="72" t="e">
        <f xml:space="preserve"> _xlfn.TEXTJOIN(" ", FALSE,#REF!)</f>
        <v>#REF!</v>
      </c>
      <c r="BD202" s="122"/>
      <c r="BE202" s="71" t="s">
        <v>256</v>
      </c>
      <c r="BF202" s="72" t="e">
        <f xml:space="preserve"> _xlfn.TEXTJOIN(" ", FALSE,#REF!)</f>
        <v>#REF!</v>
      </c>
      <c r="BG202" s="65" t="s">
        <v>277</v>
      </c>
      <c r="BH202" s="70" t="e">
        <f t="shared" si="22"/>
        <v>#REF!</v>
      </c>
      <c r="BI202" s="64" t="s">
        <v>257</v>
      </c>
      <c r="BJ202" s="122"/>
      <c r="BK202" s="71" t="s">
        <v>258</v>
      </c>
      <c r="BL202" s="74" t="str">
        <f>_xlfn.TEXTJOIN(" ", FALSE, 'Task 2a - Mitigating the Proble'!U202:AC202)</f>
        <v xml:space="preserve">1 0 1 0 1 1 0 0 </v>
      </c>
      <c r="BM202" s="65" t="s">
        <v>277</v>
      </c>
      <c r="BN202" s="70" t="str">
        <f t="shared" si="23"/>
        <v>[Details for Task 2a:]  /Question 12: 1 0 1 0 1 1 0 0  .</v>
      </c>
      <c r="BO202" s="64" t="s">
        <v>259</v>
      </c>
      <c r="BP202" s="122"/>
      <c r="BQ202" s="71" t="s">
        <v>260</v>
      </c>
      <c r="BR202" s="73" t="e">
        <f xml:space="preserve"> _xlfn.TEXTJOIN(" ", FALSE,#REF!)</f>
        <v>#REF!</v>
      </c>
      <c r="BS202" s="122"/>
      <c r="BT202" s="71" t="s">
        <v>261</v>
      </c>
      <c r="BU202" s="73" t="e">
        <f xml:space="preserve"> _xlfn.TEXTJOIN(" ", FALSE,#REF!)</f>
        <v>#REF!</v>
      </c>
      <c r="BV202" s="122"/>
      <c r="BW202" s="71" t="s">
        <v>262</v>
      </c>
      <c r="BX202" s="73" t="e">
        <f xml:space="preserve"> _xlfn.TEXTJOIN(" ", FALSE,#REF!)</f>
        <v>#REF!</v>
      </c>
      <c r="BY202" s="122"/>
      <c r="BZ202" s="71" t="s">
        <v>263</v>
      </c>
      <c r="CA202" s="73" t="e">
        <f xml:space="preserve"> _xlfn.TEXTJOIN(" ", FALSE,#REF!)</f>
        <v>#REF!</v>
      </c>
      <c r="CB202" s="122"/>
      <c r="CC202" s="71" t="s">
        <v>264</v>
      </c>
      <c r="CD202" s="73" t="e">
        <f xml:space="preserve"> _xlfn.TEXTJOIN(" ", FALSE,#REF!)</f>
        <v>#REF!</v>
      </c>
      <c r="CE202" s="122"/>
      <c r="CF202" s="71" t="s">
        <v>265</v>
      </c>
      <c r="CG202" s="73" t="e">
        <f xml:space="preserve"> _xlfn.TEXTJOIN(" ", FALSE,#REF!)</f>
        <v>#REF!</v>
      </c>
      <c r="CH202" s="122"/>
      <c r="CI202" s="74" t="s">
        <v>278</v>
      </c>
      <c r="CJ202" s="73" t="e">
        <f xml:space="preserve"> _xlfn.TEXTJOIN(" ", FALSE,#REF!)</f>
        <v>#REF!</v>
      </c>
      <c r="CK202" s="65" t="s">
        <v>277</v>
      </c>
      <c r="CL202" s="70" t="e">
        <f t="shared" si="24"/>
        <v>#REF!</v>
      </c>
      <c r="CM202" s="64" t="s">
        <v>267</v>
      </c>
      <c r="CN202" s="122"/>
      <c r="CO202" s="71" t="s">
        <v>268</v>
      </c>
      <c r="CP202" s="73" t="e">
        <f xml:space="preserve"> _xlfn.TEXTJOIN(" ", FALSE,#REF!)</f>
        <v>#REF!</v>
      </c>
      <c r="CQ202" s="122"/>
      <c r="CR202" s="71" t="s">
        <v>269</v>
      </c>
      <c r="CS202" s="73" t="e">
        <f xml:space="preserve"> _xlfn.TEXTJOIN(" ", FALSE,#REF!)</f>
        <v>#REF!</v>
      </c>
      <c r="CT202" s="122"/>
      <c r="CU202" s="71" t="s">
        <v>270</v>
      </c>
      <c r="CV202" s="72" t="e">
        <f xml:space="preserve"> _xlfn.TEXTJOIN(" ", FALSE,#REF!)</f>
        <v>#REF!</v>
      </c>
      <c r="CW202" s="122"/>
      <c r="CX202" s="71" t="s">
        <v>271</v>
      </c>
      <c r="CY202" s="72" t="e">
        <f xml:space="preserve"> _xlfn.TEXTJOIN(" ", FALSE,#REF!)</f>
        <v>#REF!</v>
      </c>
      <c r="CZ202" s="122"/>
      <c r="DA202" s="71" t="s">
        <v>272</v>
      </c>
      <c r="DB202" s="73" t="e">
        <f xml:space="preserve"> _xlfn.TEXTJOIN(" ", FALSE,#REF!)</f>
        <v>#REF!</v>
      </c>
      <c r="DC202" s="65" t="s">
        <v>277</v>
      </c>
      <c r="DD202" s="70" t="e">
        <f t="shared" si="25"/>
        <v>#REF!</v>
      </c>
      <c r="DE202" s="64" t="s">
        <v>273</v>
      </c>
      <c r="DF202" s="122"/>
      <c r="DG202" s="71" t="s">
        <v>274</v>
      </c>
      <c r="DH202" s="72" t="e">
        <f xml:space="preserve"> _xlfn.TEXTJOIN(" ", FALSE,#REF!)</f>
        <v>#REF!</v>
      </c>
      <c r="DI202" s="122"/>
      <c r="DJ202" s="71" t="s">
        <v>275</v>
      </c>
      <c r="DK202" s="73" t="e">
        <f xml:space="preserve"> _xlfn.TEXTJOIN(" ", FALSE,#REF!)</f>
        <v>#REF!</v>
      </c>
      <c r="DL202" s="65" t="s">
        <v>277</v>
      </c>
      <c r="DM202" s="70" t="e">
        <f t="shared" si="26"/>
        <v>#REF!</v>
      </c>
      <c r="DN202" s="70" t="e">
        <f t="shared" si="27"/>
        <v>#REF!</v>
      </c>
    </row>
    <row r="203" spans="1:118" ht="108" customHeight="1">
      <c r="A203" s="122" t="e">
        <f>Summary!A203</f>
        <v>#REF!</v>
      </c>
      <c r="B203" s="64" t="s">
        <v>233</v>
      </c>
      <c r="C203" s="65" t="e">
        <f>Summary!B203</f>
        <v>#REF!</v>
      </c>
      <c r="D203" s="122"/>
      <c r="E203" s="64" t="s">
        <v>235</v>
      </c>
      <c r="F203" s="132" t="e">
        <f>Summary!C203</f>
        <v>#REF!</v>
      </c>
      <c r="G203" s="64" t="s">
        <v>236</v>
      </c>
      <c r="H203" s="132" t="e">
        <f>Summary!D203</f>
        <v>#REF!</v>
      </c>
      <c r="I203" s="64" t="s">
        <v>237</v>
      </c>
      <c r="J203" s="66">
        <f>Summary!E203</f>
        <v>6</v>
      </c>
      <c r="K203" s="64" t="s">
        <v>238</v>
      </c>
      <c r="L203" s="132" t="e">
        <f>Summary!F203</f>
        <v>#REF!</v>
      </c>
      <c r="M203" s="64" t="s">
        <v>239</v>
      </c>
      <c r="N203" s="132" t="e">
        <f>Summary!G203</f>
        <v>#REF!</v>
      </c>
      <c r="O203" s="64" t="s">
        <v>240</v>
      </c>
      <c r="P203" s="132" t="e">
        <f>Summary!H203</f>
        <v>#REF!</v>
      </c>
      <c r="Q203" s="65" t="s">
        <v>277</v>
      </c>
      <c r="R203" s="70" t="e">
        <f t="shared" si="21"/>
        <v>#REF!</v>
      </c>
      <c r="S203" s="64" t="s">
        <v>243</v>
      </c>
      <c r="T203" s="122"/>
      <c r="U203" s="71" t="s">
        <v>244</v>
      </c>
      <c r="V203" s="72" t="e">
        <f xml:space="preserve"> _xlfn.TEXTJOIN(" ", FALSE,#REF!)</f>
        <v>#REF!</v>
      </c>
      <c r="W203" s="122"/>
      <c r="X203" s="71" t="s">
        <v>245</v>
      </c>
      <c r="Y203" s="72" t="e">
        <f xml:space="preserve"> _xlfn.TEXTJOIN(" ", FALSE,#REF!)</f>
        <v>#REF!</v>
      </c>
      <c r="Z203" s="122"/>
      <c r="AA203" s="71" t="s">
        <v>246</v>
      </c>
      <c r="AB203" s="72" t="e">
        <f xml:space="preserve"> _xlfn.TEXTJOIN(" ", FALSE,#REF!)</f>
        <v>#REF!</v>
      </c>
      <c r="AC203" s="122"/>
      <c r="AD203" s="71" t="s">
        <v>247</v>
      </c>
      <c r="AE203" s="72" t="e">
        <f xml:space="preserve"> _xlfn.TEXTJOIN(" ", FALSE,#REF!)</f>
        <v>#REF!</v>
      </c>
      <c r="AF203" s="122"/>
      <c r="AG203" s="71" t="s">
        <v>248</v>
      </c>
      <c r="AH203" s="73" t="e">
        <f xml:space="preserve"> _xlfn.TEXTJOIN(" ", FALSE,#REF!)</f>
        <v>#REF!</v>
      </c>
      <c r="AI203" s="122"/>
      <c r="AJ203" s="71" t="s">
        <v>249</v>
      </c>
      <c r="AK203" s="73" t="e">
        <f xml:space="preserve"> _xlfn.TEXTJOIN(" ", FALSE,#REF!)</f>
        <v>#REF!</v>
      </c>
      <c r="AL203" s="122"/>
      <c r="AM203" s="71" t="s">
        <v>250</v>
      </c>
      <c r="AN203" s="73" t="e">
        <f xml:space="preserve"> _xlfn.TEXTJOIN(" ", FALSE,#REF!)</f>
        <v>#REF!</v>
      </c>
      <c r="AO203" s="122"/>
      <c r="AP203" s="71" t="s">
        <v>251</v>
      </c>
      <c r="AQ203" s="72" t="e">
        <f xml:space="preserve"> _xlfn.TEXTJOIN(" ", FALSE,#REF!)</f>
        <v>#REF!</v>
      </c>
      <c r="AR203" s="122"/>
      <c r="AS203" s="71" t="s">
        <v>252</v>
      </c>
      <c r="AT203" s="72" t="e">
        <f xml:space="preserve"> _xlfn.TEXTJOIN(" ", FALSE,#REF!)</f>
        <v>#REF!</v>
      </c>
      <c r="AU203" s="122"/>
      <c r="AV203" s="71" t="s">
        <v>253</v>
      </c>
      <c r="AW203" s="73" t="e">
        <f xml:space="preserve"> _xlfn.TEXTJOIN(" ", FALSE,#REF!)</f>
        <v>#REF!</v>
      </c>
      <c r="AX203" s="122"/>
      <c r="AY203" s="71" t="s">
        <v>254</v>
      </c>
      <c r="AZ203" s="72" t="e">
        <f xml:space="preserve"> _xlfn.TEXTJOIN(" ", FALSE,#REF!)</f>
        <v>#REF!</v>
      </c>
      <c r="BA203" s="122"/>
      <c r="BB203" s="71" t="s">
        <v>255</v>
      </c>
      <c r="BC203" s="72" t="e">
        <f xml:space="preserve"> _xlfn.TEXTJOIN(" ", FALSE,#REF!)</f>
        <v>#REF!</v>
      </c>
      <c r="BD203" s="122"/>
      <c r="BE203" s="71" t="s">
        <v>256</v>
      </c>
      <c r="BF203" s="72" t="e">
        <f xml:space="preserve"> _xlfn.TEXTJOIN(" ", FALSE,#REF!)</f>
        <v>#REF!</v>
      </c>
      <c r="BG203" s="65" t="s">
        <v>277</v>
      </c>
      <c r="BH203" s="70" t="e">
        <f t="shared" si="22"/>
        <v>#REF!</v>
      </c>
      <c r="BI203" s="64" t="s">
        <v>257</v>
      </c>
      <c r="BJ203" s="122"/>
      <c r="BK203" s="71" t="s">
        <v>258</v>
      </c>
      <c r="BL203" s="74" t="str">
        <f>_xlfn.TEXTJOIN(" ", FALSE, 'Task 2a - Mitigating the Proble'!U203:AC203)</f>
        <v xml:space="preserve">1 0 1 1 0 1 0 0 </v>
      </c>
      <c r="BM203" s="65" t="s">
        <v>277</v>
      </c>
      <c r="BN203" s="70" t="str">
        <f t="shared" si="23"/>
        <v>[Details for Task 2a:]  /Question 12: 1 0 1 1 0 1 0 0  .</v>
      </c>
      <c r="BO203" s="64" t="s">
        <v>259</v>
      </c>
      <c r="BP203" s="122"/>
      <c r="BQ203" s="71" t="s">
        <v>260</v>
      </c>
      <c r="BR203" s="73" t="e">
        <f xml:space="preserve"> _xlfn.TEXTJOIN(" ", FALSE,#REF!)</f>
        <v>#REF!</v>
      </c>
      <c r="BS203" s="122"/>
      <c r="BT203" s="71" t="s">
        <v>261</v>
      </c>
      <c r="BU203" s="73" t="e">
        <f xml:space="preserve"> _xlfn.TEXTJOIN(" ", FALSE,#REF!)</f>
        <v>#REF!</v>
      </c>
      <c r="BV203" s="122"/>
      <c r="BW203" s="71" t="s">
        <v>262</v>
      </c>
      <c r="BX203" s="73" t="e">
        <f xml:space="preserve"> _xlfn.TEXTJOIN(" ", FALSE,#REF!)</f>
        <v>#REF!</v>
      </c>
      <c r="BY203" s="122"/>
      <c r="BZ203" s="71" t="s">
        <v>263</v>
      </c>
      <c r="CA203" s="73" t="e">
        <f xml:space="preserve"> _xlfn.TEXTJOIN(" ", FALSE,#REF!)</f>
        <v>#REF!</v>
      </c>
      <c r="CB203" s="122"/>
      <c r="CC203" s="71" t="s">
        <v>264</v>
      </c>
      <c r="CD203" s="73" t="e">
        <f xml:space="preserve"> _xlfn.TEXTJOIN(" ", FALSE,#REF!)</f>
        <v>#REF!</v>
      </c>
      <c r="CE203" s="122"/>
      <c r="CF203" s="71" t="s">
        <v>265</v>
      </c>
      <c r="CG203" s="73" t="e">
        <f xml:space="preserve"> _xlfn.TEXTJOIN(" ", FALSE,#REF!)</f>
        <v>#REF!</v>
      </c>
      <c r="CH203" s="122"/>
      <c r="CI203" s="74" t="s">
        <v>278</v>
      </c>
      <c r="CJ203" s="73" t="e">
        <f xml:space="preserve"> _xlfn.TEXTJOIN(" ", FALSE,#REF!)</f>
        <v>#REF!</v>
      </c>
      <c r="CK203" s="65" t="s">
        <v>277</v>
      </c>
      <c r="CL203" s="70" t="e">
        <f t="shared" si="24"/>
        <v>#REF!</v>
      </c>
      <c r="CM203" s="64" t="s">
        <v>267</v>
      </c>
      <c r="CN203" s="122"/>
      <c r="CO203" s="71" t="s">
        <v>268</v>
      </c>
      <c r="CP203" s="73" t="e">
        <f xml:space="preserve"> _xlfn.TEXTJOIN(" ", FALSE,#REF!)</f>
        <v>#REF!</v>
      </c>
      <c r="CQ203" s="122"/>
      <c r="CR203" s="71" t="s">
        <v>269</v>
      </c>
      <c r="CS203" s="73" t="e">
        <f xml:space="preserve"> _xlfn.TEXTJOIN(" ", FALSE,#REF!)</f>
        <v>#REF!</v>
      </c>
      <c r="CT203" s="122"/>
      <c r="CU203" s="71" t="s">
        <v>270</v>
      </c>
      <c r="CV203" s="72" t="e">
        <f xml:space="preserve"> _xlfn.TEXTJOIN(" ", FALSE,#REF!)</f>
        <v>#REF!</v>
      </c>
      <c r="CW203" s="122"/>
      <c r="CX203" s="71" t="s">
        <v>271</v>
      </c>
      <c r="CY203" s="72" t="e">
        <f xml:space="preserve"> _xlfn.TEXTJOIN(" ", FALSE,#REF!)</f>
        <v>#REF!</v>
      </c>
      <c r="CZ203" s="122"/>
      <c r="DA203" s="71" t="s">
        <v>272</v>
      </c>
      <c r="DB203" s="73" t="e">
        <f xml:space="preserve"> _xlfn.TEXTJOIN(" ", FALSE,#REF!)</f>
        <v>#REF!</v>
      </c>
      <c r="DC203" s="65" t="s">
        <v>277</v>
      </c>
      <c r="DD203" s="70" t="e">
        <f t="shared" si="25"/>
        <v>#REF!</v>
      </c>
      <c r="DE203" s="64" t="s">
        <v>273</v>
      </c>
      <c r="DF203" s="122"/>
      <c r="DG203" s="71" t="s">
        <v>274</v>
      </c>
      <c r="DH203" s="72" t="e">
        <f xml:space="preserve"> _xlfn.TEXTJOIN(" ", FALSE,#REF!)</f>
        <v>#REF!</v>
      </c>
      <c r="DI203" s="122"/>
      <c r="DJ203" s="71" t="s">
        <v>275</v>
      </c>
      <c r="DK203" s="73" t="e">
        <f xml:space="preserve"> _xlfn.TEXTJOIN(" ", FALSE,#REF!)</f>
        <v>#REF!</v>
      </c>
      <c r="DL203" s="65" t="s">
        <v>277</v>
      </c>
      <c r="DM203" s="70" t="e">
        <f t="shared" si="26"/>
        <v>#REF!</v>
      </c>
      <c r="DN203" s="70" t="e">
        <f t="shared" si="27"/>
        <v>#REF!</v>
      </c>
    </row>
    <row r="204" spans="1:118" ht="108" customHeight="1">
      <c r="A204" s="122" t="e">
        <f>Summary!A204</f>
        <v>#REF!</v>
      </c>
      <c r="B204" s="64" t="s">
        <v>233</v>
      </c>
      <c r="C204" s="65" t="e">
        <f>Summary!B204</f>
        <v>#REF!</v>
      </c>
      <c r="D204" s="122"/>
      <c r="E204" s="64" t="s">
        <v>235</v>
      </c>
      <c r="F204" s="132" t="e">
        <f>Summary!C204</f>
        <v>#REF!</v>
      </c>
      <c r="G204" s="64" t="s">
        <v>236</v>
      </c>
      <c r="H204" s="132" t="e">
        <f>Summary!D204</f>
        <v>#REF!</v>
      </c>
      <c r="I204" s="64" t="s">
        <v>237</v>
      </c>
      <c r="J204" s="66">
        <f>Summary!E204</f>
        <v>5</v>
      </c>
      <c r="K204" s="64" t="s">
        <v>238</v>
      </c>
      <c r="L204" s="132" t="e">
        <f>Summary!F204</f>
        <v>#REF!</v>
      </c>
      <c r="M204" s="64" t="s">
        <v>239</v>
      </c>
      <c r="N204" s="132" t="e">
        <f>Summary!G204</f>
        <v>#REF!</v>
      </c>
      <c r="O204" s="64" t="s">
        <v>240</v>
      </c>
      <c r="P204" s="132" t="e">
        <f>Summary!H204</f>
        <v>#REF!</v>
      </c>
      <c r="Q204" s="65" t="s">
        <v>277</v>
      </c>
      <c r="R204" s="70" t="e">
        <f t="shared" si="21"/>
        <v>#REF!</v>
      </c>
      <c r="S204" s="64" t="s">
        <v>243</v>
      </c>
      <c r="T204" s="122"/>
      <c r="U204" s="71" t="s">
        <v>244</v>
      </c>
      <c r="V204" s="72" t="e">
        <f xml:space="preserve"> _xlfn.TEXTJOIN(" ", FALSE,#REF!)</f>
        <v>#REF!</v>
      </c>
      <c r="W204" s="122"/>
      <c r="X204" s="71" t="s">
        <v>245</v>
      </c>
      <c r="Y204" s="72" t="e">
        <f xml:space="preserve"> _xlfn.TEXTJOIN(" ", FALSE,#REF!)</f>
        <v>#REF!</v>
      </c>
      <c r="Z204" s="122"/>
      <c r="AA204" s="71" t="s">
        <v>246</v>
      </c>
      <c r="AB204" s="72" t="e">
        <f xml:space="preserve"> _xlfn.TEXTJOIN(" ", FALSE,#REF!)</f>
        <v>#REF!</v>
      </c>
      <c r="AC204" s="122"/>
      <c r="AD204" s="71" t="s">
        <v>247</v>
      </c>
      <c r="AE204" s="72" t="e">
        <f xml:space="preserve"> _xlfn.TEXTJOIN(" ", FALSE,#REF!)</f>
        <v>#REF!</v>
      </c>
      <c r="AF204" s="122"/>
      <c r="AG204" s="71" t="s">
        <v>248</v>
      </c>
      <c r="AH204" s="73" t="e">
        <f xml:space="preserve"> _xlfn.TEXTJOIN(" ", FALSE,#REF!)</f>
        <v>#REF!</v>
      </c>
      <c r="AI204" s="122"/>
      <c r="AJ204" s="71" t="s">
        <v>249</v>
      </c>
      <c r="AK204" s="73" t="e">
        <f xml:space="preserve"> _xlfn.TEXTJOIN(" ", FALSE,#REF!)</f>
        <v>#REF!</v>
      </c>
      <c r="AL204" s="122"/>
      <c r="AM204" s="71" t="s">
        <v>250</v>
      </c>
      <c r="AN204" s="73" t="e">
        <f xml:space="preserve"> _xlfn.TEXTJOIN(" ", FALSE,#REF!)</f>
        <v>#REF!</v>
      </c>
      <c r="AO204" s="122"/>
      <c r="AP204" s="71" t="s">
        <v>251</v>
      </c>
      <c r="AQ204" s="72" t="e">
        <f xml:space="preserve"> _xlfn.TEXTJOIN(" ", FALSE,#REF!)</f>
        <v>#REF!</v>
      </c>
      <c r="AR204" s="122"/>
      <c r="AS204" s="71" t="s">
        <v>252</v>
      </c>
      <c r="AT204" s="72" t="e">
        <f xml:space="preserve"> _xlfn.TEXTJOIN(" ", FALSE,#REF!)</f>
        <v>#REF!</v>
      </c>
      <c r="AU204" s="122"/>
      <c r="AV204" s="71" t="s">
        <v>253</v>
      </c>
      <c r="AW204" s="73" t="e">
        <f xml:space="preserve"> _xlfn.TEXTJOIN(" ", FALSE,#REF!)</f>
        <v>#REF!</v>
      </c>
      <c r="AX204" s="122"/>
      <c r="AY204" s="71" t="s">
        <v>254</v>
      </c>
      <c r="AZ204" s="72" t="e">
        <f xml:space="preserve"> _xlfn.TEXTJOIN(" ", FALSE,#REF!)</f>
        <v>#REF!</v>
      </c>
      <c r="BA204" s="122"/>
      <c r="BB204" s="71" t="s">
        <v>255</v>
      </c>
      <c r="BC204" s="72" t="e">
        <f xml:space="preserve"> _xlfn.TEXTJOIN(" ", FALSE,#REF!)</f>
        <v>#REF!</v>
      </c>
      <c r="BD204" s="122"/>
      <c r="BE204" s="71" t="s">
        <v>256</v>
      </c>
      <c r="BF204" s="72" t="e">
        <f xml:space="preserve"> _xlfn.TEXTJOIN(" ", FALSE,#REF!)</f>
        <v>#REF!</v>
      </c>
      <c r="BG204" s="65" t="s">
        <v>277</v>
      </c>
      <c r="BH204" s="70" t="e">
        <f t="shared" si="22"/>
        <v>#REF!</v>
      </c>
      <c r="BI204" s="64" t="s">
        <v>257</v>
      </c>
      <c r="BJ204" s="122"/>
      <c r="BK204" s="71" t="s">
        <v>258</v>
      </c>
      <c r="BL204" s="74" t="str">
        <f>_xlfn.TEXTJOIN(" ", FALSE, 'Task 2a - Mitigating the Proble'!U204:AC204)</f>
        <v>0 0 0 0 0 1 1 0 The question is about "how" one can combine these. The metaphor did not add to the argument.</v>
      </c>
      <c r="BM204" s="65" t="s">
        <v>277</v>
      </c>
      <c r="BN204" s="70" t="str">
        <f t="shared" si="23"/>
        <v>[Details for Task 2a:]  /Question 12: 0 0 0 0 0 1 1 0 The question is about "how" one can combine these. The metaphor did not add to the argument. .</v>
      </c>
      <c r="BO204" s="64" t="s">
        <v>259</v>
      </c>
      <c r="BP204" s="122"/>
      <c r="BQ204" s="71" t="s">
        <v>260</v>
      </c>
      <c r="BR204" s="73" t="e">
        <f xml:space="preserve"> _xlfn.TEXTJOIN(" ", FALSE,#REF!)</f>
        <v>#REF!</v>
      </c>
      <c r="BS204" s="122"/>
      <c r="BT204" s="71" t="s">
        <v>261</v>
      </c>
      <c r="BU204" s="73" t="e">
        <f xml:space="preserve"> _xlfn.TEXTJOIN(" ", FALSE,#REF!)</f>
        <v>#REF!</v>
      </c>
      <c r="BV204" s="122"/>
      <c r="BW204" s="71" t="s">
        <v>262</v>
      </c>
      <c r="BX204" s="73" t="e">
        <f xml:space="preserve"> _xlfn.TEXTJOIN(" ", FALSE,#REF!)</f>
        <v>#REF!</v>
      </c>
      <c r="BY204" s="122"/>
      <c r="BZ204" s="71" t="s">
        <v>263</v>
      </c>
      <c r="CA204" s="73" t="e">
        <f xml:space="preserve"> _xlfn.TEXTJOIN(" ", FALSE,#REF!)</f>
        <v>#REF!</v>
      </c>
      <c r="CB204" s="122"/>
      <c r="CC204" s="71" t="s">
        <v>264</v>
      </c>
      <c r="CD204" s="73" t="e">
        <f xml:space="preserve"> _xlfn.TEXTJOIN(" ", FALSE,#REF!)</f>
        <v>#REF!</v>
      </c>
      <c r="CE204" s="122"/>
      <c r="CF204" s="71" t="s">
        <v>265</v>
      </c>
      <c r="CG204" s="73" t="e">
        <f xml:space="preserve"> _xlfn.TEXTJOIN(" ", FALSE,#REF!)</f>
        <v>#REF!</v>
      </c>
      <c r="CH204" s="122"/>
      <c r="CI204" s="74" t="s">
        <v>278</v>
      </c>
      <c r="CJ204" s="73" t="e">
        <f xml:space="preserve"> _xlfn.TEXTJOIN(" ", FALSE,#REF!)</f>
        <v>#REF!</v>
      </c>
      <c r="CK204" s="65" t="s">
        <v>277</v>
      </c>
      <c r="CL204" s="70" t="e">
        <f t="shared" si="24"/>
        <v>#REF!</v>
      </c>
      <c r="CM204" s="64" t="s">
        <v>267</v>
      </c>
      <c r="CN204" s="122"/>
      <c r="CO204" s="71" t="s">
        <v>268</v>
      </c>
      <c r="CP204" s="73" t="e">
        <f xml:space="preserve"> _xlfn.TEXTJOIN(" ", FALSE,#REF!)</f>
        <v>#REF!</v>
      </c>
      <c r="CQ204" s="122"/>
      <c r="CR204" s="71" t="s">
        <v>269</v>
      </c>
      <c r="CS204" s="73" t="e">
        <f xml:space="preserve"> _xlfn.TEXTJOIN(" ", FALSE,#REF!)</f>
        <v>#REF!</v>
      </c>
      <c r="CT204" s="122"/>
      <c r="CU204" s="71" t="s">
        <v>270</v>
      </c>
      <c r="CV204" s="72" t="e">
        <f xml:space="preserve"> _xlfn.TEXTJOIN(" ", FALSE,#REF!)</f>
        <v>#REF!</v>
      </c>
      <c r="CW204" s="122"/>
      <c r="CX204" s="71" t="s">
        <v>271</v>
      </c>
      <c r="CY204" s="72" t="e">
        <f xml:space="preserve"> _xlfn.TEXTJOIN(" ", FALSE,#REF!)</f>
        <v>#REF!</v>
      </c>
      <c r="CZ204" s="122"/>
      <c r="DA204" s="71" t="s">
        <v>272</v>
      </c>
      <c r="DB204" s="73" t="e">
        <f xml:space="preserve"> _xlfn.TEXTJOIN(" ", FALSE,#REF!)</f>
        <v>#REF!</v>
      </c>
      <c r="DC204" s="65" t="s">
        <v>277</v>
      </c>
      <c r="DD204" s="70" t="e">
        <f t="shared" si="25"/>
        <v>#REF!</v>
      </c>
      <c r="DE204" s="64" t="s">
        <v>273</v>
      </c>
      <c r="DF204" s="122"/>
      <c r="DG204" s="71" t="s">
        <v>274</v>
      </c>
      <c r="DH204" s="72" t="e">
        <f xml:space="preserve"> _xlfn.TEXTJOIN(" ", FALSE,#REF!)</f>
        <v>#REF!</v>
      </c>
      <c r="DI204" s="122"/>
      <c r="DJ204" s="71" t="s">
        <v>275</v>
      </c>
      <c r="DK204" s="73" t="e">
        <f xml:space="preserve"> _xlfn.TEXTJOIN(" ", FALSE,#REF!)</f>
        <v>#REF!</v>
      </c>
      <c r="DL204" s="65" t="s">
        <v>277</v>
      </c>
      <c r="DM204" s="70" t="e">
        <f t="shared" si="26"/>
        <v>#REF!</v>
      </c>
      <c r="DN204" s="70" t="e">
        <f t="shared" si="27"/>
        <v>#REF!</v>
      </c>
    </row>
    <row r="205" spans="1:118" ht="49">
      <c r="A205" s="122" t="e">
        <f>Summary!A205</f>
        <v>#REF!</v>
      </c>
      <c r="B205" s="64" t="s">
        <v>233</v>
      </c>
      <c r="C205" s="65" t="e">
        <f>Summary!B205</f>
        <v>#REF!</v>
      </c>
      <c r="D205" s="122"/>
      <c r="E205" s="64" t="s">
        <v>235</v>
      </c>
      <c r="F205" s="132" t="e">
        <f>Summary!C205</f>
        <v>#REF!</v>
      </c>
      <c r="G205" s="64" t="s">
        <v>236</v>
      </c>
      <c r="H205" s="132" t="e">
        <f>Summary!D205</f>
        <v>#REF!</v>
      </c>
      <c r="I205" s="64" t="s">
        <v>237</v>
      </c>
      <c r="J205" s="66">
        <f>Summary!E205</f>
        <v>7</v>
      </c>
      <c r="K205" s="64" t="s">
        <v>238</v>
      </c>
      <c r="L205" s="132" t="e">
        <f>Summary!F205</f>
        <v>#REF!</v>
      </c>
      <c r="M205" s="64" t="s">
        <v>239</v>
      </c>
      <c r="N205" s="132" t="e">
        <f>Summary!G205</f>
        <v>#REF!</v>
      </c>
      <c r="O205" s="64" t="s">
        <v>240</v>
      </c>
      <c r="P205" s="132" t="e">
        <f>Summary!H205</f>
        <v>#REF!</v>
      </c>
      <c r="Q205" s="65" t="s">
        <v>277</v>
      </c>
      <c r="R205" s="70" t="e">
        <f t="shared" ref="R205:R213" si="28">_xlfn.TEXTJOIN(" ", FALSE, B205:Q205)</f>
        <v>#REF!</v>
      </c>
      <c r="S205" s="64" t="s">
        <v>243</v>
      </c>
      <c r="T205" s="122"/>
      <c r="U205" s="71" t="s">
        <v>244</v>
      </c>
      <c r="V205" s="72" t="e">
        <f xml:space="preserve"> _xlfn.TEXTJOIN(" ", FALSE,#REF!)</f>
        <v>#REF!</v>
      </c>
      <c r="W205" s="122"/>
      <c r="X205" s="71" t="s">
        <v>245</v>
      </c>
      <c r="Y205" s="72" t="e">
        <f xml:space="preserve"> _xlfn.TEXTJOIN(" ", FALSE,#REF!)</f>
        <v>#REF!</v>
      </c>
      <c r="Z205" s="122"/>
      <c r="AA205" s="71" t="s">
        <v>246</v>
      </c>
      <c r="AB205" s="72" t="e">
        <f xml:space="preserve"> _xlfn.TEXTJOIN(" ", FALSE,#REF!)</f>
        <v>#REF!</v>
      </c>
      <c r="AC205" s="122"/>
      <c r="AD205" s="71" t="s">
        <v>247</v>
      </c>
      <c r="AE205" s="72" t="e">
        <f xml:space="preserve"> _xlfn.TEXTJOIN(" ", FALSE,#REF!)</f>
        <v>#REF!</v>
      </c>
      <c r="AF205" s="122"/>
      <c r="AG205" s="71" t="s">
        <v>248</v>
      </c>
      <c r="AH205" s="73" t="e">
        <f xml:space="preserve"> _xlfn.TEXTJOIN(" ", FALSE,#REF!)</f>
        <v>#REF!</v>
      </c>
      <c r="AI205" s="122"/>
      <c r="AJ205" s="71" t="s">
        <v>249</v>
      </c>
      <c r="AK205" s="73" t="e">
        <f xml:space="preserve"> _xlfn.TEXTJOIN(" ", FALSE,#REF!)</f>
        <v>#REF!</v>
      </c>
      <c r="AL205" s="122"/>
      <c r="AM205" s="71" t="s">
        <v>250</v>
      </c>
      <c r="AN205" s="73" t="e">
        <f xml:space="preserve"> _xlfn.TEXTJOIN(" ", FALSE,#REF!)</f>
        <v>#REF!</v>
      </c>
      <c r="AO205" s="122"/>
      <c r="AP205" s="71" t="s">
        <v>251</v>
      </c>
      <c r="AQ205" s="72" t="e">
        <f xml:space="preserve"> _xlfn.TEXTJOIN(" ", FALSE,#REF!)</f>
        <v>#REF!</v>
      </c>
      <c r="AR205" s="122"/>
      <c r="AS205" s="71" t="s">
        <v>252</v>
      </c>
      <c r="AT205" s="72" t="e">
        <f xml:space="preserve"> _xlfn.TEXTJOIN(" ", FALSE,#REF!)</f>
        <v>#REF!</v>
      </c>
      <c r="AU205" s="122"/>
      <c r="AV205" s="71" t="s">
        <v>253</v>
      </c>
      <c r="AW205" s="73" t="e">
        <f xml:space="preserve"> _xlfn.TEXTJOIN(" ", FALSE,#REF!)</f>
        <v>#REF!</v>
      </c>
      <c r="AX205" s="122"/>
      <c r="AY205" s="71" t="s">
        <v>254</v>
      </c>
      <c r="AZ205" s="72" t="e">
        <f xml:space="preserve"> _xlfn.TEXTJOIN(" ", FALSE,#REF!)</f>
        <v>#REF!</v>
      </c>
      <c r="BA205" s="122"/>
      <c r="BB205" s="71" t="s">
        <v>255</v>
      </c>
      <c r="BC205" s="72" t="e">
        <f xml:space="preserve"> _xlfn.TEXTJOIN(" ", FALSE,#REF!)</f>
        <v>#REF!</v>
      </c>
      <c r="BD205" s="122"/>
      <c r="BE205" s="71" t="s">
        <v>256</v>
      </c>
      <c r="BF205" s="72" t="e">
        <f xml:space="preserve"> _xlfn.TEXTJOIN(" ", FALSE,#REF!)</f>
        <v>#REF!</v>
      </c>
      <c r="BG205" s="65" t="s">
        <v>277</v>
      </c>
      <c r="BH205" s="70" t="e">
        <f t="shared" ref="BH205:BH213" si="29">_xlfn.TEXTJOIN(" ", FALSE, S205:BG205)</f>
        <v>#REF!</v>
      </c>
      <c r="BI205" s="64" t="s">
        <v>257</v>
      </c>
      <c r="BJ205" s="122"/>
      <c r="BK205" s="71" t="s">
        <v>258</v>
      </c>
      <c r="BL205" s="74" t="str">
        <f>_xlfn.TEXTJOIN(" ", FALSE, 'Task 2a - Mitigating the Proble'!U205:AC205)</f>
        <v>1 1 1 0 1 1 0 0 The question only asks "how" and does not require interpretation of results from Table 3.</v>
      </c>
      <c r="BM205" s="65" t="s">
        <v>277</v>
      </c>
      <c r="BN205" s="70" t="str">
        <f t="shared" ref="BN205:BN213" si="30">_xlfn.TEXTJOIN(" ", FALSE, BI205:BM205)</f>
        <v>[Details for Task 2a:]  /Question 12: 1 1 1 0 1 1 0 0 The question only asks "how" and does not require interpretation of results from Table 3. .</v>
      </c>
      <c r="BO205" s="64" t="s">
        <v>259</v>
      </c>
      <c r="BP205" s="122"/>
      <c r="BQ205" s="71" t="s">
        <v>260</v>
      </c>
      <c r="BR205" s="73" t="e">
        <f xml:space="preserve"> _xlfn.TEXTJOIN(" ", FALSE,#REF!)</f>
        <v>#REF!</v>
      </c>
      <c r="BS205" s="122"/>
      <c r="BT205" s="71" t="s">
        <v>261</v>
      </c>
      <c r="BU205" s="73" t="e">
        <f xml:space="preserve"> _xlfn.TEXTJOIN(" ", FALSE,#REF!)</f>
        <v>#REF!</v>
      </c>
      <c r="BV205" s="122"/>
      <c r="BW205" s="71" t="s">
        <v>262</v>
      </c>
      <c r="BX205" s="73" t="e">
        <f xml:space="preserve"> _xlfn.TEXTJOIN(" ", FALSE,#REF!)</f>
        <v>#REF!</v>
      </c>
      <c r="BY205" s="122"/>
      <c r="BZ205" s="71" t="s">
        <v>263</v>
      </c>
      <c r="CA205" s="73" t="e">
        <f xml:space="preserve"> _xlfn.TEXTJOIN(" ", FALSE,#REF!)</f>
        <v>#REF!</v>
      </c>
      <c r="CB205" s="122"/>
      <c r="CC205" s="71" t="s">
        <v>264</v>
      </c>
      <c r="CD205" s="73" t="e">
        <f xml:space="preserve"> _xlfn.TEXTJOIN(" ", FALSE,#REF!)</f>
        <v>#REF!</v>
      </c>
      <c r="CE205" s="122"/>
      <c r="CF205" s="71" t="s">
        <v>265</v>
      </c>
      <c r="CG205" s="73" t="e">
        <f xml:space="preserve"> _xlfn.TEXTJOIN(" ", FALSE,#REF!)</f>
        <v>#REF!</v>
      </c>
      <c r="CH205" s="122"/>
      <c r="CI205" s="74" t="s">
        <v>278</v>
      </c>
      <c r="CJ205" s="73" t="e">
        <f xml:space="preserve"> _xlfn.TEXTJOIN(" ", FALSE,#REF!)</f>
        <v>#REF!</v>
      </c>
      <c r="CK205" s="65" t="s">
        <v>277</v>
      </c>
      <c r="CL205" s="70" t="e">
        <f t="shared" ref="CL205:CL213" si="31">_xlfn.TEXTJOIN(" ", FALSE, BO205:CK205)</f>
        <v>#REF!</v>
      </c>
      <c r="CM205" s="64" t="s">
        <v>267</v>
      </c>
      <c r="CN205" s="122"/>
      <c r="CO205" s="71" t="s">
        <v>268</v>
      </c>
      <c r="CP205" s="73" t="e">
        <f xml:space="preserve"> _xlfn.TEXTJOIN(" ", FALSE,#REF!)</f>
        <v>#REF!</v>
      </c>
      <c r="CQ205" s="122"/>
      <c r="CR205" s="71" t="s">
        <v>269</v>
      </c>
      <c r="CS205" s="73" t="e">
        <f xml:space="preserve"> _xlfn.TEXTJOIN(" ", FALSE,#REF!)</f>
        <v>#REF!</v>
      </c>
      <c r="CT205" s="122"/>
      <c r="CU205" s="71" t="s">
        <v>270</v>
      </c>
      <c r="CV205" s="72" t="e">
        <f xml:space="preserve"> _xlfn.TEXTJOIN(" ", FALSE,#REF!)</f>
        <v>#REF!</v>
      </c>
      <c r="CW205" s="122"/>
      <c r="CX205" s="71" t="s">
        <v>271</v>
      </c>
      <c r="CY205" s="72" t="e">
        <f xml:space="preserve"> _xlfn.TEXTJOIN(" ", FALSE,#REF!)</f>
        <v>#REF!</v>
      </c>
      <c r="CZ205" s="122"/>
      <c r="DA205" s="71" t="s">
        <v>272</v>
      </c>
      <c r="DB205" s="73" t="e">
        <f xml:space="preserve"> _xlfn.TEXTJOIN(" ", FALSE,#REF!)</f>
        <v>#REF!</v>
      </c>
      <c r="DC205" s="65" t="s">
        <v>277</v>
      </c>
      <c r="DD205" s="70" t="e">
        <f t="shared" ref="DD205:DD213" si="32">_xlfn.TEXTJOIN(" ", FALSE, CM205:DC205)</f>
        <v>#REF!</v>
      </c>
      <c r="DE205" s="64" t="s">
        <v>273</v>
      </c>
      <c r="DF205" s="122"/>
      <c r="DG205" s="71" t="s">
        <v>274</v>
      </c>
      <c r="DH205" s="72" t="e">
        <f xml:space="preserve"> _xlfn.TEXTJOIN(" ", FALSE,#REF!)</f>
        <v>#REF!</v>
      </c>
      <c r="DI205" s="122"/>
      <c r="DJ205" s="71" t="s">
        <v>275</v>
      </c>
      <c r="DK205" s="73" t="e">
        <f xml:space="preserve"> _xlfn.TEXTJOIN(" ", FALSE,#REF!)</f>
        <v>#REF!</v>
      </c>
      <c r="DL205" s="65" t="s">
        <v>277</v>
      </c>
      <c r="DM205" s="70" t="e">
        <f t="shared" ref="DM205:DM213" si="33">_xlfn.TEXTJOIN(" ", FALSE, DE205:DL205)</f>
        <v>#REF!</v>
      </c>
      <c r="DN205" s="70" t="e">
        <f t="shared" ref="DN205:DN213" si="34">_xlfn.TEXTJOIN(CHAR(10), FALSE, R205,BH205,BN205,CL205,DD205,DM205)</f>
        <v>#REF!</v>
      </c>
    </row>
    <row r="206" spans="1:118" ht="49">
      <c r="A206" s="122" t="e">
        <f>Summary!A206</f>
        <v>#REF!</v>
      </c>
      <c r="B206" s="64" t="s">
        <v>233</v>
      </c>
      <c r="C206" s="65" t="e">
        <f>Summary!B206</f>
        <v>#REF!</v>
      </c>
      <c r="D206" s="122"/>
      <c r="E206" s="64" t="s">
        <v>235</v>
      </c>
      <c r="F206" s="132" t="e">
        <f>Summary!C206</f>
        <v>#REF!</v>
      </c>
      <c r="G206" s="64" t="s">
        <v>236</v>
      </c>
      <c r="H206" s="132" t="e">
        <f>Summary!D206</f>
        <v>#REF!</v>
      </c>
      <c r="I206" s="64" t="s">
        <v>237</v>
      </c>
      <c r="J206" s="66">
        <f>Summary!E206</f>
        <v>9</v>
      </c>
      <c r="K206" s="64" t="s">
        <v>238</v>
      </c>
      <c r="L206" s="132" t="e">
        <f>Summary!F206</f>
        <v>#REF!</v>
      </c>
      <c r="M206" s="64" t="s">
        <v>239</v>
      </c>
      <c r="N206" s="132" t="e">
        <f>Summary!G206</f>
        <v>#REF!</v>
      </c>
      <c r="O206" s="64" t="s">
        <v>240</v>
      </c>
      <c r="P206" s="132" t="e">
        <f>Summary!H206</f>
        <v>#REF!</v>
      </c>
      <c r="Q206" s="65" t="s">
        <v>277</v>
      </c>
      <c r="R206" s="70" t="e">
        <f t="shared" si="28"/>
        <v>#REF!</v>
      </c>
      <c r="S206" s="64" t="s">
        <v>243</v>
      </c>
      <c r="T206" s="122"/>
      <c r="U206" s="71" t="s">
        <v>244</v>
      </c>
      <c r="V206" s="72" t="e">
        <f xml:space="preserve"> _xlfn.TEXTJOIN(" ", FALSE,#REF!)</f>
        <v>#REF!</v>
      </c>
      <c r="W206" s="122"/>
      <c r="X206" s="71" t="s">
        <v>245</v>
      </c>
      <c r="Y206" s="72" t="e">
        <f xml:space="preserve"> _xlfn.TEXTJOIN(" ", FALSE,#REF!)</f>
        <v>#REF!</v>
      </c>
      <c r="Z206" s="122"/>
      <c r="AA206" s="71" t="s">
        <v>246</v>
      </c>
      <c r="AB206" s="72" t="e">
        <f xml:space="preserve"> _xlfn.TEXTJOIN(" ", FALSE,#REF!)</f>
        <v>#REF!</v>
      </c>
      <c r="AC206" s="122"/>
      <c r="AD206" s="71" t="s">
        <v>247</v>
      </c>
      <c r="AE206" s="72" t="e">
        <f xml:space="preserve"> _xlfn.TEXTJOIN(" ", FALSE,#REF!)</f>
        <v>#REF!</v>
      </c>
      <c r="AF206" s="122"/>
      <c r="AG206" s="71" t="s">
        <v>248</v>
      </c>
      <c r="AH206" s="73" t="e">
        <f xml:space="preserve"> _xlfn.TEXTJOIN(" ", FALSE,#REF!)</f>
        <v>#REF!</v>
      </c>
      <c r="AI206" s="122"/>
      <c r="AJ206" s="71" t="s">
        <v>249</v>
      </c>
      <c r="AK206" s="73" t="e">
        <f xml:space="preserve"> _xlfn.TEXTJOIN(" ", FALSE,#REF!)</f>
        <v>#REF!</v>
      </c>
      <c r="AL206" s="122"/>
      <c r="AM206" s="71" t="s">
        <v>250</v>
      </c>
      <c r="AN206" s="73" t="e">
        <f xml:space="preserve"> _xlfn.TEXTJOIN(" ", FALSE,#REF!)</f>
        <v>#REF!</v>
      </c>
      <c r="AO206" s="122"/>
      <c r="AP206" s="71" t="s">
        <v>251</v>
      </c>
      <c r="AQ206" s="72" t="e">
        <f xml:space="preserve"> _xlfn.TEXTJOIN(" ", FALSE,#REF!)</f>
        <v>#REF!</v>
      </c>
      <c r="AR206" s="122"/>
      <c r="AS206" s="71" t="s">
        <v>252</v>
      </c>
      <c r="AT206" s="72" t="e">
        <f xml:space="preserve"> _xlfn.TEXTJOIN(" ", FALSE,#REF!)</f>
        <v>#REF!</v>
      </c>
      <c r="AU206" s="122"/>
      <c r="AV206" s="71" t="s">
        <v>253</v>
      </c>
      <c r="AW206" s="73" t="e">
        <f xml:space="preserve"> _xlfn.TEXTJOIN(" ", FALSE,#REF!)</f>
        <v>#REF!</v>
      </c>
      <c r="AX206" s="122"/>
      <c r="AY206" s="71" t="s">
        <v>254</v>
      </c>
      <c r="AZ206" s="72" t="e">
        <f xml:space="preserve"> _xlfn.TEXTJOIN(" ", FALSE,#REF!)</f>
        <v>#REF!</v>
      </c>
      <c r="BA206" s="122"/>
      <c r="BB206" s="71" t="s">
        <v>255</v>
      </c>
      <c r="BC206" s="72" t="e">
        <f xml:space="preserve"> _xlfn.TEXTJOIN(" ", FALSE,#REF!)</f>
        <v>#REF!</v>
      </c>
      <c r="BD206" s="122"/>
      <c r="BE206" s="71" t="s">
        <v>256</v>
      </c>
      <c r="BF206" s="72" t="e">
        <f xml:space="preserve"> _xlfn.TEXTJOIN(" ", FALSE,#REF!)</f>
        <v>#REF!</v>
      </c>
      <c r="BG206" s="65" t="s">
        <v>277</v>
      </c>
      <c r="BH206" s="70" t="e">
        <f t="shared" si="29"/>
        <v>#REF!</v>
      </c>
      <c r="BI206" s="64" t="s">
        <v>257</v>
      </c>
      <c r="BJ206" s="122"/>
      <c r="BK206" s="71" t="s">
        <v>258</v>
      </c>
      <c r="BL206" s="74" t="str">
        <f>_xlfn.TEXTJOIN(" ", FALSE, 'Task 2a - Mitigating the Proble'!U206:AC206)</f>
        <v>1 1 1 1 1 1 0 1 Great point on how the parameters could control the proportion of each regularization type, including switching one on or off.</v>
      </c>
      <c r="BM206" s="65" t="s">
        <v>277</v>
      </c>
      <c r="BN206" s="70" t="str">
        <f t="shared" si="30"/>
        <v>[Details for Task 2a:]  /Question 12: 1 1 1 1 1 1 0 1 Great point on how the parameters could control the proportion of each regularization type, including switching one on or off. .</v>
      </c>
      <c r="BO206" s="64" t="s">
        <v>259</v>
      </c>
      <c r="BP206" s="122"/>
      <c r="BQ206" s="71" t="s">
        <v>260</v>
      </c>
      <c r="BR206" s="73" t="e">
        <f xml:space="preserve"> _xlfn.TEXTJOIN(" ", FALSE,#REF!)</f>
        <v>#REF!</v>
      </c>
      <c r="BS206" s="122"/>
      <c r="BT206" s="71" t="s">
        <v>261</v>
      </c>
      <c r="BU206" s="73" t="e">
        <f xml:space="preserve"> _xlfn.TEXTJOIN(" ", FALSE,#REF!)</f>
        <v>#REF!</v>
      </c>
      <c r="BV206" s="122"/>
      <c r="BW206" s="71" t="s">
        <v>262</v>
      </c>
      <c r="BX206" s="73" t="e">
        <f xml:space="preserve"> _xlfn.TEXTJOIN(" ", FALSE,#REF!)</f>
        <v>#REF!</v>
      </c>
      <c r="BY206" s="122"/>
      <c r="BZ206" s="71" t="s">
        <v>263</v>
      </c>
      <c r="CA206" s="73" t="e">
        <f xml:space="preserve"> _xlfn.TEXTJOIN(" ", FALSE,#REF!)</f>
        <v>#REF!</v>
      </c>
      <c r="CB206" s="122"/>
      <c r="CC206" s="71" t="s">
        <v>264</v>
      </c>
      <c r="CD206" s="73" t="e">
        <f xml:space="preserve"> _xlfn.TEXTJOIN(" ", FALSE,#REF!)</f>
        <v>#REF!</v>
      </c>
      <c r="CE206" s="122"/>
      <c r="CF206" s="71" t="s">
        <v>265</v>
      </c>
      <c r="CG206" s="73" t="e">
        <f xml:space="preserve"> _xlfn.TEXTJOIN(" ", FALSE,#REF!)</f>
        <v>#REF!</v>
      </c>
      <c r="CH206" s="122"/>
      <c r="CI206" s="74" t="s">
        <v>278</v>
      </c>
      <c r="CJ206" s="73" t="e">
        <f xml:space="preserve"> _xlfn.TEXTJOIN(" ", FALSE,#REF!)</f>
        <v>#REF!</v>
      </c>
      <c r="CK206" s="65" t="s">
        <v>277</v>
      </c>
      <c r="CL206" s="70" t="e">
        <f t="shared" si="31"/>
        <v>#REF!</v>
      </c>
      <c r="CM206" s="64" t="s">
        <v>267</v>
      </c>
      <c r="CN206" s="122"/>
      <c r="CO206" s="71" t="s">
        <v>268</v>
      </c>
      <c r="CP206" s="73" t="e">
        <f xml:space="preserve"> _xlfn.TEXTJOIN(" ", FALSE,#REF!)</f>
        <v>#REF!</v>
      </c>
      <c r="CQ206" s="122"/>
      <c r="CR206" s="71" t="s">
        <v>269</v>
      </c>
      <c r="CS206" s="73" t="e">
        <f xml:space="preserve"> _xlfn.TEXTJOIN(" ", FALSE,#REF!)</f>
        <v>#REF!</v>
      </c>
      <c r="CT206" s="122"/>
      <c r="CU206" s="71" t="s">
        <v>270</v>
      </c>
      <c r="CV206" s="72" t="e">
        <f xml:space="preserve"> _xlfn.TEXTJOIN(" ", FALSE,#REF!)</f>
        <v>#REF!</v>
      </c>
      <c r="CW206" s="122"/>
      <c r="CX206" s="71" t="s">
        <v>271</v>
      </c>
      <c r="CY206" s="72" t="e">
        <f xml:space="preserve"> _xlfn.TEXTJOIN(" ", FALSE,#REF!)</f>
        <v>#REF!</v>
      </c>
      <c r="CZ206" s="122"/>
      <c r="DA206" s="71" t="s">
        <v>272</v>
      </c>
      <c r="DB206" s="73" t="e">
        <f xml:space="preserve"> _xlfn.TEXTJOIN(" ", FALSE,#REF!)</f>
        <v>#REF!</v>
      </c>
      <c r="DC206" s="65" t="s">
        <v>277</v>
      </c>
      <c r="DD206" s="70" t="e">
        <f t="shared" si="32"/>
        <v>#REF!</v>
      </c>
      <c r="DE206" s="64" t="s">
        <v>273</v>
      </c>
      <c r="DF206" s="122"/>
      <c r="DG206" s="71" t="s">
        <v>274</v>
      </c>
      <c r="DH206" s="72" t="e">
        <f xml:space="preserve"> _xlfn.TEXTJOIN(" ", FALSE,#REF!)</f>
        <v>#REF!</v>
      </c>
      <c r="DI206" s="122"/>
      <c r="DJ206" s="71" t="s">
        <v>275</v>
      </c>
      <c r="DK206" s="73" t="e">
        <f xml:space="preserve"> _xlfn.TEXTJOIN(" ", FALSE,#REF!)</f>
        <v>#REF!</v>
      </c>
      <c r="DL206" s="65" t="s">
        <v>277</v>
      </c>
      <c r="DM206" s="70" t="e">
        <f t="shared" si="33"/>
        <v>#REF!</v>
      </c>
      <c r="DN206" s="70" t="e">
        <f t="shared" si="34"/>
        <v>#REF!</v>
      </c>
    </row>
    <row r="207" spans="1:118" ht="49">
      <c r="A207" s="122" t="e">
        <f>Summary!A207</f>
        <v>#REF!</v>
      </c>
      <c r="B207" s="64" t="s">
        <v>233</v>
      </c>
      <c r="C207" s="65" t="e">
        <f>Summary!B207</f>
        <v>#REF!</v>
      </c>
      <c r="D207" s="122"/>
      <c r="E207" s="64" t="s">
        <v>235</v>
      </c>
      <c r="F207" s="132" t="e">
        <f>Summary!C207</f>
        <v>#REF!</v>
      </c>
      <c r="G207" s="64" t="s">
        <v>236</v>
      </c>
      <c r="H207" s="132" t="e">
        <f>Summary!D207</f>
        <v>#REF!</v>
      </c>
      <c r="I207" s="64" t="s">
        <v>237</v>
      </c>
      <c r="J207" s="66">
        <f>Summary!E207</f>
        <v>9</v>
      </c>
      <c r="K207" s="64" t="s">
        <v>238</v>
      </c>
      <c r="L207" s="132" t="e">
        <f>Summary!F207</f>
        <v>#REF!</v>
      </c>
      <c r="M207" s="64" t="s">
        <v>239</v>
      </c>
      <c r="N207" s="132" t="e">
        <f>Summary!G207</f>
        <v>#REF!</v>
      </c>
      <c r="O207" s="64" t="s">
        <v>240</v>
      </c>
      <c r="P207" s="132" t="e">
        <f>Summary!H207</f>
        <v>#REF!</v>
      </c>
      <c r="Q207" s="65" t="s">
        <v>277</v>
      </c>
      <c r="R207" s="70" t="e">
        <f t="shared" si="28"/>
        <v>#REF!</v>
      </c>
      <c r="S207" s="64" t="s">
        <v>243</v>
      </c>
      <c r="T207" s="122"/>
      <c r="U207" s="71" t="s">
        <v>244</v>
      </c>
      <c r="V207" s="72" t="e">
        <f xml:space="preserve"> _xlfn.TEXTJOIN(" ", FALSE,#REF!)</f>
        <v>#REF!</v>
      </c>
      <c r="W207" s="122"/>
      <c r="X207" s="71" t="s">
        <v>245</v>
      </c>
      <c r="Y207" s="72" t="e">
        <f xml:space="preserve"> _xlfn.TEXTJOIN(" ", FALSE,#REF!)</f>
        <v>#REF!</v>
      </c>
      <c r="Z207" s="122"/>
      <c r="AA207" s="71" t="s">
        <v>246</v>
      </c>
      <c r="AB207" s="72" t="e">
        <f xml:space="preserve"> _xlfn.TEXTJOIN(" ", FALSE,#REF!)</f>
        <v>#REF!</v>
      </c>
      <c r="AC207" s="122"/>
      <c r="AD207" s="71" t="s">
        <v>247</v>
      </c>
      <c r="AE207" s="72" t="e">
        <f xml:space="preserve"> _xlfn.TEXTJOIN(" ", FALSE,#REF!)</f>
        <v>#REF!</v>
      </c>
      <c r="AF207" s="122"/>
      <c r="AG207" s="71" t="s">
        <v>248</v>
      </c>
      <c r="AH207" s="73" t="e">
        <f xml:space="preserve"> _xlfn.TEXTJOIN(" ", FALSE,#REF!)</f>
        <v>#REF!</v>
      </c>
      <c r="AI207" s="122"/>
      <c r="AJ207" s="71" t="s">
        <v>249</v>
      </c>
      <c r="AK207" s="73" t="e">
        <f xml:space="preserve"> _xlfn.TEXTJOIN(" ", FALSE,#REF!)</f>
        <v>#REF!</v>
      </c>
      <c r="AL207" s="122"/>
      <c r="AM207" s="71" t="s">
        <v>250</v>
      </c>
      <c r="AN207" s="73" t="e">
        <f xml:space="preserve"> _xlfn.TEXTJOIN(" ", FALSE,#REF!)</f>
        <v>#REF!</v>
      </c>
      <c r="AO207" s="122"/>
      <c r="AP207" s="71" t="s">
        <v>251</v>
      </c>
      <c r="AQ207" s="72" t="e">
        <f xml:space="preserve"> _xlfn.TEXTJOIN(" ", FALSE,#REF!)</f>
        <v>#REF!</v>
      </c>
      <c r="AR207" s="122"/>
      <c r="AS207" s="71" t="s">
        <v>252</v>
      </c>
      <c r="AT207" s="72" t="e">
        <f xml:space="preserve"> _xlfn.TEXTJOIN(" ", FALSE,#REF!)</f>
        <v>#REF!</v>
      </c>
      <c r="AU207" s="122"/>
      <c r="AV207" s="71" t="s">
        <v>253</v>
      </c>
      <c r="AW207" s="73" t="e">
        <f xml:space="preserve"> _xlfn.TEXTJOIN(" ", FALSE,#REF!)</f>
        <v>#REF!</v>
      </c>
      <c r="AX207" s="122"/>
      <c r="AY207" s="71" t="s">
        <v>254</v>
      </c>
      <c r="AZ207" s="72" t="e">
        <f xml:space="preserve"> _xlfn.TEXTJOIN(" ", FALSE,#REF!)</f>
        <v>#REF!</v>
      </c>
      <c r="BA207" s="122"/>
      <c r="BB207" s="71" t="s">
        <v>255</v>
      </c>
      <c r="BC207" s="72" t="e">
        <f xml:space="preserve"> _xlfn.TEXTJOIN(" ", FALSE,#REF!)</f>
        <v>#REF!</v>
      </c>
      <c r="BD207" s="122"/>
      <c r="BE207" s="71" t="s">
        <v>256</v>
      </c>
      <c r="BF207" s="72" t="e">
        <f xml:space="preserve"> _xlfn.TEXTJOIN(" ", FALSE,#REF!)</f>
        <v>#REF!</v>
      </c>
      <c r="BG207" s="65" t="s">
        <v>277</v>
      </c>
      <c r="BH207" s="70" t="e">
        <f t="shared" si="29"/>
        <v>#REF!</v>
      </c>
      <c r="BI207" s="64" t="s">
        <v>257</v>
      </c>
      <c r="BJ207" s="122"/>
      <c r="BK207" s="71" t="s">
        <v>258</v>
      </c>
      <c r="BL207" s="74" t="str">
        <f>_xlfn.TEXTJOIN(" ", FALSE, 'Task 2a - Mitigating the Proble'!U207:AC207)</f>
        <v>1 1 1 1 1 1 0 1 Good point on Elastic Net allowing to control L1 and L2 trade-off.</v>
      </c>
      <c r="BM207" s="65" t="s">
        <v>277</v>
      </c>
      <c r="BN207" s="70" t="str">
        <f t="shared" si="30"/>
        <v>[Details for Task 2a:]  /Question 12: 1 1 1 1 1 1 0 1 Good point on Elastic Net allowing to control L1 and L2 trade-off. .</v>
      </c>
      <c r="BO207" s="64" t="s">
        <v>259</v>
      </c>
      <c r="BP207" s="122"/>
      <c r="BQ207" s="71" t="s">
        <v>260</v>
      </c>
      <c r="BR207" s="73" t="e">
        <f xml:space="preserve"> _xlfn.TEXTJOIN(" ", FALSE,#REF!)</f>
        <v>#REF!</v>
      </c>
      <c r="BS207" s="122"/>
      <c r="BT207" s="71" t="s">
        <v>261</v>
      </c>
      <c r="BU207" s="73" t="e">
        <f xml:space="preserve"> _xlfn.TEXTJOIN(" ", FALSE,#REF!)</f>
        <v>#REF!</v>
      </c>
      <c r="BV207" s="122"/>
      <c r="BW207" s="71" t="s">
        <v>262</v>
      </c>
      <c r="BX207" s="73" t="e">
        <f xml:space="preserve"> _xlfn.TEXTJOIN(" ", FALSE,#REF!)</f>
        <v>#REF!</v>
      </c>
      <c r="BY207" s="122"/>
      <c r="BZ207" s="71" t="s">
        <v>263</v>
      </c>
      <c r="CA207" s="73" t="e">
        <f xml:space="preserve"> _xlfn.TEXTJOIN(" ", FALSE,#REF!)</f>
        <v>#REF!</v>
      </c>
      <c r="CB207" s="122"/>
      <c r="CC207" s="71" t="s">
        <v>264</v>
      </c>
      <c r="CD207" s="73" t="e">
        <f xml:space="preserve"> _xlfn.TEXTJOIN(" ", FALSE,#REF!)</f>
        <v>#REF!</v>
      </c>
      <c r="CE207" s="122"/>
      <c r="CF207" s="71" t="s">
        <v>265</v>
      </c>
      <c r="CG207" s="73" t="e">
        <f xml:space="preserve"> _xlfn.TEXTJOIN(" ", FALSE,#REF!)</f>
        <v>#REF!</v>
      </c>
      <c r="CH207" s="122"/>
      <c r="CI207" s="74" t="s">
        <v>278</v>
      </c>
      <c r="CJ207" s="73" t="e">
        <f xml:space="preserve"> _xlfn.TEXTJOIN(" ", FALSE,#REF!)</f>
        <v>#REF!</v>
      </c>
      <c r="CK207" s="65" t="s">
        <v>277</v>
      </c>
      <c r="CL207" s="70" t="e">
        <f t="shared" si="31"/>
        <v>#REF!</v>
      </c>
      <c r="CM207" s="64" t="s">
        <v>267</v>
      </c>
      <c r="CN207" s="122"/>
      <c r="CO207" s="71" t="s">
        <v>268</v>
      </c>
      <c r="CP207" s="73" t="e">
        <f xml:space="preserve"> _xlfn.TEXTJOIN(" ", FALSE,#REF!)</f>
        <v>#REF!</v>
      </c>
      <c r="CQ207" s="122"/>
      <c r="CR207" s="71" t="s">
        <v>269</v>
      </c>
      <c r="CS207" s="73" t="e">
        <f xml:space="preserve"> _xlfn.TEXTJOIN(" ", FALSE,#REF!)</f>
        <v>#REF!</v>
      </c>
      <c r="CT207" s="122"/>
      <c r="CU207" s="71" t="s">
        <v>270</v>
      </c>
      <c r="CV207" s="72" t="e">
        <f xml:space="preserve"> _xlfn.TEXTJOIN(" ", FALSE,#REF!)</f>
        <v>#REF!</v>
      </c>
      <c r="CW207" s="122"/>
      <c r="CX207" s="71" t="s">
        <v>271</v>
      </c>
      <c r="CY207" s="72" t="e">
        <f xml:space="preserve"> _xlfn.TEXTJOIN(" ", FALSE,#REF!)</f>
        <v>#REF!</v>
      </c>
      <c r="CZ207" s="122"/>
      <c r="DA207" s="71" t="s">
        <v>272</v>
      </c>
      <c r="DB207" s="73" t="e">
        <f xml:space="preserve"> _xlfn.TEXTJOIN(" ", FALSE,#REF!)</f>
        <v>#REF!</v>
      </c>
      <c r="DC207" s="65" t="s">
        <v>277</v>
      </c>
      <c r="DD207" s="70" t="e">
        <f t="shared" si="32"/>
        <v>#REF!</v>
      </c>
      <c r="DE207" s="64" t="s">
        <v>273</v>
      </c>
      <c r="DF207" s="122"/>
      <c r="DG207" s="71" t="s">
        <v>274</v>
      </c>
      <c r="DH207" s="72" t="e">
        <f xml:space="preserve"> _xlfn.TEXTJOIN(" ", FALSE,#REF!)</f>
        <v>#REF!</v>
      </c>
      <c r="DI207" s="122"/>
      <c r="DJ207" s="71" t="s">
        <v>275</v>
      </c>
      <c r="DK207" s="73" t="e">
        <f xml:space="preserve"> _xlfn.TEXTJOIN(" ", FALSE,#REF!)</f>
        <v>#REF!</v>
      </c>
      <c r="DL207" s="65" t="s">
        <v>277</v>
      </c>
      <c r="DM207" s="70" t="e">
        <f t="shared" si="33"/>
        <v>#REF!</v>
      </c>
      <c r="DN207" s="70" t="e">
        <f t="shared" si="34"/>
        <v>#REF!</v>
      </c>
    </row>
    <row r="208" spans="1:118" ht="49">
      <c r="A208" s="122" t="e">
        <f>Summary!A208</f>
        <v>#REF!</v>
      </c>
      <c r="B208" s="64" t="s">
        <v>233</v>
      </c>
      <c r="C208" s="65" t="e">
        <f>Summary!B208</f>
        <v>#REF!</v>
      </c>
      <c r="D208" s="122"/>
      <c r="E208" s="64" t="s">
        <v>235</v>
      </c>
      <c r="F208" s="132" t="e">
        <f>Summary!C208</f>
        <v>#REF!</v>
      </c>
      <c r="G208" s="64" t="s">
        <v>236</v>
      </c>
      <c r="H208" s="132" t="e">
        <f>Summary!D208</f>
        <v>#REF!</v>
      </c>
      <c r="I208" s="64" t="s">
        <v>237</v>
      </c>
      <c r="J208" s="66">
        <f>Summary!E208</f>
        <v>5</v>
      </c>
      <c r="K208" s="64" t="s">
        <v>238</v>
      </c>
      <c r="L208" s="132" t="e">
        <f>Summary!F208</f>
        <v>#REF!</v>
      </c>
      <c r="M208" s="64" t="s">
        <v>239</v>
      </c>
      <c r="N208" s="132" t="e">
        <f>Summary!G208</f>
        <v>#REF!</v>
      </c>
      <c r="O208" s="64" t="s">
        <v>240</v>
      </c>
      <c r="P208" s="132" t="e">
        <f>Summary!H208</f>
        <v>#REF!</v>
      </c>
      <c r="Q208" s="65" t="s">
        <v>277</v>
      </c>
      <c r="R208" s="70" t="e">
        <f t="shared" si="28"/>
        <v>#REF!</v>
      </c>
      <c r="S208" s="64" t="s">
        <v>243</v>
      </c>
      <c r="T208" s="122"/>
      <c r="U208" s="71" t="s">
        <v>244</v>
      </c>
      <c r="V208" s="72" t="e">
        <f xml:space="preserve"> _xlfn.TEXTJOIN(" ", FALSE,#REF!)</f>
        <v>#REF!</v>
      </c>
      <c r="W208" s="122"/>
      <c r="X208" s="71" t="s">
        <v>245</v>
      </c>
      <c r="Y208" s="72" t="e">
        <f xml:space="preserve"> _xlfn.TEXTJOIN(" ", FALSE,#REF!)</f>
        <v>#REF!</v>
      </c>
      <c r="Z208" s="122"/>
      <c r="AA208" s="71" t="s">
        <v>246</v>
      </c>
      <c r="AB208" s="72" t="e">
        <f xml:space="preserve"> _xlfn.TEXTJOIN(" ", FALSE,#REF!)</f>
        <v>#REF!</v>
      </c>
      <c r="AC208" s="122"/>
      <c r="AD208" s="71" t="s">
        <v>247</v>
      </c>
      <c r="AE208" s="72" t="e">
        <f xml:space="preserve"> _xlfn.TEXTJOIN(" ", FALSE,#REF!)</f>
        <v>#REF!</v>
      </c>
      <c r="AF208" s="122"/>
      <c r="AG208" s="71" t="s">
        <v>248</v>
      </c>
      <c r="AH208" s="73" t="e">
        <f xml:space="preserve"> _xlfn.TEXTJOIN(" ", FALSE,#REF!)</f>
        <v>#REF!</v>
      </c>
      <c r="AI208" s="122"/>
      <c r="AJ208" s="71" t="s">
        <v>249</v>
      </c>
      <c r="AK208" s="73" t="e">
        <f xml:space="preserve"> _xlfn.TEXTJOIN(" ", FALSE,#REF!)</f>
        <v>#REF!</v>
      </c>
      <c r="AL208" s="122"/>
      <c r="AM208" s="71" t="s">
        <v>250</v>
      </c>
      <c r="AN208" s="73" t="e">
        <f xml:space="preserve"> _xlfn.TEXTJOIN(" ", FALSE,#REF!)</f>
        <v>#REF!</v>
      </c>
      <c r="AO208" s="122"/>
      <c r="AP208" s="71" t="s">
        <v>251</v>
      </c>
      <c r="AQ208" s="72" t="e">
        <f xml:space="preserve"> _xlfn.TEXTJOIN(" ", FALSE,#REF!)</f>
        <v>#REF!</v>
      </c>
      <c r="AR208" s="122"/>
      <c r="AS208" s="71" t="s">
        <v>252</v>
      </c>
      <c r="AT208" s="72" t="e">
        <f xml:space="preserve"> _xlfn.TEXTJOIN(" ", FALSE,#REF!)</f>
        <v>#REF!</v>
      </c>
      <c r="AU208" s="122"/>
      <c r="AV208" s="71" t="s">
        <v>253</v>
      </c>
      <c r="AW208" s="73" t="e">
        <f xml:space="preserve"> _xlfn.TEXTJOIN(" ", FALSE,#REF!)</f>
        <v>#REF!</v>
      </c>
      <c r="AX208" s="122"/>
      <c r="AY208" s="71" t="s">
        <v>254</v>
      </c>
      <c r="AZ208" s="72" t="e">
        <f xml:space="preserve"> _xlfn.TEXTJOIN(" ", FALSE,#REF!)</f>
        <v>#REF!</v>
      </c>
      <c r="BA208" s="122"/>
      <c r="BB208" s="71" t="s">
        <v>255</v>
      </c>
      <c r="BC208" s="72" t="e">
        <f xml:space="preserve"> _xlfn.TEXTJOIN(" ", FALSE,#REF!)</f>
        <v>#REF!</v>
      </c>
      <c r="BD208" s="122"/>
      <c r="BE208" s="71" t="s">
        <v>256</v>
      </c>
      <c r="BF208" s="72" t="e">
        <f xml:space="preserve"> _xlfn.TEXTJOIN(" ", FALSE,#REF!)</f>
        <v>#REF!</v>
      </c>
      <c r="BG208" s="65" t="s">
        <v>277</v>
      </c>
      <c r="BH208" s="70" t="e">
        <f t="shared" si="29"/>
        <v>#REF!</v>
      </c>
      <c r="BI208" s="64" t="s">
        <v>257</v>
      </c>
      <c r="BJ208" s="122"/>
      <c r="BK208" s="71" t="s">
        <v>258</v>
      </c>
      <c r="BL208" s="74" t="str">
        <f>_xlfn.TEXTJOIN(" ", FALSE, 'Task 2a - Mitigating the Proble'!U208:AC208)</f>
        <v>0 0 0 0 1 1 0 1 Indeed, we need to consider the balance between L1 and L2 for the best results.</v>
      </c>
      <c r="BM208" s="65" t="s">
        <v>277</v>
      </c>
      <c r="BN208" s="70" t="str">
        <f t="shared" si="30"/>
        <v>[Details for Task 2a:]  /Question 12: 0 0 0 0 1 1 0 1 Indeed, we need to consider the balance between L1 and L2 for the best results. .</v>
      </c>
      <c r="BO208" s="64" t="s">
        <v>259</v>
      </c>
      <c r="BP208" s="122"/>
      <c r="BQ208" s="71" t="s">
        <v>260</v>
      </c>
      <c r="BR208" s="73" t="e">
        <f xml:space="preserve"> _xlfn.TEXTJOIN(" ", FALSE,#REF!)</f>
        <v>#REF!</v>
      </c>
      <c r="BS208" s="122"/>
      <c r="BT208" s="71" t="s">
        <v>261</v>
      </c>
      <c r="BU208" s="73" t="e">
        <f xml:space="preserve"> _xlfn.TEXTJOIN(" ", FALSE,#REF!)</f>
        <v>#REF!</v>
      </c>
      <c r="BV208" s="122"/>
      <c r="BW208" s="71" t="s">
        <v>262</v>
      </c>
      <c r="BX208" s="73" t="e">
        <f xml:space="preserve"> _xlfn.TEXTJOIN(" ", FALSE,#REF!)</f>
        <v>#REF!</v>
      </c>
      <c r="BY208" s="122"/>
      <c r="BZ208" s="71" t="s">
        <v>263</v>
      </c>
      <c r="CA208" s="73" t="e">
        <f xml:space="preserve"> _xlfn.TEXTJOIN(" ", FALSE,#REF!)</f>
        <v>#REF!</v>
      </c>
      <c r="CB208" s="122"/>
      <c r="CC208" s="71" t="s">
        <v>264</v>
      </c>
      <c r="CD208" s="73" t="e">
        <f xml:space="preserve"> _xlfn.TEXTJOIN(" ", FALSE,#REF!)</f>
        <v>#REF!</v>
      </c>
      <c r="CE208" s="122"/>
      <c r="CF208" s="71" t="s">
        <v>265</v>
      </c>
      <c r="CG208" s="73" t="e">
        <f xml:space="preserve"> _xlfn.TEXTJOIN(" ", FALSE,#REF!)</f>
        <v>#REF!</v>
      </c>
      <c r="CH208" s="122"/>
      <c r="CI208" s="74" t="s">
        <v>278</v>
      </c>
      <c r="CJ208" s="73" t="e">
        <f xml:space="preserve"> _xlfn.TEXTJOIN(" ", FALSE,#REF!)</f>
        <v>#REF!</v>
      </c>
      <c r="CK208" s="65" t="s">
        <v>277</v>
      </c>
      <c r="CL208" s="70" t="e">
        <f t="shared" si="31"/>
        <v>#REF!</v>
      </c>
      <c r="CM208" s="64" t="s">
        <v>267</v>
      </c>
      <c r="CN208" s="122"/>
      <c r="CO208" s="71" t="s">
        <v>268</v>
      </c>
      <c r="CP208" s="73" t="e">
        <f xml:space="preserve"> _xlfn.TEXTJOIN(" ", FALSE,#REF!)</f>
        <v>#REF!</v>
      </c>
      <c r="CQ208" s="122"/>
      <c r="CR208" s="71" t="s">
        <v>269</v>
      </c>
      <c r="CS208" s="73" t="e">
        <f xml:space="preserve"> _xlfn.TEXTJOIN(" ", FALSE,#REF!)</f>
        <v>#REF!</v>
      </c>
      <c r="CT208" s="122"/>
      <c r="CU208" s="71" t="s">
        <v>270</v>
      </c>
      <c r="CV208" s="72" t="e">
        <f xml:space="preserve"> _xlfn.TEXTJOIN(" ", FALSE,#REF!)</f>
        <v>#REF!</v>
      </c>
      <c r="CW208" s="122"/>
      <c r="CX208" s="71" t="s">
        <v>271</v>
      </c>
      <c r="CY208" s="72" t="e">
        <f xml:space="preserve"> _xlfn.TEXTJOIN(" ", FALSE,#REF!)</f>
        <v>#REF!</v>
      </c>
      <c r="CZ208" s="122"/>
      <c r="DA208" s="71" t="s">
        <v>272</v>
      </c>
      <c r="DB208" s="73" t="e">
        <f xml:space="preserve"> _xlfn.TEXTJOIN(" ", FALSE,#REF!)</f>
        <v>#REF!</v>
      </c>
      <c r="DC208" s="65" t="s">
        <v>277</v>
      </c>
      <c r="DD208" s="70" t="e">
        <f t="shared" si="32"/>
        <v>#REF!</v>
      </c>
      <c r="DE208" s="64" t="s">
        <v>273</v>
      </c>
      <c r="DF208" s="122"/>
      <c r="DG208" s="71" t="s">
        <v>274</v>
      </c>
      <c r="DH208" s="72" t="e">
        <f xml:space="preserve"> _xlfn.TEXTJOIN(" ", FALSE,#REF!)</f>
        <v>#REF!</v>
      </c>
      <c r="DI208" s="122"/>
      <c r="DJ208" s="71" t="s">
        <v>275</v>
      </c>
      <c r="DK208" s="73" t="e">
        <f xml:space="preserve"> _xlfn.TEXTJOIN(" ", FALSE,#REF!)</f>
        <v>#REF!</v>
      </c>
      <c r="DL208" s="65" t="s">
        <v>277</v>
      </c>
      <c r="DM208" s="70" t="e">
        <f t="shared" si="33"/>
        <v>#REF!</v>
      </c>
      <c r="DN208" s="70" t="e">
        <f t="shared" si="34"/>
        <v>#REF!</v>
      </c>
    </row>
    <row r="209" spans="1:118" ht="49">
      <c r="A209" s="122" t="e">
        <f>Summary!A209</f>
        <v>#REF!</v>
      </c>
      <c r="B209" s="64" t="s">
        <v>233</v>
      </c>
      <c r="C209" s="65" t="e">
        <f>Summary!B209</f>
        <v>#REF!</v>
      </c>
      <c r="D209" s="122"/>
      <c r="E209" s="64" t="s">
        <v>235</v>
      </c>
      <c r="F209" s="132" t="e">
        <f>Summary!C209</f>
        <v>#REF!</v>
      </c>
      <c r="G209" s="64" t="s">
        <v>236</v>
      </c>
      <c r="H209" s="132" t="e">
        <f>Summary!D209</f>
        <v>#REF!</v>
      </c>
      <c r="I209" s="64" t="s">
        <v>237</v>
      </c>
      <c r="J209" s="66">
        <f>Summary!E209</f>
        <v>6</v>
      </c>
      <c r="K209" s="64" t="s">
        <v>238</v>
      </c>
      <c r="L209" s="132" t="e">
        <f>Summary!F209</f>
        <v>#REF!</v>
      </c>
      <c r="M209" s="64" t="s">
        <v>239</v>
      </c>
      <c r="N209" s="132" t="e">
        <f>Summary!G209</f>
        <v>#REF!</v>
      </c>
      <c r="O209" s="64" t="s">
        <v>240</v>
      </c>
      <c r="P209" s="132" t="e">
        <f>Summary!H209</f>
        <v>#REF!</v>
      </c>
      <c r="Q209" s="65" t="s">
        <v>277</v>
      </c>
      <c r="R209" s="70" t="e">
        <f t="shared" si="28"/>
        <v>#REF!</v>
      </c>
      <c r="S209" s="64" t="s">
        <v>243</v>
      </c>
      <c r="T209" s="122"/>
      <c r="U209" s="71" t="s">
        <v>244</v>
      </c>
      <c r="V209" s="72" t="e">
        <f xml:space="preserve"> _xlfn.TEXTJOIN(" ", FALSE,#REF!)</f>
        <v>#REF!</v>
      </c>
      <c r="W209" s="122"/>
      <c r="X209" s="71" t="s">
        <v>245</v>
      </c>
      <c r="Y209" s="72" t="e">
        <f xml:space="preserve"> _xlfn.TEXTJOIN(" ", FALSE,#REF!)</f>
        <v>#REF!</v>
      </c>
      <c r="Z209" s="122"/>
      <c r="AA209" s="71" t="s">
        <v>246</v>
      </c>
      <c r="AB209" s="72" t="e">
        <f xml:space="preserve"> _xlfn.TEXTJOIN(" ", FALSE,#REF!)</f>
        <v>#REF!</v>
      </c>
      <c r="AC209" s="122"/>
      <c r="AD209" s="71" t="s">
        <v>247</v>
      </c>
      <c r="AE209" s="72" t="e">
        <f xml:space="preserve"> _xlfn.TEXTJOIN(" ", FALSE,#REF!)</f>
        <v>#REF!</v>
      </c>
      <c r="AF209" s="122"/>
      <c r="AG209" s="71" t="s">
        <v>248</v>
      </c>
      <c r="AH209" s="73" t="e">
        <f xml:space="preserve"> _xlfn.TEXTJOIN(" ", FALSE,#REF!)</f>
        <v>#REF!</v>
      </c>
      <c r="AI209" s="122"/>
      <c r="AJ209" s="71" t="s">
        <v>249</v>
      </c>
      <c r="AK209" s="73" t="e">
        <f xml:space="preserve"> _xlfn.TEXTJOIN(" ", FALSE,#REF!)</f>
        <v>#REF!</v>
      </c>
      <c r="AL209" s="122"/>
      <c r="AM209" s="71" t="s">
        <v>250</v>
      </c>
      <c r="AN209" s="73" t="e">
        <f xml:space="preserve"> _xlfn.TEXTJOIN(" ", FALSE,#REF!)</f>
        <v>#REF!</v>
      </c>
      <c r="AO209" s="122"/>
      <c r="AP209" s="71" t="s">
        <v>251</v>
      </c>
      <c r="AQ209" s="72" t="e">
        <f xml:space="preserve"> _xlfn.TEXTJOIN(" ", FALSE,#REF!)</f>
        <v>#REF!</v>
      </c>
      <c r="AR209" s="122"/>
      <c r="AS209" s="71" t="s">
        <v>252</v>
      </c>
      <c r="AT209" s="72" t="e">
        <f xml:space="preserve"> _xlfn.TEXTJOIN(" ", FALSE,#REF!)</f>
        <v>#REF!</v>
      </c>
      <c r="AU209" s="122"/>
      <c r="AV209" s="71" t="s">
        <v>253</v>
      </c>
      <c r="AW209" s="73" t="e">
        <f xml:space="preserve"> _xlfn.TEXTJOIN(" ", FALSE,#REF!)</f>
        <v>#REF!</v>
      </c>
      <c r="AX209" s="122"/>
      <c r="AY209" s="71" t="s">
        <v>254</v>
      </c>
      <c r="AZ209" s="72" t="e">
        <f xml:space="preserve"> _xlfn.TEXTJOIN(" ", FALSE,#REF!)</f>
        <v>#REF!</v>
      </c>
      <c r="BA209" s="122"/>
      <c r="BB209" s="71" t="s">
        <v>255</v>
      </c>
      <c r="BC209" s="72" t="e">
        <f xml:space="preserve"> _xlfn.TEXTJOIN(" ", FALSE,#REF!)</f>
        <v>#REF!</v>
      </c>
      <c r="BD209" s="122"/>
      <c r="BE209" s="71" t="s">
        <v>256</v>
      </c>
      <c r="BF209" s="72" t="e">
        <f xml:space="preserve"> _xlfn.TEXTJOIN(" ", FALSE,#REF!)</f>
        <v>#REF!</v>
      </c>
      <c r="BG209" s="65" t="s">
        <v>277</v>
      </c>
      <c r="BH209" s="70" t="e">
        <f t="shared" si="29"/>
        <v>#REF!</v>
      </c>
      <c r="BI209" s="64" t="s">
        <v>257</v>
      </c>
      <c r="BJ209" s="122"/>
      <c r="BK209" s="71" t="s">
        <v>258</v>
      </c>
      <c r="BL209" s="74" t="str">
        <f>_xlfn.TEXTJOIN(" ", FALSE, 'Task 2a - Mitigating the Proble'!U209:AC209)</f>
        <v>1 0 0 1 0 1 0 1 Good explanation on where the combined effect could be useful.</v>
      </c>
      <c r="BM209" s="65" t="s">
        <v>277</v>
      </c>
      <c r="BN209" s="70" t="str">
        <f t="shared" si="30"/>
        <v>[Details for Task 2a:]  /Question 12: 1 0 0 1 0 1 0 1 Good explanation on where the combined effect could be useful. .</v>
      </c>
      <c r="BO209" s="64" t="s">
        <v>259</v>
      </c>
      <c r="BP209" s="122"/>
      <c r="BQ209" s="71" t="s">
        <v>260</v>
      </c>
      <c r="BR209" s="73" t="e">
        <f xml:space="preserve"> _xlfn.TEXTJOIN(" ", FALSE,#REF!)</f>
        <v>#REF!</v>
      </c>
      <c r="BS209" s="122"/>
      <c r="BT209" s="71" t="s">
        <v>261</v>
      </c>
      <c r="BU209" s="73" t="e">
        <f xml:space="preserve"> _xlfn.TEXTJOIN(" ", FALSE,#REF!)</f>
        <v>#REF!</v>
      </c>
      <c r="BV209" s="122"/>
      <c r="BW209" s="71" t="s">
        <v>262</v>
      </c>
      <c r="BX209" s="73" t="e">
        <f xml:space="preserve"> _xlfn.TEXTJOIN(" ", FALSE,#REF!)</f>
        <v>#REF!</v>
      </c>
      <c r="BY209" s="122"/>
      <c r="BZ209" s="71" t="s">
        <v>263</v>
      </c>
      <c r="CA209" s="73" t="e">
        <f xml:space="preserve"> _xlfn.TEXTJOIN(" ", FALSE,#REF!)</f>
        <v>#REF!</v>
      </c>
      <c r="CB209" s="122"/>
      <c r="CC209" s="71" t="s">
        <v>264</v>
      </c>
      <c r="CD209" s="73" t="e">
        <f xml:space="preserve"> _xlfn.TEXTJOIN(" ", FALSE,#REF!)</f>
        <v>#REF!</v>
      </c>
      <c r="CE209" s="122"/>
      <c r="CF209" s="71" t="s">
        <v>265</v>
      </c>
      <c r="CG209" s="73" t="e">
        <f xml:space="preserve"> _xlfn.TEXTJOIN(" ", FALSE,#REF!)</f>
        <v>#REF!</v>
      </c>
      <c r="CH209" s="122"/>
      <c r="CI209" s="74" t="s">
        <v>278</v>
      </c>
      <c r="CJ209" s="73" t="e">
        <f xml:space="preserve"> _xlfn.TEXTJOIN(" ", FALSE,#REF!)</f>
        <v>#REF!</v>
      </c>
      <c r="CK209" s="65" t="s">
        <v>277</v>
      </c>
      <c r="CL209" s="70" t="e">
        <f t="shared" si="31"/>
        <v>#REF!</v>
      </c>
      <c r="CM209" s="64" t="s">
        <v>267</v>
      </c>
      <c r="CN209" s="122"/>
      <c r="CO209" s="71" t="s">
        <v>268</v>
      </c>
      <c r="CP209" s="73" t="e">
        <f xml:space="preserve"> _xlfn.TEXTJOIN(" ", FALSE,#REF!)</f>
        <v>#REF!</v>
      </c>
      <c r="CQ209" s="122"/>
      <c r="CR209" s="71" t="s">
        <v>269</v>
      </c>
      <c r="CS209" s="73" t="e">
        <f xml:space="preserve"> _xlfn.TEXTJOIN(" ", FALSE,#REF!)</f>
        <v>#REF!</v>
      </c>
      <c r="CT209" s="122"/>
      <c r="CU209" s="71" t="s">
        <v>270</v>
      </c>
      <c r="CV209" s="72" t="e">
        <f xml:space="preserve"> _xlfn.TEXTJOIN(" ", FALSE,#REF!)</f>
        <v>#REF!</v>
      </c>
      <c r="CW209" s="122"/>
      <c r="CX209" s="71" t="s">
        <v>271</v>
      </c>
      <c r="CY209" s="72" t="e">
        <f xml:space="preserve"> _xlfn.TEXTJOIN(" ", FALSE,#REF!)</f>
        <v>#REF!</v>
      </c>
      <c r="CZ209" s="122"/>
      <c r="DA209" s="71" t="s">
        <v>272</v>
      </c>
      <c r="DB209" s="73" t="e">
        <f xml:space="preserve"> _xlfn.TEXTJOIN(" ", FALSE,#REF!)</f>
        <v>#REF!</v>
      </c>
      <c r="DC209" s="65" t="s">
        <v>277</v>
      </c>
      <c r="DD209" s="70" t="e">
        <f t="shared" si="32"/>
        <v>#REF!</v>
      </c>
      <c r="DE209" s="64" t="s">
        <v>273</v>
      </c>
      <c r="DF209" s="122"/>
      <c r="DG209" s="71" t="s">
        <v>274</v>
      </c>
      <c r="DH209" s="72" t="e">
        <f xml:space="preserve"> _xlfn.TEXTJOIN(" ", FALSE,#REF!)</f>
        <v>#REF!</v>
      </c>
      <c r="DI209" s="122"/>
      <c r="DJ209" s="71" t="s">
        <v>275</v>
      </c>
      <c r="DK209" s="73" t="e">
        <f xml:space="preserve"> _xlfn.TEXTJOIN(" ", FALSE,#REF!)</f>
        <v>#REF!</v>
      </c>
      <c r="DL209" s="65" t="s">
        <v>277</v>
      </c>
      <c r="DM209" s="70" t="e">
        <f t="shared" si="33"/>
        <v>#REF!</v>
      </c>
      <c r="DN209" s="70" t="e">
        <f t="shared" si="34"/>
        <v>#REF!</v>
      </c>
    </row>
    <row r="210" spans="1:118" ht="49">
      <c r="A210" s="122" t="e">
        <f>Summary!A210</f>
        <v>#REF!</v>
      </c>
      <c r="B210" s="64" t="s">
        <v>233</v>
      </c>
      <c r="C210" s="65" t="e">
        <f>Summary!B210</f>
        <v>#REF!</v>
      </c>
      <c r="D210" s="122"/>
      <c r="E210" s="64" t="s">
        <v>235</v>
      </c>
      <c r="F210" s="132" t="e">
        <f>Summary!C210</f>
        <v>#REF!</v>
      </c>
      <c r="G210" s="64" t="s">
        <v>236</v>
      </c>
      <c r="H210" s="132" t="e">
        <f>Summary!D210</f>
        <v>#REF!</v>
      </c>
      <c r="I210" s="64" t="s">
        <v>237</v>
      </c>
      <c r="J210" s="66">
        <f>Summary!E210</f>
        <v>5</v>
      </c>
      <c r="K210" s="64" t="s">
        <v>238</v>
      </c>
      <c r="L210" s="132" t="e">
        <f>Summary!F210</f>
        <v>#REF!</v>
      </c>
      <c r="M210" s="64" t="s">
        <v>239</v>
      </c>
      <c r="N210" s="132" t="e">
        <f>Summary!G210</f>
        <v>#REF!</v>
      </c>
      <c r="O210" s="64" t="s">
        <v>240</v>
      </c>
      <c r="P210" s="132" t="e">
        <f>Summary!H210</f>
        <v>#REF!</v>
      </c>
      <c r="Q210" s="65" t="s">
        <v>277</v>
      </c>
      <c r="R210" s="70" t="e">
        <f t="shared" si="28"/>
        <v>#REF!</v>
      </c>
      <c r="S210" s="64" t="s">
        <v>243</v>
      </c>
      <c r="T210" s="122"/>
      <c r="U210" s="71" t="s">
        <v>244</v>
      </c>
      <c r="V210" s="72" t="e">
        <f xml:space="preserve"> _xlfn.TEXTJOIN(" ", FALSE,#REF!)</f>
        <v>#REF!</v>
      </c>
      <c r="W210" s="122"/>
      <c r="X210" s="71" t="s">
        <v>245</v>
      </c>
      <c r="Y210" s="72" t="e">
        <f xml:space="preserve"> _xlfn.TEXTJOIN(" ", FALSE,#REF!)</f>
        <v>#REF!</v>
      </c>
      <c r="Z210" s="122"/>
      <c r="AA210" s="71" t="s">
        <v>246</v>
      </c>
      <c r="AB210" s="72" t="e">
        <f xml:space="preserve"> _xlfn.TEXTJOIN(" ", FALSE,#REF!)</f>
        <v>#REF!</v>
      </c>
      <c r="AC210" s="122"/>
      <c r="AD210" s="71" t="s">
        <v>247</v>
      </c>
      <c r="AE210" s="72" t="e">
        <f xml:space="preserve"> _xlfn.TEXTJOIN(" ", FALSE,#REF!)</f>
        <v>#REF!</v>
      </c>
      <c r="AF210" s="122"/>
      <c r="AG210" s="71" t="s">
        <v>248</v>
      </c>
      <c r="AH210" s="73" t="e">
        <f xml:space="preserve"> _xlfn.TEXTJOIN(" ", FALSE,#REF!)</f>
        <v>#REF!</v>
      </c>
      <c r="AI210" s="122"/>
      <c r="AJ210" s="71" t="s">
        <v>249</v>
      </c>
      <c r="AK210" s="73" t="e">
        <f xml:space="preserve"> _xlfn.TEXTJOIN(" ", FALSE,#REF!)</f>
        <v>#REF!</v>
      </c>
      <c r="AL210" s="122"/>
      <c r="AM210" s="71" t="s">
        <v>250</v>
      </c>
      <c r="AN210" s="73" t="e">
        <f xml:space="preserve"> _xlfn.TEXTJOIN(" ", FALSE,#REF!)</f>
        <v>#REF!</v>
      </c>
      <c r="AO210" s="122"/>
      <c r="AP210" s="71" t="s">
        <v>251</v>
      </c>
      <c r="AQ210" s="72" t="e">
        <f xml:space="preserve"> _xlfn.TEXTJOIN(" ", FALSE,#REF!)</f>
        <v>#REF!</v>
      </c>
      <c r="AR210" s="122"/>
      <c r="AS210" s="71" t="s">
        <v>252</v>
      </c>
      <c r="AT210" s="72" t="e">
        <f xml:space="preserve"> _xlfn.TEXTJOIN(" ", FALSE,#REF!)</f>
        <v>#REF!</v>
      </c>
      <c r="AU210" s="122"/>
      <c r="AV210" s="71" t="s">
        <v>253</v>
      </c>
      <c r="AW210" s="73" t="e">
        <f xml:space="preserve"> _xlfn.TEXTJOIN(" ", FALSE,#REF!)</f>
        <v>#REF!</v>
      </c>
      <c r="AX210" s="122"/>
      <c r="AY210" s="71" t="s">
        <v>254</v>
      </c>
      <c r="AZ210" s="72" t="e">
        <f xml:space="preserve"> _xlfn.TEXTJOIN(" ", FALSE,#REF!)</f>
        <v>#REF!</v>
      </c>
      <c r="BA210" s="122"/>
      <c r="BB210" s="71" t="s">
        <v>255</v>
      </c>
      <c r="BC210" s="72" t="e">
        <f xml:space="preserve"> _xlfn.TEXTJOIN(" ", FALSE,#REF!)</f>
        <v>#REF!</v>
      </c>
      <c r="BD210" s="122"/>
      <c r="BE210" s="71" t="s">
        <v>256</v>
      </c>
      <c r="BF210" s="72" t="e">
        <f xml:space="preserve"> _xlfn.TEXTJOIN(" ", FALSE,#REF!)</f>
        <v>#REF!</v>
      </c>
      <c r="BG210" s="65" t="s">
        <v>277</v>
      </c>
      <c r="BH210" s="70" t="e">
        <f t="shared" si="29"/>
        <v>#REF!</v>
      </c>
      <c r="BI210" s="64" t="s">
        <v>257</v>
      </c>
      <c r="BJ210" s="122"/>
      <c r="BK210" s="71" t="s">
        <v>258</v>
      </c>
      <c r="BL210" s="74" t="str">
        <f>_xlfn.TEXTJOIN(" ", FALSE, 'Task 2a - Mitigating the Proble'!U210:AC210)</f>
        <v>0 0 1 1 0 1 0 1 Good use of additional reference.</v>
      </c>
      <c r="BM210" s="65" t="s">
        <v>277</v>
      </c>
      <c r="BN210" s="70" t="str">
        <f t="shared" si="30"/>
        <v>[Details for Task 2a:]  /Question 12: 0 0 1 1 0 1 0 1 Good use of additional reference. .</v>
      </c>
      <c r="BO210" s="64" t="s">
        <v>259</v>
      </c>
      <c r="BP210" s="122"/>
      <c r="BQ210" s="71" t="s">
        <v>260</v>
      </c>
      <c r="BR210" s="73" t="e">
        <f xml:space="preserve"> _xlfn.TEXTJOIN(" ", FALSE,#REF!)</f>
        <v>#REF!</v>
      </c>
      <c r="BS210" s="122"/>
      <c r="BT210" s="71" t="s">
        <v>261</v>
      </c>
      <c r="BU210" s="73" t="e">
        <f xml:space="preserve"> _xlfn.TEXTJOIN(" ", FALSE,#REF!)</f>
        <v>#REF!</v>
      </c>
      <c r="BV210" s="122"/>
      <c r="BW210" s="71" t="s">
        <v>262</v>
      </c>
      <c r="BX210" s="73" t="e">
        <f xml:space="preserve"> _xlfn.TEXTJOIN(" ", FALSE,#REF!)</f>
        <v>#REF!</v>
      </c>
      <c r="BY210" s="122"/>
      <c r="BZ210" s="71" t="s">
        <v>263</v>
      </c>
      <c r="CA210" s="73" t="e">
        <f xml:space="preserve"> _xlfn.TEXTJOIN(" ", FALSE,#REF!)</f>
        <v>#REF!</v>
      </c>
      <c r="CB210" s="122"/>
      <c r="CC210" s="71" t="s">
        <v>264</v>
      </c>
      <c r="CD210" s="73" t="e">
        <f xml:space="preserve"> _xlfn.TEXTJOIN(" ", FALSE,#REF!)</f>
        <v>#REF!</v>
      </c>
      <c r="CE210" s="122"/>
      <c r="CF210" s="71" t="s">
        <v>265</v>
      </c>
      <c r="CG210" s="73" t="e">
        <f xml:space="preserve"> _xlfn.TEXTJOIN(" ", FALSE,#REF!)</f>
        <v>#REF!</v>
      </c>
      <c r="CH210" s="122"/>
      <c r="CI210" s="74" t="s">
        <v>278</v>
      </c>
      <c r="CJ210" s="73" t="e">
        <f xml:space="preserve"> _xlfn.TEXTJOIN(" ", FALSE,#REF!)</f>
        <v>#REF!</v>
      </c>
      <c r="CK210" s="65" t="s">
        <v>277</v>
      </c>
      <c r="CL210" s="70" t="e">
        <f t="shared" si="31"/>
        <v>#REF!</v>
      </c>
      <c r="CM210" s="64" t="s">
        <v>267</v>
      </c>
      <c r="CN210" s="122"/>
      <c r="CO210" s="71" t="s">
        <v>268</v>
      </c>
      <c r="CP210" s="73" t="e">
        <f xml:space="preserve"> _xlfn.TEXTJOIN(" ", FALSE,#REF!)</f>
        <v>#REF!</v>
      </c>
      <c r="CQ210" s="122"/>
      <c r="CR210" s="71" t="s">
        <v>269</v>
      </c>
      <c r="CS210" s="73" t="e">
        <f xml:space="preserve"> _xlfn.TEXTJOIN(" ", FALSE,#REF!)</f>
        <v>#REF!</v>
      </c>
      <c r="CT210" s="122"/>
      <c r="CU210" s="71" t="s">
        <v>270</v>
      </c>
      <c r="CV210" s="72" t="e">
        <f xml:space="preserve"> _xlfn.TEXTJOIN(" ", FALSE,#REF!)</f>
        <v>#REF!</v>
      </c>
      <c r="CW210" s="122"/>
      <c r="CX210" s="71" t="s">
        <v>271</v>
      </c>
      <c r="CY210" s="72" t="e">
        <f xml:space="preserve"> _xlfn.TEXTJOIN(" ", FALSE,#REF!)</f>
        <v>#REF!</v>
      </c>
      <c r="CZ210" s="122"/>
      <c r="DA210" s="71" t="s">
        <v>272</v>
      </c>
      <c r="DB210" s="73" t="e">
        <f xml:space="preserve"> _xlfn.TEXTJOIN(" ", FALSE,#REF!)</f>
        <v>#REF!</v>
      </c>
      <c r="DC210" s="65" t="s">
        <v>277</v>
      </c>
      <c r="DD210" s="70" t="e">
        <f t="shared" si="32"/>
        <v>#REF!</v>
      </c>
      <c r="DE210" s="64" t="s">
        <v>273</v>
      </c>
      <c r="DF210" s="122"/>
      <c r="DG210" s="71" t="s">
        <v>274</v>
      </c>
      <c r="DH210" s="72" t="e">
        <f xml:space="preserve"> _xlfn.TEXTJOIN(" ", FALSE,#REF!)</f>
        <v>#REF!</v>
      </c>
      <c r="DI210" s="122"/>
      <c r="DJ210" s="71" t="s">
        <v>275</v>
      </c>
      <c r="DK210" s="73" t="e">
        <f xml:space="preserve"> _xlfn.TEXTJOIN(" ", FALSE,#REF!)</f>
        <v>#REF!</v>
      </c>
      <c r="DL210" s="65" t="s">
        <v>277</v>
      </c>
      <c r="DM210" s="70" t="e">
        <f t="shared" si="33"/>
        <v>#REF!</v>
      </c>
      <c r="DN210" s="70" t="e">
        <f t="shared" si="34"/>
        <v>#REF!</v>
      </c>
    </row>
    <row r="211" spans="1:118" ht="61">
      <c r="A211" s="122" t="e">
        <f>Summary!A211</f>
        <v>#REF!</v>
      </c>
      <c r="B211" s="64" t="s">
        <v>233</v>
      </c>
      <c r="C211" s="65" t="e">
        <f>Summary!B211</f>
        <v>#REF!</v>
      </c>
      <c r="D211" s="122"/>
      <c r="E211" s="64" t="s">
        <v>235</v>
      </c>
      <c r="F211" s="132" t="e">
        <f>Summary!C211</f>
        <v>#REF!</v>
      </c>
      <c r="G211" s="64" t="s">
        <v>236</v>
      </c>
      <c r="H211" s="132" t="e">
        <f>Summary!D211</f>
        <v>#REF!</v>
      </c>
      <c r="I211" s="64" t="s">
        <v>237</v>
      </c>
      <c r="J211" s="66">
        <f>Summary!E211</f>
        <v>5</v>
      </c>
      <c r="K211" s="64" t="s">
        <v>238</v>
      </c>
      <c r="L211" s="132" t="e">
        <f>Summary!F211</f>
        <v>#REF!</v>
      </c>
      <c r="M211" s="64" t="s">
        <v>239</v>
      </c>
      <c r="N211" s="132" t="e">
        <f>Summary!G211</f>
        <v>#REF!</v>
      </c>
      <c r="O211" s="64" t="s">
        <v>240</v>
      </c>
      <c r="P211" s="132" t="e">
        <f>Summary!H211</f>
        <v>#REF!</v>
      </c>
      <c r="Q211" s="65" t="s">
        <v>277</v>
      </c>
      <c r="R211" s="70" t="e">
        <f t="shared" si="28"/>
        <v>#REF!</v>
      </c>
      <c r="S211" s="64" t="s">
        <v>243</v>
      </c>
      <c r="T211" s="122"/>
      <c r="U211" s="71" t="s">
        <v>244</v>
      </c>
      <c r="V211" s="72" t="e">
        <f xml:space="preserve"> _xlfn.TEXTJOIN(" ", FALSE,#REF!)</f>
        <v>#REF!</v>
      </c>
      <c r="W211" s="122"/>
      <c r="X211" s="71" t="s">
        <v>245</v>
      </c>
      <c r="Y211" s="72" t="e">
        <f xml:space="preserve"> _xlfn.TEXTJOIN(" ", FALSE,#REF!)</f>
        <v>#REF!</v>
      </c>
      <c r="Z211" s="122"/>
      <c r="AA211" s="71" t="s">
        <v>246</v>
      </c>
      <c r="AB211" s="72" t="e">
        <f xml:space="preserve"> _xlfn.TEXTJOIN(" ", FALSE,#REF!)</f>
        <v>#REF!</v>
      </c>
      <c r="AC211" s="122"/>
      <c r="AD211" s="71" t="s">
        <v>247</v>
      </c>
      <c r="AE211" s="72" t="e">
        <f xml:space="preserve"> _xlfn.TEXTJOIN(" ", FALSE,#REF!)</f>
        <v>#REF!</v>
      </c>
      <c r="AF211" s="122"/>
      <c r="AG211" s="71" t="s">
        <v>248</v>
      </c>
      <c r="AH211" s="73" t="e">
        <f xml:space="preserve"> _xlfn.TEXTJOIN(" ", FALSE,#REF!)</f>
        <v>#REF!</v>
      </c>
      <c r="AI211" s="122"/>
      <c r="AJ211" s="71" t="s">
        <v>249</v>
      </c>
      <c r="AK211" s="73" t="e">
        <f xml:space="preserve"> _xlfn.TEXTJOIN(" ", FALSE,#REF!)</f>
        <v>#REF!</v>
      </c>
      <c r="AL211" s="122"/>
      <c r="AM211" s="71" t="s">
        <v>250</v>
      </c>
      <c r="AN211" s="73" t="e">
        <f xml:space="preserve"> _xlfn.TEXTJOIN(" ", FALSE,#REF!)</f>
        <v>#REF!</v>
      </c>
      <c r="AO211" s="122"/>
      <c r="AP211" s="71" t="s">
        <v>251</v>
      </c>
      <c r="AQ211" s="72" t="e">
        <f xml:space="preserve"> _xlfn.TEXTJOIN(" ", FALSE,#REF!)</f>
        <v>#REF!</v>
      </c>
      <c r="AR211" s="122"/>
      <c r="AS211" s="71" t="s">
        <v>252</v>
      </c>
      <c r="AT211" s="72" t="e">
        <f xml:space="preserve"> _xlfn.TEXTJOIN(" ", FALSE,#REF!)</f>
        <v>#REF!</v>
      </c>
      <c r="AU211" s="122"/>
      <c r="AV211" s="71" t="s">
        <v>253</v>
      </c>
      <c r="AW211" s="73" t="e">
        <f xml:space="preserve"> _xlfn.TEXTJOIN(" ", FALSE,#REF!)</f>
        <v>#REF!</v>
      </c>
      <c r="AX211" s="122"/>
      <c r="AY211" s="71" t="s">
        <v>254</v>
      </c>
      <c r="AZ211" s="72" t="e">
        <f xml:space="preserve"> _xlfn.TEXTJOIN(" ", FALSE,#REF!)</f>
        <v>#REF!</v>
      </c>
      <c r="BA211" s="122"/>
      <c r="BB211" s="71" t="s">
        <v>255</v>
      </c>
      <c r="BC211" s="72" t="e">
        <f xml:space="preserve"> _xlfn.TEXTJOIN(" ", FALSE,#REF!)</f>
        <v>#REF!</v>
      </c>
      <c r="BD211" s="122"/>
      <c r="BE211" s="71" t="s">
        <v>256</v>
      </c>
      <c r="BF211" s="72" t="e">
        <f xml:space="preserve"> _xlfn.TEXTJOIN(" ", FALSE,#REF!)</f>
        <v>#REF!</v>
      </c>
      <c r="BG211" s="65" t="s">
        <v>277</v>
      </c>
      <c r="BH211" s="70" t="e">
        <f t="shared" si="29"/>
        <v>#REF!</v>
      </c>
      <c r="BI211" s="64" t="s">
        <v>257</v>
      </c>
      <c r="BJ211" s="122"/>
      <c r="BK211" s="71" t="s">
        <v>258</v>
      </c>
      <c r="BL211" s="74" t="str">
        <f>_xlfn.TEXTJOIN(" ", FALSE, 'Task 2a - Mitigating the Proble'!U211:AC211)</f>
        <v>0 1 0 0 1 1 0 0 Lp is a general form of regularization expressed in terms of p-norm. The question asks about the combination of p=1 (L1/Lasso) and p=2 (L2/Ridge) regularizations.</v>
      </c>
      <c r="BM211" s="65" t="s">
        <v>277</v>
      </c>
      <c r="BN211" s="70" t="str">
        <f t="shared" si="30"/>
        <v>[Details for Task 2a:]  /Question 12: 0 1 0 0 1 1 0 0 Lp is a general form of regularization expressed in terms of p-norm. The question asks about the combination of p=1 (L1/Lasso) and p=2 (L2/Ridge) regularizations. .</v>
      </c>
      <c r="BO211" s="64" t="s">
        <v>259</v>
      </c>
      <c r="BP211" s="122"/>
      <c r="BQ211" s="71" t="s">
        <v>260</v>
      </c>
      <c r="BR211" s="73" t="e">
        <f xml:space="preserve"> _xlfn.TEXTJOIN(" ", FALSE,#REF!)</f>
        <v>#REF!</v>
      </c>
      <c r="BS211" s="122"/>
      <c r="BT211" s="71" t="s">
        <v>261</v>
      </c>
      <c r="BU211" s="73" t="e">
        <f xml:space="preserve"> _xlfn.TEXTJOIN(" ", FALSE,#REF!)</f>
        <v>#REF!</v>
      </c>
      <c r="BV211" s="122"/>
      <c r="BW211" s="71" t="s">
        <v>262</v>
      </c>
      <c r="BX211" s="73" t="e">
        <f xml:space="preserve"> _xlfn.TEXTJOIN(" ", FALSE,#REF!)</f>
        <v>#REF!</v>
      </c>
      <c r="BY211" s="122"/>
      <c r="BZ211" s="71" t="s">
        <v>263</v>
      </c>
      <c r="CA211" s="73" t="e">
        <f xml:space="preserve"> _xlfn.TEXTJOIN(" ", FALSE,#REF!)</f>
        <v>#REF!</v>
      </c>
      <c r="CB211" s="122"/>
      <c r="CC211" s="71" t="s">
        <v>264</v>
      </c>
      <c r="CD211" s="73" t="e">
        <f xml:space="preserve"> _xlfn.TEXTJOIN(" ", FALSE,#REF!)</f>
        <v>#REF!</v>
      </c>
      <c r="CE211" s="122"/>
      <c r="CF211" s="71" t="s">
        <v>265</v>
      </c>
      <c r="CG211" s="73" t="e">
        <f xml:space="preserve"> _xlfn.TEXTJOIN(" ", FALSE,#REF!)</f>
        <v>#REF!</v>
      </c>
      <c r="CH211" s="122"/>
      <c r="CI211" s="74" t="s">
        <v>278</v>
      </c>
      <c r="CJ211" s="73" t="e">
        <f xml:space="preserve"> _xlfn.TEXTJOIN(" ", FALSE,#REF!)</f>
        <v>#REF!</v>
      </c>
      <c r="CK211" s="65" t="s">
        <v>277</v>
      </c>
      <c r="CL211" s="70" t="e">
        <f t="shared" si="31"/>
        <v>#REF!</v>
      </c>
      <c r="CM211" s="64" t="s">
        <v>267</v>
      </c>
      <c r="CN211" s="122"/>
      <c r="CO211" s="71" t="s">
        <v>268</v>
      </c>
      <c r="CP211" s="73" t="e">
        <f xml:space="preserve"> _xlfn.TEXTJOIN(" ", FALSE,#REF!)</f>
        <v>#REF!</v>
      </c>
      <c r="CQ211" s="122"/>
      <c r="CR211" s="71" t="s">
        <v>269</v>
      </c>
      <c r="CS211" s="73" t="e">
        <f xml:space="preserve"> _xlfn.TEXTJOIN(" ", FALSE,#REF!)</f>
        <v>#REF!</v>
      </c>
      <c r="CT211" s="122"/>
      <c r="CU211" s="71" t="s">
        <v>270</v>
      </c>
      <c r="CV211" s="72" t="e">
        <f xml:space="preserve"> _xlfn.TEXTJOIN(" ", FALSE,#REF!)</f>
        <v>#REF!</v>
      </c>
      <c r="CW211" s="122"/>
      <c r="CX211" s="71" t="s">
        <v>271</v>
      </c>
      <c r="CY211" s="72" t="e">
        <f xml:space="preserve"> _xlfn.TEXTJOIN(" ", FALSE,#REF!)</f>
        <v>#REF!</v>
      </c>
      <c r="CZ211" s="122"/>
      <c r="DA211" s="71" t="s">
        <v>272</v>
      </c>
      <c r="DB211" s="73" t="e">
        <f xml:space="preserve"> _xlfn.TEXTJOIN(" ", FALSE,#REF!)</f>
        <v>#REF!</v>
      </c>
      <c r="DC211" s="65" t="s">
        <v>277</v>
      </c>
      <c r="DD211" s="70" t="e">
        <f t="shared" si="32"/>
        <v>#REF!</v>
      </c>
      <c r="DE211" s="64" t="s">
        <v>273</v>
      </c>
      <c r="DF211" s="122"/>
      <c r="DG211" s="71" t="s">
        <v>274</v>
      </c>
      <c r="DH211" s="72" t="e">
        <f xml:space="preserve"> _xlfn.TEXTJOIN(" ", FALSE,#REF!)</f>
        <v>#REF!</v>
      </c>
      <c r="DI211" s="122"/>
      <c r="DJ211" s="71" t="s">
        <v>275</v>
      </c>
      <c r="DK211" s="73" t="e">
        <f xml:space="preserve"> _xlfn.TEXTJOIN(" ", FALSE,#REF!)</f>
        <v>#REF!</v>
      </c>
      <c r="DL211" s="65" t="s">
        <v>277</v>
      </c>
      <c r="DM211" s="70" t="e">
        <f t="shared" si="33"/>
        <v>#REF!</v>
      </c>
      <c r="DN211" s="70" t="e">
        <f t="shared" si="34"/>
        <v>#REF!</v>
      </c>
    </row>
    <row r="212" spans="1:118" ht="49">
      <c r="A212" s="122" t="e">
        <f>Summary!A212</f>
        <v>#REF!</v>
      </c>
      <c r="B212" s="64" t="s">
        <v>233</v>
      </c>
      <c r="C212" s="65" t="e">
        <f>Summary!B212</f>
        <v>#REF!</v>
      </c>
      <c r="D212" s="122"/>
      <c r="E212" s="64" t="s">
        <v>235</v>
      </c>
      <c r="F212" s="132" t="e">
        <f>Summary!C212</f>
        <v>#REF!</v>
      </c>
      <c r="G212" s="64" t="s">
        <v>236</v>
      </c>
      <c r="H212" s="132" t="e">
        <f>Summary!D212</f>
        <v>#REF!</v>
      </c>
      <c r="I212" s="64" t="s">
        <v>237</v>
      </c>
      <c r="J212" s="66">
        <f>Summary!E212</f>
        <v>6</v>
      </c>
      <c r="K212" s="64" t="s">
        <v>238</v>
      </c>
      <c r="L212" s="132" t="e">
        <f>Summary!F212</f>
        <v>#REF!</v>
      </c>
      <c r="M212" s="64" t="s">
        <v>239</v>
      </c>
      <c r="N212" s="132" t="e">
        <f>Summary!G212</f>
        <v>#REF!</v>
      </c>
      <c r="O212" s="64" t="s">
        <v>240</v>
      </c>
      <c r="P212" s="132" t="e">
        <f>Summary!H212</f>
        <v>#REF!</v>
      </c>
      <c r="Q212" s="65" t="s">
        <v>277</v>
      </c>
      <c r="R212" s="70" t="e">
        <f t="shared" si="28"/>
        <v>#REF!</v>
      </c>
      <c r="S212" s="64" t="s">
        <v>243</v>
      </c>
      <c r="T212" s="122"/>
      <c r="U212" s="71" t="s">
        <v>244</v>
      </c>
      <c r="V212" s="72" t="e">
        <f xml:space="preserve"> _xlfn.TEXTJOIN(" ", FALSE,#REF!)</f>
        <v>#REF!</v>
      </c>
      <c r="W212" s="122"/>
      <c r="X212" s="71" t="s">
        <v>245</v>
      </c>
      <c r="Y212" s="72" t="e">
        <f xml:space="preserve"> _xlfn.TEXTJOIN(" ", FALSE,#REF!)</f>
        <v>#REF!</v>
      </c>
      <c r="Z212" s="122"/>
      <c r="AA212" s="71" t="s">
        <v>246</v>
      </c>
      <c r="AB212" s="72" t="e">
        <f xml:space="preserve"> _xlfn.TEXTJOIN(" ", FALSE,#REF!)</f>
        <v>#REF!</v>
      </c>
      <c r="AC212" s="122"/>
      <c r="AD212" s="71" t="s">
        <v>247</v>
      </c>
      <c r="AE212" s="72" t="e">
        <f xml:space="preserve"> _xlfn.TEXTJOIN(" ", FALSE,#REF!)</f>
        <v>#REF!</v>
      </c>
      <c r="AF212" s="122"/>
      <c r="AG212" s="71" t="s">
        <v>248</v>
      </c>
      <c r="AH212" s="73" t="e">
        <f xml:space="preserve"> _xlfn.TEXTJOIN(" ", FALSE,#REF!)</f>
        <v>#REF!</v>
      </c>
      <c r="AI212" s="122"/>
      <c r="AJ212" s="71" t="s">
        <v>249</v>
      </c>
      <c r="AK212" s="73" t="e">
        <f xml:space="preserve"> _xlfn.TEXTJOIN(" ", FALSE,#REF!)</f>
        <v>#REF!</v>
      </c>
      <c r="AL212" s="122"/>
      <c r="AM212" s="71" t="s">
        <v>250</v>
      </c>
      <c r="AN212" s="73" t="e">
        <f xml:space="preserve"> _xlfn.TEXTJOIN(" ", FALSE,#REF!)</f>
        <v>#REF!</v>
      </c>
      <c r="AO212" s="122"/>
      <c r="AP212" s="71" t="s">
        <v>251</v>
      </c>
      <c r="AQ212" s="72" t="e">
        <f xml:space="preserve"> _xlfn.TEXTJOIN(" ", FALSE,#REF!)</f>
        <v>#REF!</v>
      </c>
      <c r="AR212" s="122"/>
      <c r="AS212" s="71" t="s">
        <v>252</v>
      </c>
      <c r="AT212" s="72" t="e">
        <f xml:space="preserve"> _xlfn.TEXTJOIN(" ", FALSE,#REF!)</f>
        <v>#REF!</v>
      </c>
      <c r="AU212" s="122"/>
      <c r="AV212" s="71" t="s">
        <v>253</v>
      </c>
      <c r="AW212" s="73" t="e">
        <f xml:space="preserve"> _xlfn.TEXTJOIN(" ", FALSE,#REF!)</f>
        <v>#REF!</v>
      </c>
      <c r="AX212" s="122"/>
      <c r="AY212" s="71" t="s">
        <v>254</v>
      </c>
      <c r="AZ212" s="72" t="e">
        <f xml:space="preserve"> _xlfn.TEXTJOIN(" ", FALSE,#REF!)</f>
        <v>#REF!</v>
      </c>
      <c r="BA212" s="122"/>
      <c r="BB212" s="71" t="s">
        <v>255</v>
      </c>
      <c r="BC212" s="72" t="e">
        <f xml:space="preserve"> _xlfn.TEXTJOIN(" ", FALSE,#REF!)</f>
        <v>#REF!</v>
      </c>
      <c r="BD212" s="122"/>
      <c r="BE212" s="71" t="s">
        <v>256</v>
      </c>
      <c r="BF212" s="72" t="e">
        <f xml:space="preserve"> _xlfn.TEXTJOIN(" ", FALSE,#REF!)</f>
        <v>#REF!</v>
      </c>
      <c r="BG212" s="65" t="s">
        <v>277</v>
      </c>
      <c r="BH212" s="70" t="e">
        <f t="shared" si="29"/>
        <v>#REF!</v>
      </c>
      <c r="BI212" s="64" t="s">
        <v>257</v>
      </c>
      <c r="BJ212" s="122"/>
      <c r="BK212" s="71" t="s">
        <v>258</v>
      </c>
      <c r="BL212" s="74" t="str">
        <f>_xlfn.TEXTJOIN(" ", FALSE, 'Task 2a - Mitigating the Proble'!U212:AC212)</f>
        <v xml:space="preserve">1 1 0 0 0 1 0 0 </v>
      </c>
      <c r="BM212" s="65" t="s">
        <v>277</v>
      </c>
      <c r="BN212" s="70" t="str">
        <f t="shared" si="30"/>
        <v>[Details for Task 2a:]  /Question 12: 1 1 0 0 0 1 0 0  .</v>
      </c>
      <c r="BO212" s="64" t="s">
        <v>259</v>
      </c>
      <c r="BP212" s="122"/>
      <c r="BQ212" s="71" t="s">
        <v>260</v>
      </c>
      <c r="BR212" s="73" t="e">
        <f xml:space="preserve"> _xlfn.TEXTJOIN(" ", FALSE,#REF!)</f>
        <v>#REF!</v>
      </c>
      <c r="BS212" s="122"/>
      <c r="BT212" s="71" t="s">
        <v>261</v>
      </c>
      <c r="BU212" s="73" t="e">
        <f xml:space="preserve"> _xlfn.TEXTJOIN(" ", FALSE,#REF!)</f>
        <v>#REF!</v>
      </c>
      <c r="BV212" s="122"/>
      <c r="BW212" s="71" t="s">
        <v>262</v>
      </c>
      <c r="BX212" s="73" t="e">
        <f xml:space="preserve"> _xlfn.TEXTJOIN(" ", FALSE,#REF!)</f>
        <v>#REF!</v>
      </c>
      <c r="BY212" s="122"/>
      <c r="BZ212" s="71" t="s">
        <v>263</v>
      </c>
      <c r="CA212" s="73" t="e">
        <f xml:space="preserve"> _xlfn.TEXTJOIN(" ", FALSE,#REF!)</f>
        <v>#REF!</v>
      </c>
      <c r="CB212" s="122"/>
      <c r="CC212" s="71" t="s">
        <v>264</v>
      </c>
      <c r="CD212" s="73" t="e">
        <f xml:space="preserve"> _xlfn.TEXTJOIN(" ", FALSE,#REF!)</f>
        <v>#REF!</v>
      </c>
      <c r="CE212" s="122"/>
      <c r="CF212" s="71" t="s">
        <v>265</v>
      </c>
      <c r="CG212" s="73" t="e">
        <f xml:space="preserve"> _xlfn.TEXTJOIN(" ", FALSE,#REF!)</f>
        <v>#REF!</v>
      </c>
      <c r="CH212" s="122"/>
      <c r="CI212" s="74" t="s">
        <v>278</v>
      </c>
      <c r="CJ212" s="73" t="e">
        <f xml:space="preserve"> _xlfn.TEXTJOIN(" ", FALSE,#REF!)</f>
        <v>#REF!</v>
      </c>
      <c r="CK212" s="65" t="s">
        <v>277</v>
      </c>
      <c r="CL212" s="70" t="e">
        <f t="shared" si="31"/>
        <v>#REF!</v>
      </c>
      <c r="CM212" s="64" t="s">
        <v>267</v>
      </c>
      <c r="CN212" s="122"/>
      <c r="CO212" s="71" t="s">
        <v>268</v>
      </c>
      <c r="CP212" s="73" t="e">
        <f xml:space="preserve"> _xlfn.TEXTJOIN(" ", FALSE,#REF!)</f>
        <v>#REF!</v>
      </c>
      <c r="CQ212" s="122"/>
      <c r="CR212" s="71" t="s">
        <v>269</v>
      </c>
      <c r="CS212" s="73" t="e">
        <f xml:space="preserve"> _xlfn.TEXTJOIN(" ", FALSE,#REF!)</f>
        <v>#REF!</v>
      </c>
      <c r="CT212" s="122"/>
      <c r="CU212" s="71" t="s">
        <v>270</v>
      </c>
      <c r="CV212" s="72" t="e">
        <f xml:space="preserve"> _xlfn.TEXTJOIN(" ", FALSE,#REF!)</f>
        <v>#REF!</v>
      </c>
      <c r="CW212" s="122"/>
      <c r="CX212" s="71" t="s">
        <v>271</v>
      </c>
      <c r="CY212" s="72" t="e">
        <f xml:space="preserve"> _xlfn.TEXTJOIN(" ", FALSE,#REF!)</f>
        <v>#REF!</v>
      </c>
      <c r="CZ212" s="122"/>
      <c r="DA212" s="71" t="s">
        <v>272</v>
      </c>
      <c r="DB212" s="73" t="e">
        <f xml:space="preserve"> _xlfn.TEXTJOIN(" ", FALSE,#REF!)</f>
        <v>#REF!</v>
      </c>
      <c r="DC212" s="65" t="s">
        <v>277</v>
      </c>
      <c r="DD212" s="70" t="e">
        <f t="shared" si="32"/>
        <v>#REF!</v>
      </c>
      <c r="DE212" s="64" t="s">
        <v>273</v>
      </c>
      <c r="DF212" s="122"/>
      <c r="DG212" s="71" t="s">
        <v>274</v>
      </c>
      <c r="DH212" s="72" t="e">
        <f xml:space="preserve"> _xlfn.TEXTJOIN(" ", FALSE,#REF!)</f>
        <v>#REF!</v>
      </c>
      <c r="DI212" s="122"/>
      <c r="DJ212" s="71" t="s">
        <v>275</v>
      </c>
      <c r="DK212" s="73" t="e">
        <f xml:space="preserve"> _xlfn.TEXTJOIN(" ", FALSE,#REF!)</f>
        <v>#REF!</v>
      </c>
      <c r="DL212" s="65" t="s">
        <v>277</v>
      </c>
      <c r="DM212" s="70" t="e">
        <f t="shared" si="33"/>
        <v>#REF!</v>
      </c>
      <c r="DN212" s="70" t="e">
        <f t="shared" si="34"/>
        <v>#REF!</v>
      </c>
    </row>
    <row r="213" spans="1:118" ht="49">
      <c r="A213" s="122" t="e">
        <f>Summary!A213</f>
        <v>#REF!</v>
      </c>
      <c r="B213" s="64" t="s">
        <v>233</v>
      </c>
      <c r="C213" s="65" t="e">
        <f>Summary!B213</f>
        <v>#REF!</v>
      </c>
      <c r="D213" s="122"/>
      <c r="E213" s="64" t="s">
        <v>235</v>
      </c>
      <c r="F213" s="132">
        <f>Summary!C213</f>
        <v>0</v>
      </c>
      <c r="G213" s="64" t="s">
        <v>236</v>
      </c>
      <c r="H213" s="132">
        <f>Summary!D213</f>
        <v>0</v>
      </c>
      <c r="I213" s="64" t="s">
        <v>237</v>
      </c>
      <c r="J213" s="66">
        <f>Summary!E213</f>
        <v>0</v>
      </c>
      <c r="K213" s="64" t="s">
        <v>238</v>
      </c>
      <c r="L213" s="132">
        <f>Summary!F213</f>
        <v>0</v>
      </c>
      <c r="M213" s="64" t="s">
        <v>239</v>
      </c>
      <c r="N213" s="132">
        <f>Summary!G213</f>
        <v>0</v>
      </c>
      <c r="O213" s="64" t="s">
        <v>240</v>
      </c>
      <c r="P213" s="132">
        <f>Summary!H213</f>
        <v>0</v>
      </c>
      <c r="Q213" s="65" t="s">
        <v>277</v>
      </c>
      <c r="R213" s="70" t="e">
        <f t="shared" si="28"/>
        <v>#REF!</v>
      </c>
      <c r="S213" s="64" t="s">
        <v>243</v>
      </c>
      <c r="T213" s="122"/>
      <c r="U213" s="71" t="s">
        <v>244</v>
      </c>
      <c r="V213" s="72" t="e">
        <f xml:space="preserve"> _xlfn.TEXTJOIN(" ", FALSE,#REF!)</f>
        <v>#REF!</v>
      </c>
      <c r="W213" s="122"/>
      <c r="X213" s="71" t="s">
        <v>245</v>
      </c>
      <c r="Y213" s="72" t="e">
        <f xml:space="preserve"> _xlfn.TEXTJOIN(" ", FALSE,#REF!)</f>
        <v>#REF!</v>
      </c>
      <c r="Z213" s="122"/>
      <c r="AA213" s="71" t="s">
        <v>246</v>
      </c>
      <c r="AB213" s="72" t="e">
        <f xml:space="preserve"> _xlfn.TEXTJOIN(" ", FALSE,#REF!)</f>
        <v>#REF!</v>
      </c>
      <c r="AC213" s="122"/>
      <c r="AD213" s="71" t="s">
        <v>247</v>
      </c>
      <c r="AE213" s="72" t="e">
        <f xml:space="preserve"> _xlfn.TEXTJOIN(" ", FALSE,#REF!)</f>
        <v>#REF!</v>
      </c>
      <c r="AF213" s="122"/>
      <c r="AG213" s="71" t="s">
        <v>248</v>
      </c>
      <c r="AH213" s="73" t="e">
        <f xml:space="preserve"> _xlfn.TEXTJOIN(" ", FALSE,#REF!)</f>
        <v>#REF!</v>
      </c>
      <c r="AI213" s="122"/>
      <c r="AJ213" s="71" t="s">
        <v>249</v>
      </c>
      <c r="AK213" s="73" t="e">
        <f xml:space="preserve"> _xlfn.TEXTJOIN(" ", FALSE,#REF!)</f>
        <v>#REF!</v>
      </c>
      <c r="AL213" s="122"/>
      <c r="AM213" s="71" t="s">
        <v>250</v>
      </c>
      <c r="AN213" s="73" t="e">
        <f xml:space="preserve"> _xlfn.TEXTJOIN(" ", FALSE,#REF!)</f>
        <v>#REF!</v>
      </c>
      <c r="AO213" s="122"/>
      <c r="AP213" s="71" t="s">
        <v>251</v>
      </c>
      <c r="AQ213" s="72" t="e">
        <f xml:space="preserve"> _xlfn.TEXTJOIN(" ", FALSE,#REF!)</f>
        <v>#REF!</v>
      </c>
      <c r="AR213" s="122"/>
      <c r="AS213" s="71" t="s">
        <v>252</v>
      </c>
      <c r="AT213" s="72" t="e">
        <f xml:space="preserve"> _xlfn.TEXTJOIN(" ", FALSE,#REF!)</f>
        <v>#REF!</v>
      </c>
      <c r="AU213" s="122"/>
      <c r="AV213" s="71" t="s">
        <v>253</v>
      </c>
      <c r="AW213" s="73" t="e">
        <f xml:space="preserve"> _xlfn.TEXTJOIN(" ", FALSE,#REF!)</f>
        <v>#REF!</v>
      </c>
      <c r="AX213" s="122"/>
      <c r="AY213" s="71" t="s">
        <v>254</v>
      </c>
      <c r="AZ213" s="72" t="e">
        <f xml:space="preserve"> _xlfn.TEXTJOIN(" ", FALSE,#REF!)</f>
        <v>#REF!</v>
      </c>
      <c r="BA213" s="122"/>
      <c r="BB213" s="71" t="s">
        <v>255</v>
      </c>
      <c r="BC213" s="72" t="e">
        <f xml:space="preserve"> _xlfn.TEXTJOIN(" ", FALSE,#REF!)</f>
        <v>#REF!</v>
      </c>
      <c r="BD213" s="122"/>
      <c r="BE213" s="71" t="s">
        <v>256</v>
      </c>
      <c r="BF213" s="72" t="e">
        <f xml:space="preserve"> _xlfn.TEXTJOIN(" ", FALSE,#REF!)</f>
        <v>#REF!</v>
      </c>
      <c r="BG213" s="65" t="s">
        <v>277</v>
      </c>
      <c r="BH213" s="70" t="e">
        <f t="shared" si="29"/>
        <v>#REF!</v>
      </c>
      <c r="BI213" s="64" t="s">
        <v>257</v>
      </c>
      <c r="BJ213" s="122"/>
      <c r="BK213" s="71" t="s">
        <v>258</v>
      </c>
      <c r="BL213" s="74" t="str">
        <f>_xlfn.TEXTJOIN(" ", FALSE, 'Task 2a - Mitigating the Proble'!U213:AC213)</f>
        <v xml:space="preserve">        </v>
      </c>
      <c r="BM213" s="65" t="s">
        <v>277</v>
      </c>
      <c r="BN213" s="70" t="str">
        <f t="shared" si="30"/>
        <v>[Details for Task 2a:]  /Question 12:          .</v>
      </c>
      <c r="BO213" s="64" t="s">
        <v>259</v>
      </c>
      <c r="BP213" s="122"/>
      <c r="BQ213" s="71" t="s">
        <v>260</v>
      </c>
      <c r="BR213" s="73" t="e">
        <f xml:space="preserve"> _xlfn.TEXTJOIN(" ", FALSE,#REF!)</f>
        <v>#REF!</v>
      </c>
      <c r="BS213" s="122"/>
      <c r="BT213" s="71" t="s">
        <v>261</v>
      </c>
      <c r="BU213" s="73" t="e">
        <f xml:space="preserve"> _xlfn.TEXTJOIN(" ", FALSE,#REF!)</f>
        <v>#REF!</v>
      </c>
      <c r="BV213" s="122"/>
      <c r="BW213" s="71" t="s">
        <v>262</v>
      </c>
      <c r="BX213" s="73" t="e">
        <f xml:space="preserve"> _xlfn.TEXTJOIN(" ", FALSE,#REF!)</f>
        <v>#REF!</v>
      </c>
      <c r="BY213" s="122"/>
      <c r="BZ213" s="71" t="s">
        <v>263</v>
      </c>
      <c r="CA213" s="73" t="e">
        <f xml:space="preserve"> _xlfn.TEXTJOIN(" ", FALSE,#REF!)</f>
        <v>#REF!</v>
      </c>
      <c r="CB213" s="122"/>
      <c r="CC213" s="71" t="s">
        <v>264</v>
      </c>
      <c r="CD213" s="73" t="e">
        <f xml:space="preserve"> _xlfn.TEXTJOIN(" ", FALSE,#REF!)</f>
        <v>#REF!</v>
      </c>
      <c r="CE213" s="122"/>
      <c r="CF213" s="71" t="s">
        <v>265</v>
      </c>
      <c r="CG213" s="73" t="e">
        <f xml:space="preserve"> _xlfn.TEXTJOIN(" ", FALSE,#REF!)</f>
        <v>#REF!</v>
      </c>
      <c r="CH213" s="122"/>
      <c r="CI213" s="74" t="s">
        <v>278</v>
      </c>
      <c r="CJ213" s="73" t="e">
        <f xml:space="preserve"> _xlfn.TEXTJOIN(" ", FALSE,#REF!)</f>
        <v>#REF!</v>
      </c>
      <c r="CK213" s="65" t="s">
        <v>277</v>
      </c>
      <c r="CL213" s="70" t="e">
        <f t="shared" si="31"/>
        <v>#REF!</v>
      </c>
      <c r="CM213" s="64" t="s">
        <v>267</v>
      </c>
      <c r="CN213" s="122"/>
      <c r="CO213" s="71" t="s">
        <v>268</v>
      </c>
      <c r="CP213" s="73" t="e">
        <f xml:space="preserve"> _xlfn.TEXTJOIN(" ", FALSE,#REF!)</f>
        <v>#REF!</v>
      </c>
      <c r="CQ213" s="122"/>
      <c r="CR213" s="71" t="s">
        <v>269</v>
      </c>
      <c r="CS213" s="73" t="e">
        <f xml:space="preserve"> _xlfn.TEXTJOIN(" ", FALSE,#REF!)</f>
        <v>#REF!</v>
      </c>
      <c r="CT213" s="122"/>
      <c r="CU213" s="71" t="s">
        <v>270</v>
      </c>
      <c r="CV213" s="72" t="e">
        <f xml:space="preserve"> _xlfn.TEXTJOIN(" ", FALSE,#REF!)</f>
        <v>#REF!</v>
      </c>
      <c r="CW213" s="122"/>
      <c r="CX213" s="71" t="s">
        <v>271</v>
      </c>
      <c r="CY213" s="72" t="e">
        <f xml:space="preserve"> _xlfn.TEXTJOIN(" ", FALSE,#REF!)</f>
        <v>#REF!</v>
      </c>
      <c r="CZ213" s="122"/>
      <c r="DA213" s="71" t="s">
        <v>272</v>
      </c>
      <c r="DB213" s="73" t="e">
        <f xml:space="preserve"> _xlfn.TEXTJOIN(" ", FALSE,#REF!)</f>
        <v>#REF!</v>
      </c>
      <c r="DC213" s="65" t="s">
        <v>277</v>
      </c>
      <c r="DD213" s="70" t="e">
        <f t="shared" si="32"/>
        <v>#REF!</v>
      </c>
      <c r="DE213" s="64" t="s">
        <v>273</v>
      </c>
      <c r="DF213" s="122"/>
      <c r="DG213" s="71" t="s">
        <v>274</v>
      </c>
      <c r="DH213" s="72" t="e">
        <f xml:space="preserve"> _xlfn.TEXTJOIN(" ", FALSE,#REF!)</f>
        <v>#REF!</v>
      </c>
      <c r="DI213" s="122"/>
      <c r="DJ213" s="71" t="s">
        <v>275</v>
      </c>
      <c r="DK213" s="73" t="e">
        <f xml:space="preserve"> _xlfn.TEXTJOIN(" ", FALSE,#REF!)</f>
        <v>#REF!</v>
      </c>
      <c r="DL213" s="65" t="s">
        <v>277</v>
      </c>
      <c r="DM213" s="70" t="e">
        <f t="shared" si="33"/>
        <v>#REF!</v>
      </c>
      <c r="DN213" s="70" t="e">
        <f t="shared" si="34"/>
        <v>#REF!</v>
      </c>
    </row>
    <row r="214" spans="1:118">
      <c r="A214" s="122"/>
      <c r="B214" s="64"/>
      <c r="C214" s="65"/>
      <c r="D214" s="122"/>
      <c r="E214" s="64"/>
      <c r="F214" s="132"/>
      <c r="G214" s="64"/>
      <c r="H214" s="132"/>
      <c r="I214" s="64"/>
      <c r="J214" s="66"/>
      <c r="K214" s="64"/>
      <c r="L214" s="132"/>
      <c r="M214" s="64"/>
      <c r="N214" s="132"/>
      <c r="O214" s="64"/>
      <c r="P214" s="132"/>
      <c r="Q214" s="65"/>
    </row>
    <row r="215" spans="1:118">
      <c r="C215" s="201" t="s">
        <v>279</v>
      </c>
      <c r="D215" s="202"/>
      <c r="E215" s="203"/>
    </row>
    <row r="216" spans="1:118">
      <c r="C216" s="67" t="s">
        <v>128</v>
      </c>
      <c r="D216" s="122"/>
      <c r="E216" s="122"/>
      <c r="F216" s="132">
        <v>67.709999999999994</v>
      </c>
      <c r="G216" s="122"/>
      <c r="H216" s="132">
        <v>14.32</v>
      </c>
      <c r="I216" s="122"/>
      <c r="J216" s="132">
        <v>5.15</v>
      </c>
      <c r="K216" s="122"/>
      <c r="L216" s="132">
        <v>19.2</v>
      </c>
      <c r="M216" s="122"/>
      <c r="N216" s="132">
        <v>20.86</v>
      </c>
      <c r="O216" s="122"/>
      <c r="P216" s="132">
        <v>8.18</v>
      </c>
    </row>
    <row r="217" spans="1:118">
      <c r="C217" s="67" t="s">
        <v>129</v>
      </c>
      <c r="D217" s="122"/>
      <c r="E217" s="122"/>
      <c r="F217" s="132">
        <v>9.2899999999999991</v>
      </c>
      <c r="G217" s="122"/>
      <c r="H217" s="132">
        <v>1.55</v>
      </c>
      <c r="I217" s="122"/>
      <c r="J217" s="132">
        <v>1.56</v>
      </c>
      <c r="K217" s="122"/>
      <c r="L217" s="132">
        <v>3.5</v>
      </c>
      <c r="M217" s="122"/>
      <c r="N217" s="132">
        <v>5.43</v>
      </c>
      <c r="O217" s="122"/>
      <c r="P217" s="132">
        <v>2.04</v>
      </c>
    </row>
    <row r="218" spans="1:118">
      <c r="C218" s="67" t="s">
        <v>221</v>
      </c>
      <c r="D218" s="122"/>
      <c r="E218" s="122"/>
      <c r="F218" s="132">
        <v>13</v>
      </c>
      <c r="G218" s="122"/>
      <c r="H218" s="132">
        <v>11</v>
      </c>
      <c r="I218" s="122"/>
      <c r="J218" s="132">
        <v>0</v>
      </c>
      <c r="K218" s="122"/>
      <c r="L218" s="132">
        <v>0</v>
      </c>
      <c r="M218" s="122"/>
      <c r="N218" s="132">
        <v>0</v>
      </c>
      <c r="O218" s="122"/>
      <c r="P218" s="132">
        <v>0</v>
      </c>
    </row>
    <row r="219" spans="1:118">
      <c r="C219" s="67" t="s">
        <v>222</v>
      </c>
      <c r="D219" s="122"/>
      <c r="E219" s="122"/>
      <c r="F219" s="132">
        <v>84</v>
      </c>
      <c r="G219" s="122"/>
      <c r="H219" s="132">
        <v>19</v>
      </c>
      <c r="I219" s="122"/>
      <c r="J219" s="132">
        <v>9</v>
      </c>
      <c r="K219" s="122"/>
      <c r="L219" s="132">
        <v>20</v>
      </c>
      <c r="M219" s="122"/>
      <c r="N219" s="132">
        <v>35</v>
      </c>
      <c r="O219" s="122"/>
      <c r="P219" s="132">
        <v>15</v>
      </c>
    </row>
    <row r="220" spans="1:118">
      <c r="C220" s="122"/>
      <c r="D220" s="122"/>
      <c r="E220" s="122"/>
      <c r="F220" s="122"/>
      <c r="G220" s="122"/>
      <c r="H220" s="122"/>
      <c r="I220" s="122"/>
      <c r="J220" s="122"/>
      <c r="K220" s="122"/>
      <c r="L220" s="122"/>
      <c r="M220" s="122"/>
      <c r="N220" s="122"/>
      <c r="O220" s="122"/>
      <c r="P220" s="122"/>
    </row>
    <row r="221" spans="1:118">
      <c r="C221" s="68" t="s">
        <v>280</v>
      </c>
      <c r="D221" s="134"/>
      <c r="E221" s="134"/>
      <c r="F221" s="122"/>
      <c r="G221" s="122"/>
      <c r="H221" s="122"/>
      <c r="I221" s="122"/>
      <c r="J221" s="122"/>
      <c r="K221" s="122"/>
      <c r="L221" s="122"/>
      <c r="M221" s="122"/>
      <c r="N221" s="122"/>
      <c r="O221" s="122"/>
      <c r="P221" s="122"/>
    </row>
    <row r="222" spans="1:118">
      <c r="C222" s="122"/>
      <c r="D222" s="122"/>
      <c r="E222" s="122"/>
      <c r="F222" s="122"/>
      <c r="G222" s="122"/>
      <c r="H222" s="122"/>
      <c r="I222" s="122"/>
      <c r="J222" s="122"/>
      <c r="K222" s="122"/>
      <c r="L222" s="122"/>
      <c r="M222" s="122"/>
      <c r="N222" s="122"/>
      <c r="O222" s="122"/>
      <c r="P222" s="122"/>
    </row>
    <row r="223" spans="1:118">
      <c r="C223" s="132" t="s">
        <v>223</v>
      </c>
      <c r="D223" s="122"/>
      <c r="E223" s="122"/>
      <c r="F223" s="69">
        <v>0</v>
      </c>
      <c r="G223" s="122"/>
      <c r="H223" s="122"/>
      <c r="I223" s="122"/>
      <c r="J223" s="122"/>
      <c r="K223" s="122"/>
      <c r="L223" s="122"/>
      <c r="M223" s="122"/>
      <c r="N223" s="122"/>
      <c r="O223" s="122"/>
      <c r="P223" s="122"/>
    </row>
    <row r="224" spans="1:118">
      <c r="C224" s="132" t="s">
        <v>224</v>
      </c>
      <c r="D224" s="122"/>
      <c r="E224" s="122"/>
      <c r="F224" s="69">
        <v>1</v>
      </c>
      <c r="G224" s="122"/>
      <c r="H224" s="122"/>
      <c r="I224" s="122"/>
      <c r="J224" s="122"/>
      <c r="K224" s="122"/>
      <c r="L224" s="122"/>
      <c r="M224" s="122"/>
      <c r="N224" s="122"/>
      <c r="O224" s="122"/>
      <c r="P224" s="122"/>
    </row>
    <row r="225" spans="3:16">
      <c r="C225" s="132" t="s">
        <v>225</v>
      </c>
      <c r="D225" s="122"/>
      <c r="E225" s="122"/>
      <c r="F225" s="69">
        <v>1</v>
      </c>
      <c r="G225" s="122"/>
      <c r="H225" s="122"/>
      <c r="I225" s="122"/>
      <c r="J225" s="122"/>
      <c r="K225" s="122"/>
      <c r="L225" s="122"/>
      <c r="M225" s="122"/>
      <c r="N225" s="122"/>
      <c r="O225" s="122"/>
      <c r="P225" s="122"/>
    </row>
    <row r="226" spans="3:16">
      <c r="C226" s="132" t="s">
        <v>226</v>
      </c>
      <c r="D226" s="122"/>
      <c r="E226" s="122"/>
      <c r="F226" s="69">
        <v>2</v>
      </c>
      <c r="G226" s="122"/>
      <c r="H226" s="122"/>
      <c r="I226" s="122"/>
      <c r="J226" s="122"/>
      <c r="K226" s="122"/>
      <c r="L226" s="122"/>
      <c r="M226" s="122"/>
      <c r="N226" s="122"/>
      <c r="O226" s="122"/>
      <c r="P226" s="122"/>
    </row>
    <row r="227" spans="3:16">
      <c r="C227" s="132" t="s">
        <v>227</v>
      </c>
      <c r="D227" s="122"/>
      <c r="E227" s="122"/>
      <c r="F227" s="69">
        <v>1</v>
      </c>
      <c r="G227" s="122"/>
      <c r="H227" s="122"/>
      <c r="I227" s="122"/>
      <c r="J227" s="122"/>
      <c r="K227" s="122"/>
      <c r="L227" s="122"/>
      <c r="M227" s="122"/>
      <c r="N227" s="122"/>
      <c r="O227" s="122"/>
      <c r="P227" s="122"/>
    </row>
    <row r="228" spans="3:16">
      <c r="C228" s="132" t="s">
        <v>228</v>
      </c>
      <c r="D228" s="122"/>
      <c r="E228" s="122"/>
      <c r="F228" s="69">
        <v>16</v>
      </c>
      <c r="G228" s="122"/>
      <c r="H228" s="122"/>
      <c r="I228" s="122"/>
      <c r="J228" s="122"/>
      <c r="K228" s="122"/>
      <c r="L228" s="122"/>
      <c r="M228" s="122"/>
      <c r="N228" s="122"/>
      <c r="O228" s="122"/>
      <c r="P228" s="122"/>
    </row>
    <row r="229" spans="3:16">
      <c r="C229" s="132" t="s">
        <v>229</v>
      </c>
      <c r="D229" s="122"/>
      <c r="E229" s="122"/>
      <c r="F229" s="69">
        <v>69</v>
      </c>
      <c r="G229" s="122"/>
      <c r="H229" s="122"/>
      <c r="I229" s="122"/>
      <c r="J229" s="122"/>
      <c r="K229" s="122"/>
      <c r="L229" s="122"/>
      <c r="M229" s="122"/>
      <c r="N229" s="122"/>
      <c r="O229" s="122"/>
      <c r="P229" s="122"/>
    </row>
    <row r="230" spans="3:16">
      <c r="C230" s="132" t="s">
        <v>230</v>
      </c>
      <c r="D230" s="122"/>
      <c r="E230" s="122"/>
      <c r="F230" s="69">
        <v>74</v>
      </c>
      <c r="G230" s="122"/>
      <c r="H230" s="122"/>
      <c r="I230" s="122"/>
      <c r="J230" s="122"/>
      <c r="K230" s="122"/>
      <c r="L230" s="122"/>
      <c r="M230" s="122"/>
      <c r="N230" s="122"/>
      <c r="O230" s="122"/>
      <c r="P230" s="122"/>
    </row>
    <row r="231" spans="3:16">
      <c r="C231" s="132" t="s">
        <v>231</v>
      </c>
      <c r="D231" s="122"/>
      <c r="E231" s="122"/>
      <c r="F231" s="69">
        <v>8</v>
      </c>
      <c r="G231" s="122"/>
      <c r="H231" s="122"/>
      <c r="I231" s="122"/>
      <c r="J231" s="122"/>
      <c r="K231" s="122"/>
      <c r="L231" s="122"/>
      <c r="M231" s="122"/>
      <c r="N231" s="122"/>
      <c r="O231" s="122"/>
      <c r="P231" s="122"/>
    </row>
    <row r="232" spans="3:16">
      <c r="C232" s="132" t="s">
        <v>232</v>
      </c>
      <c r="D232" s="122"/>
      <c r="E232" s="122"/>
      <c r="F232" s="69">
        <v>0</v>
      </c>
      <c r="G232" s="122"/>
      <c r="H232" s="122"/>
      <c r="I232" s="122"/>
      <c r="J232" s="122"/>
      <c r="K232" s="122"/>
      <c r="L232" s="122"/>
      <c r="M232" s="122"/>
      <c r="N232" s="122"/>
      <c r="O232" s="122"/>
      <c r="P232" s="122"/>
    </row>
  </sheetData>
  <mergeCells count="1">
    <mergeCell ref="C215:E2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AB3B-19A2-4978-B1C5-4421019A16F0}">
  <dimension ref="A1:C198"/>
  <sheetViews>
    <sheetView topLeftCell="B1" workbookViewId="0">
      <selection activeCell="C1" sqref="C1"/>
    </sheetView>
  </sheetViews>
  <sheetFormatPr baseColWidth="10" defaultColWidth="8.83203125" defaultRowHeight="15"/>
  <cols>
    <col min="2" max="2" width="3.33203125" bestFit="1" customWidth="1"/>
    <col min="3" max="3" width="251.33203125" style="26" customWidth="1"/>
  </cols>
  <sheetData>
    <row r="1" spans="1:3" ht="200.25" customHeight="1">
      <c r="A1" t="s">
        <v>281</v>
      </c>
      <c r="B1" s="97">
        <v>67</v>
      </c>
      <c r="C1" s="26" t="s">
        <v>282</v>
      </c>
    </row>
    <row r="2" spans="1:3" ht="200.25" customHeight="1">
      <c r="A2" t="s">
        <v>283</v>
      </c>
      <c r="B2" s="97">
        <v>50</v>
      </c>
      <c r="C2" s="26" t="s">
        <v>284</v>
      </c>
    </row>
    <row r="3" spans="1:3" ht="200.25" customHeight="1">
      <c r="A3" t="s">
        <v>285</v>
      </c>
      <c r="B3" s="97">
        <v>67</v>
      </c>
      <c r="C3" s="26" t="s">
        <v>286</v>
      </c>
    </row>
    <row r="4" spans="1:3" ht="200.25" customHeight="1">
      <c r="A4" t="s">
        <v>287</v>
      </c>
      <c r="B4" s="97">
        <v>75</v>
      </c>
      <c r="C4" s="26" t="s">
        <v>288</v>
      </c>
    </row>
    <row r="5" spans="1:3" ht="200.25" customHeight="1">
      <c r="A5" t="s">
        <v>289</v>
      </c>
      <c r="B5" s="97">
        <v>74</v>
      </c>
      <c r="C5" s="26" t="s">
        <v>290</v>
      </c>
    </row>
    <row r="6" spans="1:3" ht="200.25" customHeight="1">
      <c r="A6" t="s">
        <v>291</v>
      </c>
      <c r="B6" s="97">
        <v>76</v>
      </c>
      <c r="C6" s="26" t="s">
        <v>292</v>
      </c>
    </row>
    <row r="7" spans="1:3" ht="200.25" customHeight="1">
      <c r="A7" t="s">
        <v>293</v>
      </c>
      <c r="B7" s="97">
        <v>74</v>
      </c>
      <c r="C7" s="26" t="s">
        <v>294</v>
      </c>
    </row>
    <row r="8" spans="1:3" ht="200.25" customHeight="1">
      <c r="A8" t="s">
        <v>295</v>
      </c>
      <c r="B8" s="97">
        <v>63</v>
      </c>
      <c r="C8" s="26" t="s">
        <v>296</v>
      </c>
    </row>
    <row r="9" spans="1:3" ht="200.25" customHeight="1">
      <c r="A9" t="s">
        <v>297</v>
      </c>
      <c r="B9" s="97">
        <v>67</v>
      </c>
      <c r="C9" s="26" t="s">
        <v>298</v>
      </c>
    </row>
    <row r="10" spans="1:3" ht="200.25" customHeight="1">
      <c r="A10" t="s">
        <v>299</v>
      </c>
      <c r="B10" s="97">
        <v>62</v>
      </c>
      <c r="C10" s="26" t="s">
        <v>300</v>
      </c>
    </row>
    <row r="11" spans="1:3" ht="200.25" customHeight="1">
      <c r="A11" t="s">
        <v>301</v>
      </c>
      <c r="B11" s="97">
        <v>40</v>
      </c>
      <c r="C11" s="26" t="s">
        <v>302</v>
      </c>
    </row>
    <row r="12" spans="1:3" ht="200.25" customHeight="1">
      <c r="A12" t="s">
        <v>303</v>
      </c>
      <c r="B12" s="97">
        <v>69</v>
      </c>
      <c r="C12" s="26" t="s">
        <v>304</v>
      </c>
    </row>
    <row r="13" spans="1:3" ht="200.25" customHeight="1">
      <c r="A13" t="s">
        <v>305</v>
      </c>
      <c r="B13" s="97">
        <v>69</v>
      </c>
      <c r="C13" s="26" t="s">
        <v>306</v>
      </c>
    </row>
    <row r="14" spans="1:3" ht="200.25" customHeight="1">
      <c r="A14" t="s">
        <v>307</v>
      </c>
      <c r="B14" s="97">
        <v>71</v>
      </c>
      <c r="C14" s="26" t="s">
        <v>308</v>
      </c>
    </row>
    <row r="15" spans="1:3" ht="200.25" customHeight="1">
      <c r="A15" t="s">
        <v>309</v>
      </c>
      <c r="B15" s="97">
        <v>71</v>
      </c>
      <c r="C15" s="26" t="s">
        <v>310</v>
      </c>
    </row>
    <row r="16" spans="1:3" ht="200.25" customHeight="1">
      <c r="A16" t="s">
        <v>311</v>
      </c>
      <c r="B16" s="97">
        <v>68</v>
      </c>
      <c r="C16" s="26" t="s">
        <v>312</v>
      </c>
    </row>
    <row r="17" spans="1:3" ht="200.25" customHeight="1">
      <c r="A17" t="s">
        <v>313</v>
      </c>
      <c r="B17" s="97">
        <v>66</v>
      </c>
      <c r="C17" s="26" t="s">
        <v>314</v>
      </c>
    </row>
    <row r="18" spans="1:3" ht="200.25" customHeight="1">
      <c r="A18" t="s">
        <v>315</v>
      </c>
      <c r="B18" s="97">
        <v>63</v>
      </c>
      <c r="C18" s="26" t="s">
        <v>316</v>
      </c>
    </row>
    <row r="19" spans="1:3" ht="200.25" customHeight="1">
      <c r="A19" t="s">
        <v>317</v>
      </c>
      <c r="B19" s="97">
        <v>67</v>
      </c>
      <c r="C19" s="26" t="s">
        <v>318</v>
      </c>
    </row>
    <row r="20" spans="1:3" ht="200.25" customHeight="1">
      <c r="A20" t="s">
        <v>319</v>
      </c>
      <c r="B20" s="97">
        <v>50</v>
      </c>
      <c r="C20" s="26" t="s">
        <v>320</v>
      </c>
    </row>
    <row r="21" spans="1:3" ht="200.25" customHeight="1">
      <c r="A21" t="s">
        <v>321</v>
      </c>
      <c r="B21" s="97">
        <v>65</v>
      </c>
      <c r="C21" s="26" t="s">
        <v>322</v>
      </c>
    </row>
    <row r="22" spans="1:3" ht="200.25" customHeight="1">
      <c r="A22" t="s">
        <v>323</v>
      </c>
      <c r="B22" s="97">
        <v>69</v>
      </c>
      <c r="C22" s="26" t="s">
        <v>324</v>
      </c>
    </row>
    <row r="23" spans="1:3" ht="200.25" customHeight="1">
      <c r="A23" t="s">
        <v>325</v>
      </c>
      <c r="B23" s="97">
        <v>65</v>
      </c>
      <c r="C23" s="26" t="s">
        <v>326</v>
      </c>
    </row>
    <row r="24" spans="1:3" ht="200.25" customHeight="1">
      <c r="A24" t="s">
        <v>327</v>
      </c>
      <c r="B24" s="97">
        <v>67</v>
      </c>
      <c r="C24" s="26" t="s">
        <v>328</v>
      </c>
    </row>
    <row r="25" spans="1:3" ht="200.25" customHeight="1">
      <c r="A25" t="s">
        <v>329</v>
      </c>
      <c r="B25" s="97">
        <v>69</v>
      </c>
      <c r="C25" s="26" t="s">
        <v>330</v>
      </c>
    </row>
    <row r="26" spans="1:3" ht="200.25" customHeight="1">
      <c r="A26" t="s">
        <v>331</v>
      </c>
      <c r="B26" s="97">
        <v>65</v>
      </c>
      <c r="C26" s="26" t="s">
        <v>332</v>
      </c>
    </row>
    <row r="27" spans="1:3" ht="200.25" customHeight="1">
      <c r="A27" t="s">
        <v>333</v>
      </c>
      <c r="B27" s="97">
        <v>78</v>
      </c>
      <c r="C27" s="26" t="s">
        <v>334</v>
      </c>
    </row>
    <row r="28" spans="1:3" ht="200.25" customHeight="1">
      <c r="A28" t="s">
        <v>335</v>
      </c>
      <c r="B28" s="97">
        <v>73</v>
      </c>
      <c r="C28" s="26" t="s">
        <v>336</v>
      </c>
    </row>
    <row r="29" spans="1:3" ht="200.25" customHeight="1">
      <c r="A29" t="s">
        <v>337</v>
      </c>
      <c r="B29" s="97">
        <v>73</v>
      </c>
      <c r="C29" s="26" t="s">
        <v>338</v>
      </c>
    </row>
    <row r="30" spans="1:3" ht="200.25" customHeight="1">
      <c r="A30" t="s">
        <v>339</v>
      </c>
      <c r="B30" s="97">
        <v>45</v>
      </c>
      <c r="C30" s="26" t="s">
        <v>340</v>
      </c>
    </row>
    <row r="31" spans="1:3" ht="200.25" customHeight="1">
      <c r="A31" t="s">
        <v>341</v>
      </c>
      <c r="B31" s="97">
        <v>71</v>
      </c>
      <c r="C31" s="26" t="s">
        <v>342</v>
      </c>
    </row>
    <row r="32" spans="1:3" ht="200.25" customHeight="1">
      <c r="A32" t="s">
        <v>343</v>
      </c>
      <c r="B32" s="97">
        <v>64</v>
      </c>
      <c r="C32" s="26" t="s">
        <v>344</v>
      </c>
    </row>
    <row r="33" spans="1:3" ht="200.25" customHeight="1">
      <c r="A33" t="s">
        <v>345</v>
      </c>
      <c r="B33" s="97">
        <v>72</v>
      </c>
      <c r="C33" s="26" t="s">
        <v>346</v>
      </c>
    </row>
    <row r="34" spans="1:3" ht="200.25" customHeight="1">
      <c r="A34" t="s">
        <v>347</v>
      </c>
      <c r="B34" s="97">
        <v>75</v>
      </c>
      <c r="C34" s="26" t="s">
        <v>348</v>
      </c>
    </row>
    <row r="35" spans="1:3" ht="200.25" customHeight="1">
      <c r="A35" t="s">
        <v>349</v>
      </c>
      <c r="B35" s="97">
        <v>74</v>
      </c>
      <c r="C35" s="26" t="s">
        <v>350</v>
      </c>
    </row>
    <row r="36" spans="1:3" ht="200.25" customHeight="1">
      <c r="A36" t="s">
        <v>351</v>
      </c>
      <c r="B36" s="97">
        <v>76</v>
      </c>
      <c r="C36" s="26" t="s">
        <v>352</v>
      </c>
    </row>
    <row r="37" spans="1:3" ht="200.25" customHeight="1">
      <c r="A37" t="s">
        <v>353</v>
      </c>
      <c r="B37" s="97">
        <v>74</v>
      </c>
      <c r="C37" s="26" t="s">
        <v>354</v>
      </c>
    </row>
    <row r="38" spans="1:3" ht="200.25" customHeight="1">
      <c r="A38" t="s">
        <v>355</v>
      </c>
      <c r="B38" s="97">
        <v>73</v>
      </c>
      <c r="C38" s="26" t="s">
        <v>356</v>
      </c>
    </row>
    <row r="39" spans="1:3" ht="200.25" customHeight="1">
      <c r="A39" t="s">
        <v>357</v>
      </c>
      <c r="B39" s="97">
        <v>64</v>
      </c>
      <c r="C39" s="26" t="s">
        <v>358</v>
      </c>
    </row>
    <row r="40" spans="1:3" ht="200.25" customHeight="1">
      <c r="A40" t="s">
        <v>359</v>
      </c>
      <c r="B40" s="97">
        <v>73</v>
      </c>
      <c r="C40" s="26" t="s">
        <v>360</v>
      </c>
    </row>
    <row r="41" spans="1:3" ht="200.25" customHeight="1">
      <c r="A41" t="s">
        <v>361</v>
      </c>
      <c r="B41" s="97">
        <v>66</v>
      </c>
      <c r="C41" s="26" t="s">
        <v>362</v>
      </c>
    </row>
    <row r="42" spans="1:3" ht="200.25" customHeight="1">
      <c r="A42" t="s">
        <v>363</v>
      </c>
      <c r="B42" s="97">
        <v>61</v>
      </c>
      <c r="C42" s="26" t="s">
        <v>364</v>
      </c>
    </row>
    <row r="43" spans="1:3" ht="200.25" customHeight="1">
      <c r="A43" t="s">
        <v>365</v>
      </c>
      <c r="B43" s="97">
        <v>62</v>
      </c>
      <c r="C43" s="26" t="s">
        <v>366</v>
      </c>
    </row>
    <row r="44" spans="1:3" ht="200.25" customHeight="1">
      <c r="A44" t="s">
        <v>367</v>
      </c>
      <c r="B44" s="97">
        <v>65</v>
      </c>
      <c r="C44" s="26" t="s">
        <v>368</v>
      </c>
    </row>
    <row r="45" spans="1:3" ht="200.25" customHeight="1">
      <c r="A45" t="s">
        <v>369</v>
      </c>
      <c r="B45" s="97">
        <v>69</v>
      </c>
      <c r="C45" s="26" t="s">
        <v>370</v>
      </c>
    </row>
    <row r="46" spans="1:3" ht="200.25" customHeight="1">
      <c r="A46" t="s">
        <v>371</v>
      </c>
      <c r="B46" s="97">
        <v>65</v>
      </c>
      <c r="C46" s="26" t="s">
        <v>372</v>
      </c>
    </row>
    <row r="47" spans="1:3" ht="200.25" customHeight="1">
      <c r="A47" t="s">
        <v>373</v>
      </c>
      <c r="B47" s="97">
        <v>58</v>
      </c>
      <c r="C47" s="26" t="s">
        <v>374</v>
      </c>
    </row>
    <row r="48" spans="1:3" ht="200.25" customHeight="1">
      <c r="A48" t="s">
        <v>375</v>
      </c>
      <c r="B48" s="97">
        <v>62</v>
      </c>
      <c r="C48" s="26" t="s">
        <v>376</v>
      </c>
    </row>
    <row r="49" spans="1:3" ht="200.25" customHeight="1">
      <c r="A49" t="s">
        <v>377</v>
      </c>
      <c r="B49" s="97">
        <v>65</v>
      </c>
      <c r="C49" s="26" t="s">
        <v>378</v>
      </c>
    </row>
    <row r="50" spans="1:3" ht="200.25" customHeight="1">
      <c r="A50" t="s">
        <v>379</v>
      </c>
      <c r="B50" s="97">
        <v>64</v>
      </c>
      <c r="C50" s="26" t="s">
        <v>380</v>
      </c>
    </row>
    <row r="51" spans="1:3" ht="200.25" customHeight="1">
      <c r="A51" t="s">
        <v>381</v>
      </c>
      <c r="B51" s="97">
        <v>60</v>
      </c>
      <c r="C51" s="26" t="s">
        <v>382</v>
      </c>
    </row>
    <row r="52" spans="1:3" ht="200.25" customHeight="1">
      <c r="A52" t="s">
        <v>383</v>
      </c>
      <c r="B52" s="97">
        <v>64</v>
      </c>
      <c r="C52" s="26" t="s">
        <v>384</v>
      </c>
    </row>
    <row r="53" spans="1:3" ht="200.25" customHeight="1">
      <c r="A53" t="s">
        <v>385</v>
      </c>
      <c r="B53" s="97">
        <v>62</v>
      </c>
      <c r="C53" s="26" t="s">
        <v>386</v>
      </c>
    </row>
    <row r="54" spans="1:3" ht="200.25" customHeight="1">
      <c r="A54" t="s">
        <v>387</v>
      </c>
      <c r="B54" s="97">
        <v>64</v>
      </c>
      <c r="C54" s="26" t="s">
        <v>388</v>
      </c>
    </row>
    <row r="55" spans="1:3" ht="200.25" customHeight="1">
      <c r="A55" t="s">
        <v>389</v>
      </c>
      <c r="B55" s="97">
        <v>50</v>
      </c>
      <c r="C55" s="26" t="s">
        <v>390</v>
      </c>
    </row>
    <row r="56" spans="1:3" ht="200.25" customHeight="1">
      <c r="A56" t="s">
        <v>391</v>
      </c>
      <c r="B56" s="97">
        <v>50</v>
      </c>
      <c r="C56" s="26" t="s">
        <v>392</v>
      </c>
    </row>
    <row r="57" spans="1:3" ht="200.25" customHeight="1">
      <c r="A57" t="s">
        <v>393</v>
      </c>
      <c r="B57" s="97">
        <v>63</v>
      </c>
      <c r="C57" s="26" t="s">
        <v>394</v>
      </c>
    </row>
    <row r="58" spans="1:3" ht="200.25" customHeight="1">
      <c r="A58" t="s">
        <v>395</v>
      </c>
      <c r="B58" s="97">
        <v>63</v>
      </c>
      <c r="C58" s="26" t="s">
        <v>396</v>
      </c>
    </row>
    <row r="59" spans="1:3" ht="200.25" customHeight="1">
      <c r="A59" t="s">
        <v>397</v>
      </c>
      <c r="B59" s="97">
        <v>65</v>
      </c>
      <c r="C59" s="26" t="s">
        <v>398</v>
      </c>
    </row>
    <row r="60" spans="1:3" ht="200.25" customHeight="1">
      <c r="A60" t="s">
        <v>399</v>
      </c>
      <c r="B60" s="97">
        <v>60</v>
      </c>
      <c r="C60" s="26" t="s">
        <v>400</v>
      </c>
    </row>
    <row r="61" spans="1:3" ht="200.25" customHeight="1">
      <c r="A61" t="s">
        <v>401</v>
      </c>
      <c r="B61" s="97">
        <v>65</v>
      </c>
      <c r="C61" s="26" t="s">
        <v>402</v>
      </c>
    </row>
    <row r="62" spans="1:3" ht="200.25" customHeight="1">
      <c r="A62" t="s">
        <v>403</v>
      </c>
      <c r="B62" s="97">
        <v>68</v>
      </c>
      <c r="C62" s="26" t="s">
        <v>404</v>
      </c>
    </row>
    <row r="63" spans="1:3" ht="200.25" customHeight="1">
      <c r="A63" t="s">
        <v>405</v>
      </c>
      <c r="B63" s="97">
        <v>62</v>
      </c>
      <c r="C63" s="26" t="s">
        <v>406</v>
      </c>
    </row>
    <row r="64" spans="1:3" ht="200.25" customHeight="1">
      <c r="A64" t="s">
        <v>407</v>
      </c>
      <c r="B64" s="97">
        <v>65</v>
      </c>
      <c r="C64" s="26" t="s">
        <v>408</v>
      </c>
    </row>
    <row r="65" spans="1:3" ht="200.25" customHeight="1">
      <c r="A65" t="s">
        <v>409</v>
      </c>
      <c r="B65" s="97">
        <v>65</v>
      </c>
      <c r="C65" s="26" t="s">
        <v>410</v>
      </c>
    </row>
    <row r="66" spans="1:3" ht="200.25" customHeight="1">
      <c r="A66" t="s">
        <v>411</v>
      </c>
      <c r="B66" s="97">
        <v>69</v>
      </c>
      <c r="C66" s="26" t="s">
        <v>412</v>
      </c>
    </row>
    <row r="67" spans="1:3" ht="200.25" customHeight="1">
      <c r="A67" t="s">
        <v>413</v>
      </c>
      <c r="B67" s="97">
        <v>64</v>
      </c>
      <c r="C67" s="26" t="s">
        <v>414</v>
      </c>
    </row>
    <row r="68" spans="1:3" ht="200.25" customHeight="1">
      <c r="A68" t="s">
        <v>415</v>
      </c>
      <c r="B68" s="97">
        <v>65</v>
      </c>
      <c r="C68" s="26" t="s">
        <v>416</v>
      </c>
    </row>
    <row r="69" spans="1:3" ht="200.25" customHeight="1">
      <c r="A69" t="s">
        <v>417</v>
      </c>
      <c r="B69" s="97">
        <v>66</v>
      </c>
      <c r="C69" s="26" t="s">
        <v>418</v>
      </c>
    </row>
    <row r="70" spans="1:3" ht="200.25" customHeight="1">
      <c r="A70" t="s">
        <v>419</v>
      </c>
      <c r="B70" s="97">
        <v>61</v>
      </c>
      <c r="C70" s="26" t="s">
        <v>420</v>
      </c>
    </row>
    <row r="71" spans="1:3" ht="200.25" customHeight="1">
      <c r="A71" t="s">
        <v>421</v>
      </c>
      <c r="B71" s="97">
        <v>67</v>
      </c>
      <c r="C71" s="26" t="s">
        <v>422</v>
      </c>
    </row>
    <row r="72" spans="1:3" ht="200.25" customHeight="1">
      <c r="A72" t="s">
        <v>423</v>
      </c>
      <c r="B72" s="97">
        <v>56</v>
      </c>
      <c r="C72" s="26" t="s">
        <v>424</v>
      </c>
    </row>
    <row r="73" spans="1:3" ht="200.25" customHeight="1">
      <c r="A73" t="s">
        <v>425</v>
      </c>
      <c r="B73" s="97">
        <v>62</v>
      </c>
      <c r="C73" s="26" t="s">
        <v>426</v>
      </c>
    </row>
    <row r="74" spans="1:3" ht="200.25" customHeight="1">
      <c r="A74" t="s">
        <v>427</v>
      </c>
      <c r="B74" s="97">
        <v>50</v>
      </c>
      <c r="C74" s="26" t="s">
        <v>428</v>
      </c>
    </row>
    <row r="75" spans="1:3" ht="200.25" customHeight="1">
      <c r="A75" t="s">
        <v>429</v>
      </c>
      <c r="B75" s="97">
        <v>68</v>
      </c>
      <c r="C75" s="26" t="s">
        <v>430</v>
      </c>
    </row>
    <row r="76" spans="1:3" ht="200.25" customHeight="1">
      <c r="A76" t="s">
        <v>431</v>
      </c>
      <c r="B76" s="97">
        <v>61</v>
      </c>
      <c r="C76" s="26" t="s">
        <v>432</v>
      </c>
    </row>
    <row r="77" spans="1:3" ht="200.25" customHeight="1">
      <c r="A77" t="s">
        <v>433</v>
      </c>
      <c r="B77" s="97">
        <v>61</v>
      </c>
      <c r="C77" s="26" t="s">
        <v>434</v>
      </c>
    </row>
    <row r="78" spans="1:3" ht="200.25" customHeight="1">
      <c r="A78" t="s">
        <v>435</v>
      </c>
      <c r="B78" s="97">
        <v>62</v>
      </c>
      <c r="C78" s="26" t="s">
        <v>436</v>
      </c>
    </row>
    <row r="79" spans="1:3" ht="200.25" customHeight="1">
      <c r="A79" t="s">
        <v>437</v>
      </c>
      <c r="B79" s="97">
        <v>67</v>
      </c>
      <c r="C79" s="26" t="s">
        <v>438</v>
      </c>
    </row>
    <row r="80" spans="1:3" ht="200.25" customHeight="1">
      <c r="A80" t="s">
        <v>439</v>
      </c>
      <c r="B80" s="97">
        <v>63</v>
      </c>
      <c r="C80" s="26" t="s">
        <v>440</v>
      </c>
    </row>
    <row r="81" spans="1:3" ht="200.25" customHeight="1">
      <c r="A81" t="s">
        <v>441</v>
      </c>
      <c r="B81" s="97">
        <v>40</v>
      </c>
      <c r="C81" s="26" t="s">
        <v>442</v>
      </c>
    </row>
    <row r="82" spans="1:3" ht="200.25" customHeight="1">
      <c r="A82" t="s">
        <v>443</v>
      </c>
      <c r="B82" s="97">
        <v>64</v>
      </c>
      <c r="C82" s="26" t="s">
        <v>444</v>
      </c>
    </row>
    <row r="83" spans="1:3" ht="200.25" customHeight="1">
      <c r="A83" t="s">
        <v>445</v>
      </c>
      <c r="B83" s="97">
        <v>71</v>
      </c>
      <c r="C83" s="26" t="s">
        <v>446</v>
      </c>
    </row>
    <row r="84" spans="1:3" ht="200.25" customHeight="1">
      <c r="A84" t="s">
        <v>447</v>
      </c>
      <c r="B84" s="97">
        <v>74</v>
      </c>
      <c r="C84" s="26" t="s">
        <v>448</v>
      </c>
    </row>
    <row r="85" spans="1:3" ht="200.25" customHeight="1">
      <c r="A85" t="s">
        <v>449</v>
      </c>
      <c r="B85" s="97">
        <v>60</v>
      </c>
      <c r="C85" s="26" t="s">
        <v>450</v>
      </c>
    </row>
    <row r="86" spans="1:3" ht="200.25" customHeight="1">
      <c r="A86" t="s">
        <v>451</v>
      </c>
      <c r="B86" s="97">
        <v>65</v>
      </c>
      <c r="C86" s="26" t="s">
        <v>452</v>
      </c>
    </row>
    <row r="87" spans="1:3" ht="200.25" customHeight="1">
      <c r="A87" t="s">
        <v>453</v>
      </c>
      <c r="B87" s="97">
        <v>77</v>
      </c>
      <c r="C87" s="26" t="s">
        <v>454</v>
      </c>
    </row>
    <row r="88" spans="1:3" ht="200.25" customHeight="1">
      <c r="A88" t="s">
        <v>455</v>
      </c>
      <c r="B88" s="97">
        <v>71</v>
      </c>
      <c r="C88" s="26" t="s">
        <v>456</v>
      </c>
    </row>
    <row r="89" spans="1:3" ht="200.25" customHeight="1">
      <c r="A89" t="s">
        <v>457</v>
      </c>
      <c r="B89" s="97">
        <v>74</v>
      </c>
      <c r="C89" s="26" t="s">
        <v>458</v>
      </c>
    </row>
    <row r="90" spans="1:3" ht="200.25" customHeight="1">
      <c r="A90" t="s">
        <v>459</v>
      </c>
      <c r="B90" s="97">
        <v>70</v>
      </c>
      <c r="C90" s="26" t="s">
        <v>460</v>
      </c>
    </row>
    <row r="91" spans="1:3" ht="200.25" customHeight="1">
      <c r="A91" t="s">
        <v>461</v>
      </c>
      <c r="B91" s="97">
        <v>63</v>
      </c>
      <c r="C91" s="26" t="s">
        <v>462</v>
      </c>
    </row>
    <row r="92" spans="1:3" ht="200.25" customHeight="1">
      <c r="A92" t="s">
        <v>463</v>
      </c>
      <c r="B92" s="97">
        <v>77</v>
      </c>
      <c r="C92" s="26" t="s">
        <v>464</v>
      </c>
    </row>
    <row r="93" spans="1:3" ht="200.25" customHeight="1">
      <c r="A93" t="s">
        <v>465</v>
      </c>
      <c r="B93" s="97">
        <v>66</v>
      </c>
      <c r="C93" s="26" t="s">
        <v>466</v>
      </c>
    </row>
    <row r="94" spans="1:3" ht="200.25" customHeight="1">
      <c r="A94" t="s">
        <v>467</v>
      </c>
      <c r="B94" s="97">
        <v>65</v>
      </c>
      <c r="C94" s="26" t="s">
        <v>468</v>
      </c>
    </row>
    <row r="95" spans="1:3" ht="200.25" customHeight="1">
      <c r="A95" t="s">
        <v>469</v>
      </c>
      <c r="B95" s="97">
        <v>69</v>
      </c>
      <c r="C95" s="26" t="s">
        <v>470</v>
      </c>
    </row>
    <row r="96" spans="1:3" ht="200.25" customHeight="1">
      <c r="A96" t="s">
        <v>471</v>
      </c>
      <c r="B96" s="97">
        <v>77</v>
      </c>
      <c r="C96" s="26" t="s">
        <v>472</v>
      </c>
    </row>
    <row r="97" spans="1:3" ht="200.25" customHeight="1">
      <c r="A97" t="s">
        <v>473</v>
      </c>
      <c r="B97" s="97">
        <v>72</v>
      </c>
      <c r="C97" s="26" t="s">
        <v>474</v>
      </c>
    </row>
    <row r="98" spans="1:3" ht="200.25" customHeight="1">
      <c r="A98" t="s">
        <v>475</v>
      </c>
      <c r="B98" s="97">
        <v>68</v>
      </c>
      <c r="C98" s="26" t="s">
        <v>476</v>
      </c>
    </row>
    <row r="99" spans="1:3" ht="200.25" customHeight="1">
      <c r="A99" t="s">
        <v>477</v>
      </c>
      <c r="B99" s="97">
        <v>70</v>
      </c>
      <c r="C99" s="26" t="s">
        <v>478</v>
      </c>
    </row>
    <row r="100" spans="1:3" ht="200.25" customHeight="1">
      <c r="A100" t="s">
        <v>479</v>
      </c>
      <c r="B100" s="97">
        <v>74</v>
      </c>
      <c r="C100" s="26" t="s">
        <v>480</v>
      </c>
    </row>
    <row r="101" spans="1:3" ht="200.25" customHeight="1">
      <c r="A101" t="s">
        <v>481</v>
      </c>
      <c r="B101" s="97">
        <v>67</v>
      </c>
      <c r="C101" s="26" t="s">
        <v>482</v>
      </c>
    </row>
    <row r="102" spans="1:3" ht="200.25" customHeight="1">
      <c r="A102" t="s">
        <v>483</v>
      </c>
      <c r="B102" s="97">
        <v>72</v>
      </c>
      <c r="C102" s="26" t="s">
        <v>484</v>
      </c>
    </row>
    <row r="103" spans="1:3" ht="200.25" customHeight="1">
      <c r="A103" t="s">
        <v>485</v>
      </c>
      <c r="B103" s="97">
        <v>63</v>
      </c>
      <c r="C103" s="26" t="s">
        <v>486</v>
      </c>
    </row>
    <row r="104" spans="1:3" ht="200.25" customHeight="1">
      <c r="A104" t="s">
        <v>487</v>
      </c>
      <c r="B104" s="97">
        <v>63</v>
      </c>
      <c r="C104" s="26" t="s">
        <v>488</v>
      </c>
    </row>
    <row r="105" spans="1:3" ht="200.25" customHeight="1">
      <c r="A105" t="s">
        <v>489</v>
      </c>
      <c r="B105" s="97">
        <v>62</v>
      </c>
      <c r="C105" s="26" t="s">
        <v>490</v>
      </c>
    </row>
    <row r="106" spans="1:3" ht="200.25" customHeight="1">
      <c r="A106" t="s">
        <v>491</v>
      </c>
      <c r="B106" s="97">
        <v>70</v>
      </c>
      <c r="C106" s="26" t="s">
        <v>492</v>
      </c>
    </row>
    <row r="107" spans="1:3" ht="200.25" customHeight="1">
      <c r="A107" t="s">
        <v>493</v>
      </c>
      <c r="B107" s="97">
        <v>66</v>
      </c>
      <c r="C107" s="26" t="s">
        <v>494</v>
      </c>
    </row>
    <row r="108" spans="1:3" ht="200.25" customHeight="1">
      <c r="A108" t="s">
        <v>495</v>
      </c>
      <c r="B108" s="97">
        <v>73</v>
      </c>
      <c r="C108" s="26" t="s">
        <v>496</v>
      </c>
    </row>
    <row r="109" spans="1:3" ht="200.25" customHeight="1">
      <c r="A109" t="s">
        <v>497</v>
      </c>
      <c r="B109" s="97">
        <v>73</v>
      </c>
      <c r="C109" s="26" t="s">
        <v>498</v>
      </c>
    </row>
    <row r="110" spans="1:3" ht="200.25" customHeight="1">
      <c r="A110" t="s">
        <v>499</v>
      </c>
      <c r="B110" s="97">
        <v>67</v>
      </c>
      <c r="C110" s="26" t="s">
        <v>500</v>
      </c>
    </row>
    <row r="111" spans="1:3" ht="200.25" customHeight="1">
      <c r="A111" t="s">
        <v>501</v>
      </c>
      <c r="B111" s="97">
        <v>63</v>
      </c>
      <c r="C111" s="26" t="s">
        <v>502</v>
      </c>
    </row>
    <row r="112" spans="1:3" ht="200.25" customHeight="1">
      <c r="A112" t="s">
        <v>503</v>
      </c>
      <c r="B112" s="97">
        <v>64</v>
      </c>
      <c r="C112" s="26" t="s">
        <v>504</v>
      </c>
    </row>
    <row r="113" spans="1:3" ht="200.25" customHeight="1">
      <c r="A113" t="s">
        <v>505</v>
      </c>
      <c r="B113" s="97">
        <v>69</v>
      </c>
      <c r="C113" s="26" t="s">
        <v>506</v>
      </c>
    </row>
    <row r="114" spans="1:3" ht="200.25" customHeight="1">
      <c r="A114" t="s">
        <v>507</v>
      </c>
      <c r="B114" s="97">
        <v>85</v>
      </c>
      <c r="C114" s="26" t="s">
        <v>508</v>
      </c>
    </row>
    <row r="115" spans="1:3" ht="200.25" customHeight="1">
      <c r="A115" t="s">
        <v>509</v>
      </c>
      <c r="B115" s="97">
        <v>73</v>
      </c>
      <c r="C115" s="26" t="s">
        <v>510</v>
      </c>
    </row>
    <row r="116" spans="1:3" ht="200.25" customHeight="1">
      <c r="A116" t="s">
        <v>511</v>
      </c>
      <c r="B116" s="97">
        <v>61</v>
      </c>
      <c r="C116" s="26" t="s">
        <v>512</v>
      </c>
    </row>
    <row r="117" spans="1:3" ht="200.25" customHeight="1">
      <c r="A117" t="s">
        <v>513</v>
      </c>
      <c r="B117" s="97">
        <v>70</v>
      </c>
      <c r="C117" s="26" t="s">
        <v>514</v>
      </c>
    </row>
    <row r="118" spans="1:3" ht="200.25" customHeight="1">
      <c r="A118" t="s">
        <v>515</v>
      </c>
      <c r="B118" s="97">
        <v>61</v>
      </c>
      <c r="C118" s="26" t="s">
        <v>516</v>
      </c>
    </row>
    <row r="119" spans="1:3" ht="200.25" customHeight="1">
      <c r="A119" t="s">
        <v>517</v>
      </c>
      <c r="B119" s="97">
        <v>81</v>
      </c>
      <c r="C119" s="26" t="s">
        <v>518</v>
      </c>
    </row>
    <row r="120" spans="1:3" ht="200.25" customHeight="1">
      <c r="A120" t="s">
        <v>519</v>
      </c>
      <c r="B120" s="97">
        <v>74</v>
      </c>
      <c r="C120" s="26" t="s">
        <v>520</v>
      </c>
    </row>
    <row r="121" spans="1:3" ht="200.25" customHeight="1">
      <c r="A121" t="s">
        <v>521</v>
      </c>
      <c r="B121" s="97">
        <v>69</v>
      </c>
      <c r="C121" s="26" t="s">
        <v>522</v>
      </c>
    </row>
    <row r="122" spans="1:3" ht="200.25" customHeight="1">
      <c r="A122" t="s">
        <v>523</v>
      </c>
      <c r="B122" s="97">
        <v>83</v>
      </c>
      <c r="C122" s="26" t="s">
        <v>524</v>
      </c>
    </row>
    <row r="123" spans="1:3" ht="200.25" customHeight="1">
      <c r="A123" t="s">
        <v>525</v>
      </c>
      <c r="B123" s="97">
        <v>75</v>
      </c>
      <c r="C123" s="26" t="s">
        <v>526</v>
      </c>
    </row>
    <row r="124" spans="1:3" ht="200.25" customHeight="1">
      <c r="A124" t="s">
        <v>527</v>
      </c>
      <c r="B124" s="97">
        <v>70</v>
      </c>
      <c r="C124" s="26" t="s">
        <v>528</v>
      </c>
    </row>
    <row r="125" spans="1:3" ht="200.25" customHeight="1">
      <c r="A125" t="s">
        <v>529</v>
      </c>
      <c r="B125" s="97">
        <v>81</v>
      </c>
      <c r="C125" s="26" t="s">
        <v>530</v>
      </c>
    </row>
    <row r="126" spans="1:3" ht="200.25" customHeight="1">
      <c r="A126" t="s">
        <v>531</v>
      </c>
      <c r="B126" s="97">
        <v>64</v>
      </c>
      <c r="C126" s="26" t="s">
        <v>532</v>
      </c>
    </row>
    <row r="127" spans="1:3" ht="200.25" customHeight="1">
      <c r="A127" t="s">
        <v>533</v>
      </c>
      <c r="B127" s="97">
        <v>63</v>
      </c>
      <c r="C127" s="26" t="s">
        <v>534</v>
      </c>
    </row>
    <row r="128" spans="1:3" ht="200.25" customHeight="1">
      <c r="A128" t="s">
        <v>535</v>
      </c>
      <c r="B128" s="97">
        <v>67</v>
      </c>
      <c r="C128" s="26" t="s">
        <v>536</v>
      </c>
    </row>
    <row r="129" spans="1:3" ht="200.25" customHeight="1">
      <c r="A129" t="s">
        <v>537</v>
      </c>
      <c r="B129" s="97">
        <v>61</v>
      </c>
      <c r="C129" s="26" t="s">
        <v>538</v>
      </c>
    </row>
    <row r="130" spans="1:3" ht="200.25" customHeight="1">
      <c r="A130" t="s">
        <v>539</v>
      </c>
      <c r="B130" s="97">
        <v>72</v>
      </c>
      <c r="C130" s="26" t="s">
        <v>540</v>
      </c>
    </row>
    <row r="131" spans="1:3" ht="200.25" customHeight="1">
      <c r="A131" t="s">
        <v>541</v>
      </c>
      <c r="B131" s="97">
        <v>51</v>
      </c>
      <c r="C131" s="26" t="s">
        <v>542</v>
      </c>
    </row>
    <row r="132" spans="1:3" ht="200.25" customHeight="1">
      <c r="A132" t="s">
        <v>543</v>
      </c>
      <c r="B132" s="97">
        <v>72</v>
      </c>
      <c r="C132" s="26" t="s">
        <v>544</v>
      </c>
    </row>
    <row r="133" spans="1:3" ht="200.25" customHeight="1">
      <c r="A133" t="s">
        <v>545</v>
      </c>
      <c r="B133" s="97">
        <v>30</v>
      </c>
      <c r="C133" s="26" t="s">
        <v>546</v>
      </c>
    </row>
    <row r="134" spans="1:3" ht="200.25" customHeight="1">
      <c r="A134" t="s">
        <v>547</v>
      </c>
      <c r="B134" s="97">
        <v>72</v>
      </c>
      <c r="C134" s="26" t="s">
        <v>548</v>
      </c>
    </row>
    <row r="135" spans="1:3" ht="200.25" customHeight="1">
      <c r="A135" t="s">
        <v>549</v>
      </c>
      <c r="B135" s="97">
        <v>68</v>
      </c>
      <c r="C135" s="26" t="s">
        <v>550</v>
      </c>
    </row>
    <row r="136" spans="1:3" ht="200.25" customHeight="1">
      <c r="A136" t="s">
        <v>551</v>
      </c>
      <c r="B136" s="97">
        <v>76</v>
      </c>
      <c r="C136" s="26" t="s">
        <v>552</v>
      </c>
    </row>
    <row r="137" spans="1:3" ht="200.25" customHeight="1">
      <c r="A137" t="s">
        <v>553</v>
      </c>
      <c r="B137" s="97">
        <v>68</v>
      </c>
      <c r="C137" s="26" t="s">
        <v>554</v>
      </c>
    </row>
    <row r="138" spans="1:3" ht="200.25" customHeight="1">
      <c r="A138" t="s">
        <v>555</v>
      </c>
      <c r="B138" s="97">
        <v>72</v>
      </c>
      <c r="C138" s="26" t="s">
        <v>556</v>
      </c>
    </row>
    <row r="139" spans="1:3" ht="200.25" customHeight="1">
      <c r="A139" t="s">
        <v>557</v>
      </c>
      <c r="B139" s="97">
        <v>79</v>
      </c>
      <c r="C139" s="26" t="s">
        <v>558</v>
      </c>
    </row>
    <row r="140" spans="1:3" ht="200.25" customHeight="1">
      <c r="A140" t="s">
        <v>559</v>
      </c>
      <c r="B140" s="97">
        <v>64</v>
      </c>
      <c r="C140" s="26" t="s">
        <v>560</v>
      </c>
    </row>
    <row r="141" spans="1:3" ht="200.25" customHeight="1">
      <c r="A141" t="s">
        <v>561</v>
      </c>
      <c r="B141" s="97">
        <v>64</v>
      </c>
      <c r="C141" s="26" t="s">
        <v>562</v>
      </c>
    </row>
    <row r="142" spans="1:3" ht="200.25" customHeight="1">
      <c r="A142" t="s">
        <v>563</v>
      </c>
      <c r="B142" s="97">
        <v>62</v>
      </c>
      <c r="C142" s="26" t="s">
        <v>564</v>
      </c>
    </row>
    <row r="143" spans="1:3" ht="200.25" customHeight="1">
      <c r="A143" t="s">
        <v>565</v>
      </c>
      <c r="B143" s="97">
        <v>71</v>
      </c>
      <c r="C143" s="26" t="s">
        <v>566</v>
      </c>
    </row>
    <row r="144" spans="1:3" ht="200.25" customHeight="1">
      <c r="A144" t="s">
        <v>567</v>
      </c>
      <c r="B144" s="97">
        <v>71</v>
      </c>
      <c r="C144" s="26" t="s">
        <v>568</v>
      </c>
    </row>
    <row r="145" spans="1:3" ht="200.25" customHeight="1">
      <c r="A145" t="s">
        <v>569</v>
      </c>
      <c r="B145" s="97">
        <v>68</v>
      </c>
      <c r="C145" s="26" t="s">
        <v>570</v>
      </c>
    </row>
    <row r="146" spans="1:3" ht="200.25" customHeight="1">
      <c r="A146" t="s">
        <v>571</v>
      </c>
      <c r="B146" s="97">
        <v>66</v>
      </c>
      <c r="C146" s="26" t="s">
        <v>572</v>
      </c>
    </row>
    <row r="147" spans="1:3" ht="200.25" customHeight="1">
      <c r="A147" t="s">
        <v>573</v>
      </c>
      <c r="B147" s="97">
        <v>65</v>
      </c>
      <c r="C147" s="26" t="s">
        <v>574</v>
      </c>
    </row>
    <row r="148" spans="1:3" ht="200.25" customHeight="1">
      <c r="A148" t="s">
        <v>575</v>
      </c>
      <c r="B148" s="97">
        <v>73</v>
      </c>
      <c r="C148" s="26" t="s">
        <v>576</v>
      </c>
    </row>
    <row r="149" spans="1:3" ht="200.25" customHeight="1">
      <c r="A149" t="s">
        <v>577</v>
      </c>
      <c r="B149" s="97">
        <v>57</v>
      </c>
      <c r="C149" s="26" t="s">
        <v>578</v>
      </c>
    </row>
    <row r="150" spans="1:3" ht="200.25" customHeight="1">
      <c r="A150" t="s">
        <v>579</v>
      </c>
      <c r="B150" s="97">
        <v>81</v>
      </c>
      <c r="C150" s="26" t="s">
        <v>580</v>
      </c>
    </row>
    <row r="151" spans="1:3" ht="200.25" customHeight="1">
      <c r="A151" t="s">
        <v>581</v>
      </c>
      <c r="B151" s="97">
        <v>70</v>
      </c>
      <c r="C151" s="26" t="s">
        <v>582</v>
      </c>
    </row>
    <row r="152" spans="1:3" ht="200.25" customHeight="1">
      <c r="A152" t="s">
        <v>583</v>
      </c>
      <c r="B152" s="97">
        <v>52</v>
      </c>
      <c r="C152" s="26" t="s">
        <v>584</v>
      </c>
    </row>
    <row r="153" spans="1:3" ht="200.25" customHeight="1">
      <c r="A153" t="s">
        <v>585</v>
      </c>
      <c r="B153" s="97">
        <v>77</v>
      </c>
      <c r="C153" s="26" t="s">
        <v>586</v>
      </c>
    </row>
    <row r="154" spans="1:3" ht="200.25" customHeight="1">
      <c r="A154" t="s">
        <v>587</v>
      </c>
      <c r="B154" s="97">
        <v>77</v>
      </c>
      <c r="C154" s="26" t="s">
        <v>588</v>
      </c>
    </row>
    <row r="155" spans="1:3" ht="200.25" customHeight="1">
      <c r="A155" t="s">
        <v>589</v>
      </c>
      <c r="B155" s="97">
        <v>57</v>
      </c>
      <c r="C155" s="26" t="s">
        <v>590</v>
      </c>
    </row>
    <row r="156" spans="1:3" ht="200.25" customHeight="1">
      <c r="A156" t="s">
        <v>591</v>
      </c>
      <c r="B156" s="97">
        <v>74</v>
      </c>
      <c r="C156" s="26" t="s">
        <v>592</v>
      </c>
    </row>
    <row r="157" spans="1:3" ht="200.25" customHeight="1">
      <c r="A157" t="s">
        <v>593</v>
      </c>
      <c r="B157" s="97">
        <v>81</v>
      </c>
      <c r="C157" s="26" t="s">
        <v>594</v>
      </c>
    </row>
    <row r="158" spans="1:3" ht="200.25" customHeight="1">
      <c r="A158" t="s">
        <v>595</v>
      </c>
      <c r="B158" s="97">
        <v>68</v>
      </c>
      <c r="C158" s="26" t="s">
        <v>596</v>
      </c>
    </row>
    <row r="159" spans="1:3" ht="200.25" customHeight="1">
      <c r="A159" t="s">
        <v>597</v>
      </c>
      <c r="B159" s="97">
        <v>60</v>
      </c>
      <c r="C159" s="26" t="s">
        <v>598</v>
      </c>
    </row>
    <row r="160" spans="1:3" ht="200.25" customHeight="1">
      <c r="A160" t="s">
        <v>599</v>
      </c>
      <c r="B160" s="97">
        <v>85</v>
      </c>
      <c r="C160" s="26" t="s">
        <v>600</v>
      </c>
    </row>
    <row r="161" spans="1:3" ht="200.25" customHeight="1">
      <c r="A161" t="s">
        <v>601</v>
      </c>
      <c r="B161" s="97">
        <v>75</v>
      </c>
      <c r="C161" s="26" t="s">
        <v>602</v>
      </c>
    </row>
    <row r="162" spans="1:3" ht="200.25" customHeight="1">
      <c r="A162" t="s">
        <v>603</v>
      </c>
      <c r="B162" s="97">
        <v>72</v>
      </c>
      <c r="C162" s="26" t="s">
        <v>604</v>
      </c>
    </row>
    <row r="163" spans="1:3" ht="200.25" customHeight="1">
      <c r="A163" t="s">
        <v>605</v>
      </c>
      <c r="B163" s="97">
        <v>77</v>
      </c>
      <c r="C163" s="26" t="s">
        <v>606</v>
      </c>
    </row>
    <row r="164" spans="1:3" ht="200.25" customHeight="1">
      <c r="A164" t="s">
        <v>607</v>
      </c>
      <c r="B164" s="97">
        <v>68</v>
      </c>
      <c r="C164" s="26" t="s">
        <v>608</v>
      </c>
    </row>
    <row r="165" spans="1:3" ht="200.25" customHeight="1">
      <c r="A165" t="s">
        <v>609</v>
      </c>
      <c r="B165" s="97">
        <v>66</v>
      </c>
      <c r="C165" s="26" t="s">
        <v>610</v>
      </c>
    </row>
    <row r="166" spans="1:3" ht="200.25" customHeight="1">
      <c r="A166" t="s">
        <v>611</v>
      </c>
      <c r="B166" s="97">
        <v>80</v>
      </c>
      <c r="C166" s="26" t="s">
        <v>612</v>
      </c>
    </row>
    <row r="167" spans="1:3" ht="200.25" customHeight="1">
      <c r="A167" t="s">
        <v>613</v>
      </c>
      <c r="B167" s="97">
        <v>69</v>
      </c>
      <c r="C167" s="26" t="s">
        <v>614</v>
      </c>
    </row>
    <row r="168" spans="1:3" ht="200.25" customHeight="1">
      <c r="A168" t="s">
        <v>615</v>
      </c>
      <c r="B168" s="97">
        <v>72</v>
      </c>
      <c r="C168" s="26" t="s">
        <v>616</v>
      </c>
    </row>
    <row r="169" spans="1:3" ht="200.25" customHeight="1">
      <c r="A169" t="s">
        <v>617</v>
      </c>
      <c r="B169" s="97">
        <v>57</v>
      </c>
      <c r="C169" s="26" t="s">
        <v>618</v>
      </c>
    </row>
    <row r="170" spans="1:3" ht="200.25" customHeight="1">
      <c r="A170" t="s">
        <v>619</v>
      </c>
      <c r="B170" s="97">
        <v>63</v>
      </c>
      <c r="C170" s="26" t="s">
        <v>620</v>
      </c>
    </row>
    <row r="171" spans="1:3" ht="200.25" customHeight="1">
      <c r="A171" t="s">
        <v>621</v>
      </c>
      <c r="B171" s="97">
        <v>67</v>
      </c>
      <c r="C171" s="26" t="s">
        <v>622</v>
      </c>
    </row>
    <row r="172" spans="1:3" ht="200.25" customHeight="1">
      <c r="A172" t="s">
        <v>623</v>
      </c>
      <c r="B172" s="97">
        <v>73</v>
      </c>
      <c r="C172" s="26" t="s">
        <v>624</v>
      </c>
    </row>
    <row r="173" spans="1:3" ht="200.25" customHeight="1">
      <c r="A173" t="s">
        <v>625</v>
      </c>
      <c r="B173" s="97">
        <v>75</v>
      </c>
      <c r="C173" s="26" t="s">
        <v>626</v>
      </c>
    </row>
    <row r="174" spans="1:3" ht="200.25" customHeight="1">
      <c r="A174" t="s">
        <v>627</v>
      </c>
      <c r="B174" s="97">
        <v>72</v>
      </c>
      <c r="C174" s="26" t="s">
        <v>628</v>
      </c>
    </row>
    <row r="175" spans="1:3" ht="200.25" customHeight="1">
      <c r="A175" t="s">
        <v>629</v>
      </c>
      <c r="B175" s="97">
        <v>69</v>
      </c>
      <c r="C175" s="26" t="s">
        <v>630</v>
      </c>
    </row>
    <row r="176" spans="1:3" ht="200.25" customHeight="1">
      <c r="A176" t="s">
        <v>631</v>
      </c>
      <c r="B176" s="97">
        <v>74</v>
      </c>
      <c r="C176" s="26" t="s">
        <v>632</v>
      </c>
    </row>
    <row r="177" spans="1:3" ht="200.25" customHeight="1">
      <c r="A177" t="s">
        <v>633</v>
      </c>
      <c r="B177" s="97">
        <v>67</v>
      </c>
      <c r="C177" s="26" t="s">
        <v>634</v>
      </c>
    </row>
    <row r="178" spans="1:3" ht="200.25" customHeight="1">
      <c r="A178" t="s">
        <v>635</v>
      </c>
      <c r="B178" s="97">
        <v>66</v>
      </c>
      <c r="C178" s="26" t="s">
        <v>636</v>
      </c>
    </row>
    <row r="179" spans="1:3" ht="200.25" customHeight="1">
      <c r="A179" t="s">
        <v>637</v>
      </c>
      <c r="B179" s="97">
        <v>76</v>
      </c>
      <c r="C179" s="26" t="s">
        <v>638</v>
      </c>
    </row>
    <row r="180" spans="1:3" ht="200.25" customHeight="1">
      <c r="A180" t="s">
        <v>639</v>
      </c>
      <c r="B180" s="97">
        <v>76</v>
      </c>
      <c r="C180" s="26" t="s">
        <v>640</v>
      </c>
    </row>
    <row r="181" spans="1:3" ht="200.25" customHeight="1">
      <c r="A181" t="s">
        <v>641</v>
      </c>
      <c r="B181" s="97">
        <v>72</v>
      </c>
      <c r="C181" s="26" t="s">
        <v>642</v>
      </c>
    </row>
    <row r="182" spans="1:3" ht="200.25" customHeight="1">
      <c r="A182" t="s">
        <v>643</v>
      </c>
      <c r="B182" s="97">
        <v>75</v>
      </c>
      <c r="C182" s="26" t="s">
        <v>644</v>
      </c>
    </row>
    <row r="183" spans="1:3" ht="200.25" customHeight="1">
      <c r="A183" t="s">
        <v>645</v>
      </c>
      <c r="B183" s="97">
        <v>52</v>
      </c>
      <c r="C183" s="26" t="s">
        <v>646</v>
      </c>
    </row>
    <row r="184" spans="1:3" ht="200.25" customHeight="1">
      <c r="A184" t="s">
        <v>647</v>
      </c>
      <c r="B184" s="97">
        <v>78</v>
      </c>
      <c r="C184" s="26" t="s">
        <v>648</v>
      </c>
    </row>
    <row r="185" spans="1:3" ht="200.25" customHeight="1">
      <c r="A185" t="s">
        <v>649</v>
      </c>
      <c r="B185" s="97">
        <v>67</v>
      </c>
      <c r="C185" s="26" t="s">
        <v>650</v>
      </c>
    </row>
    <row r="186" spans="1:3" ht="200.25" customHeight="1">
      <c r="A186" t="s">
        <v>651</v>
      </c>
      <c r="B186" s="97">
        <v>67</v>
      </c>
      <c r="C186" s="26" t="s">
        <v>652</v>
      </c>
    </row>
    <row r="187" spans="1:3" ht="200.25" customHeight="1">
      <c r="A187" t="s">
        <v>653</v>
      </c>
      <c r="B187" s="97">
        <v>80</v>
      </c>
      <c r="C187" s="26" t="s">
        <v>654</v>
      </c>
    </row>
    <row r="188" spans="1:3" ht="200.25" customHeight="1">
      <c r="A188" t="s">
        <v>655</v>
      </c>
      <c r="B188" s="97">
        <v>67</v>
      </c>
      <c r="C188" s="26" t="s">
        <v>656</v>
      </c>
    </row>
    <row r="189" spans="1:3" ht="200.25" customHeight="1">
      <c r="A189" t="s">
        <v>657</v>
      </c>
      <c r="B189" s="97">
        <v>62</v>
      </c>
      <c r="C189" s="26" t="s">
        <v>658</v>
      </c>
    </row>
    <row r="190" spans="1:3" ht="200.25" customHeight="1">
      <c r="A190" t="s">
        <v>659</v>
      </c>
      <c r="B190" s="97">
        <v>81</v>
      </c>
      <c r="C190" s="26" t="s">
        <v>660</v>
      </c>
    </row>
    <row r="191" spans="1:3" ht="200.25" customHeight="1">
      <c r="A191" t="s">
        <v>661</v>
      </c>
      <c r="B191" s="97">
        <v>65</v>
      </c>
      <c r="C191" s="26" t="s">
        <v>662</v>
      </c>
    </row>
    <row r="192" spans="1:3" ht="200.25" customHeight="1">
      <c r="A192" t="s">
        <v>663</v>
      </c>
      <c r="B192" s="97">
        <v>69</v>
      </c>
      <c r="C192" s="26" t="s">
        <v>664</v>
      </c>
    </row>
    <row r="193" spans="1:3" ht="200.25" customHeight="1">
      <c r="A193" t="s">
        <v>665</v>
      </c>
      <c r="B193" s="97">
        <v>73</v>
      </c>
      <c r="C193" s="26" t="s">
        <v>666</v>
      </c>
    </row>
    <row r="194" spans="1:3" ht="200.25" customHeight="1">
      <c r="A194" t="s">
        <v>667</v>
      </c>
      <c r="B194" s="97">
        <v>86</v>
      </c>
      <c r="C194" s="26" t="s">
        <v>668</v>
      </c>
    </row>
    <row r="195" spans="1:3" ht="200.25" customHeight="1">
      <c r="A195" t="s">
        <v>669</v>
      </c>
      <c r="B195" s="97">
        <v>91</v>
      </c>
      <c r="C195" s="26" t="s">
        <v>670</v>
      </c>
    </row>
    <row r="196" spans="1:3" ht="200.25" customHeight="1">
      <c r="A196" t="s">
        <v>671</v>
      </c>
      <c r="B196" s="97">
        <v>70</v>
      </c>
      <c r="C196" s="26" t="s">
        <v>672</v>
      </c>
    </row>
    <row r="197" spans="1:3" ht="200.25" customHeight="1">
      <c r="A197" t="s">
        <v>673</v>
      </c>
      <c r="B197" s="97">
        <v>79</v>
      </c>
      <c r="C197" s="26" t="s">
        <v>674</v>
      </c>
    </row>
    <row r="198" spans="1:3" ht="200.25" customHeight="1">
      <c r="A198" t="s">
        <v>675</v>
      </c>
      <c r="B198" s="97">
        <v>66</v>
      </c>
      <c r="C198" s="26" t="s">
        <v>676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8B6A-9A38-4D11-9CE4-CD60D31B9355}">
  <dimension ref="A1:C9"/>
  <sheetViews>
    <sheetView workbookViewId="0">
      <selection activeCell="C9" sqref="C9"/>
    </sheetView>
  </sheetViews>
  <sheetFormatPr baseColWidth="10" defaultColWidth="8.83203125" defaultRowHeight="50.25" customHeight="1"/>
  <cols>
    <col min="2" max="2" width="3.33203125" bestFit="1" customWidth="1"/>
    <col min="3" max="3" width="238" customWidth="1"/>
  </cols>
  <sheetData>
    <row r="1" spans="1:3" ht="50.25" customHeight="1">
      <c r="A1" t="s">
        <v>184</v>
      </c>
      <c r="B1">
        <v>64</v>
      </c>
      <c r="C1" s="79" t="s">
        <v>677</v>
      </c>
    </row>
    <row r="2" spans="1:3" ht="50.25" customHeight="1">
      <c r="A2" t="s">
        <v>186</v>
      </c>
      <c r="B2">
        <v>79</v>
      </c>
      <c r="C2" s="79" t="s">
        <v>678</v>
      </c>
    </row>
    <row r="3" spans="1:3" ht="50.25" customHeight="1">
      <c r="A3" t="s">
        <v>188</v>
      </c>
      <c r="B3">
        <v>71</v>
      </c>
      <c r="C3" s="79" t="s">
        <v>679</v>
      </c>
    </row>
    <row r="4" spans="1:3" ht="50.25" customHeight="1">
      <c r="A4" t="s">
        <v>190</v>
      </c>
      <c r="B4">
        <v>70</v>
      </c>
      <c r="C4" s="79" t="s">
        <v>680</v>
      </c>
    </row>
    <row r="5" spans="1:3" ht="50.25" customHeight="1">
      <c r="A5" t="s">
        <v>192</v>
      </c>
      <c r="B5">
        <v>73</v>
      </c>
      <c r="C5" s="79" t="s">
        <v>681</v>
      </c>
    </row>
    <row r="6" spans="1:3" ht="50.25" customHeight="1">
      <c r="A6" t="s">
        <v>194</v>
      </c>
      <c r="B6">
        <v>75</v>
      </c>
      <c r="C6" s="79" t="s">
        <v>682</v>
      </c>
    </row>
    <row r="7" spans="1:3" ht="50.25" customHeight="1">
      <c r="A7" t="s">
        <v>196</v>
      </c>
      <c r="B7">
        <v>68</v>
      </c>
      <c r="C7" s="79" t="s">
        <v>683</v>
      </c>
    </row>
    <row r="8" spans="1:3" ht="50.25" customHeight="1">
      <c r="A8" t="s">
        <v>198</v>
      </c>
      <c r="B8">
        <v>82</v>
      </c>
      <c r="C8" s="79" t="s">
        <v>684</v>
      </c>
    </row>
    <row r="9" spans="1:3" ht="50.25" customHeight="1">
      <c r="A9" t="s">
        <v>200</v>
      </c>
      <c r="B9">
        <v>0</v>
      </c>
      <c r="C9" s="79" t="s">
        <v>685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FCE4-54B7-4AF2-BCA3-D267D0C4ED21}">
  <dimension ref="A1:M285"/>
  <sheetViews>
    <sheetView topLeftCell="A134" workbookViewId="0">
      <selection activeCell="A134" sqref="A134"/>
    </sheetView>
  </sheetViews>
  <sheetFormatPr baseColWidth="10" defaultColWidth="8.83203125" defaultRowHeight="15"/>
  <cols>
    <col min="2" max="2" width="19.1640625" bestFit="1" customWidth="1"/>
  </cols>
  <sheetData>
    <row r="1" spans="1:13">
      <c r="A1" s="51" t="s">
        <v>184</v>
      </c>
      <c r="B1" s="51" t="s">
        <v>183</v>
      </c>
      <c r="C1" s="51">
        <v>1</v>
      </c>
      <c r="D1" s="51">
        <v>1</v>
      </c>
      <c r="E1" s="51">
        <v>1</v>
      </c>
      <c r="F1" s="51">
        <v>1</v>
      </c>
      <c r="G1" s="51">
        <v>1</v>
      </c>
      <c r="H1" s="51">
        <v>1</v>
      </c>
      <c r="I1" s="51">
        <v>2</v>
      </c>
      <c r="M1">
        <f t="shared" ref="M1:M64" si="0">IF(A2=A1, 0, 1)</f>
        <v>1</v>
      </c>
    </row>
    <row r="2" spans="1:13">
      <c r="A2" s="51" t="s">
        <v>281</v>
      </c>
      <c r="B2" s="51" t="s">
        <v>686</v>
      </c>
      <c r="C2" s="51">
        <v>1</v>
      </c>
      <c r="D2" s="51">
        <v>1</v>
      </c>
      <c r="E2" s="51">
        <v>1</v>
      </c>
      <c r="F2" s="51">
        <v>1</v>
      </c>
      <c r="G2" s="51">
        <v>1</v>
      </c>
      <c r="H2" s="51">
        <v>1</v>
      </c>
      <c r="I2" s="51">
        <v>2</v>
      </c>
      <c r="M2">
        <f t="shared" si="0"/>
        <v>1</v>
      </c>
    </row>
    <row r="3" spans="1:13">
      <c r="A3" s="51" t="s">
        <v>283</v>
      </c>
      <c r="B3" s="51" t="s">
        <v>687</v>
      </c>
      <c r="C3" s="51">
        <v>0</v>
      </c>
      <c r="D3" s="51">
        <v>0</v>
      </c>
      <c r="E3" s="51">
        <v>0</v>
      </c>
      <c r="F3" s="51">
        <v>0</v>
      </c>
      <c r="G3" s="51">
        <v>0</v>
      </c>
      <c r="H3" s="51">
        <v>0</v>
      </c>
      <c r="I3" s="51">
        <v>1</v>
      </c>
      <c r="M3">
        <f t="shared" si="0"/>
        <v>1</v>
      </c>
    </row>
    <row r="4" spans="1:13">
      <c r="A4" s="51" t="s">
        <v>285</v>
      </c>
      <c r="B4" s="51" t="s">
        <v>688</v>
      </c>
      <c r="C4" s="51">
        <v>1</v>
      </c>
      <c r="D4" s="51">
        <v>1</v>
      </c>
      <c r="E4" s="51">
        <v>1</v>
      </c>
      <c r="F4" s="51">
        <v>1</v>
      </c>
      <c r="G4" s="51">
        <v>1</v>
      </c>
      <c r="H4" s="51">
        <v>1</v>
      </c>
      <c r="I4" s="51">
        <v>2</v>
      </c>
      <c r="M4">
        <f t="shared" si="0"/>
        <v>1</v>
      </c>
    </row>
    <row r="5" spans="1:13">
      <c r="A5" s="51" t="s">
        <v>186</v>
      </c>
      <c r="B5" s="51" t="s">
        <v>185</v>
      </c>
      <c r="C5" s="51">
        <v>1</v>
      </c>
      <c r="D5" s="51">
        <v>1</v>
      </c>
      <c r="E5" s="51">
        <v>1</v>
      </c>
      <c r="F5" s="51">
        <v>1</v>
      </c>
      <c r="G5" s="51">
        <v>1</v>
      </c>
      <c r="H5" s="51">
        <v>1</v>
      </c>
      <c r="I5" s="51">
        <v>2</v>
      </c>
      <c r="M5">
        <f t="shared" si="0"/>
        <v>1</v>
      </c>
    </row>
    <row r="6" spans="1:13">
      <c r="A6" s="51" t="s">
        <v>287</v>
      </c>
      <c r="B6" s="51" t="s">
        <v>689</v>
      </c>
      <c r="C6" s="51">
        <v>1</v>
      </c>
      <c r="D6" s="51">
        <v>1</v>
      </c>
      <c r="E6" s="51">
        <v>1</v>
      </c>
      <c r="F6" s="51">
        <v>1</v>
      </c>
      <c r="G6" s="51">
        <v>1</v>
      </c>
      <c r="H6" s="51">
        <v>1</v>
      </c>
      <c r="I6" s="51">
        <v>2</v>
      </c>
      <c r="M6">
        <f t="shared" si="0"/>
        <v>1</v>
      </c>
    </row>
    <row r="7" spans="1:13">
      <c r="A7" s="51" t="s">
        <v>289</v>
      </c>
      <c r="B7" s="51" t="s">
        <v>690</v>
      </c>
      <c r="C7" s="51">
        <v>1</v>
      </c>
      <c r="D7" s="51">
        <v>1</v>
      </c>
      <c r="E7" s="51">
        <v>1</v>
      </c>
      <c r="F7" s="51">
        <v>1</v>
      </c>
      <c r="G7" s="51">
        <v>1</v>
      </c>
      <c r="H7" s="51">
        <v>1</v>
      </c>
      <c r="I7" s="51">
        <v>2</v>
      </c>
      <c r="M7">
        <f t="shared" si="0"/>
        <v>1</v>
      </c>
    </row>
    <row r="8" spans="1:13">
      <c r="A8" s="51" t="s">
        <v>291</v>
      </c>
      <c r="B8" s="51" t="s">
        <v>691</v>
      </c>
      <c r="C8" s="51">
        <v>1</v>
      </c>
      <c r="D8" s="51">
        <v>1</v>
      </c>
      <c r="E8" s="51">
        <v>1</v>
      </c>
      <c r="F8" s="51">
        <v>1</v>
      </c>
      <c r="G8" s="51">
        <v>1</v>
      </c>
      <c r="H8" s="51">
        <v>1</v>
      </c>
      <c r="I8" s="51">
        <v>2</v>
      </c>
      <c r="M8">
        <f t="shared" si="0"/>
        <v>1</v>
      </c>
    </row>
    <row r="9" spans="1:13">
      <c r="A9" s="51" t="s">
        <v>293</v>
      </c>
      <c r="B9" s="51" t="s">
        <v>692</v>
      </c>
      <c r="C9" s="51">
        <v>1</v>
      </c>
      <c r="D9" s="51">
        <v>1</v>
      </c>
      <c r="E9" s="51">
        <v>1</v>
      </c>
      <c r="F9" s="51">
        <v>1</v>
      </c>
      <c r="G9" s="51">
        <v>1</v>
      </c>
      <c r="H9" s="51">
        <v>1</v>
      </c>
      <c r="I9" s="51">
        <v>2</v>
      </c>
      <c r="M9">
        <f t="shared" si="0"/>
        <v>1</v>
      </c>
    </row>
    <row r="10" spans="1:13">
      <c r="A10" s="51" t="s">
        <v>295</v>
      </c>
      <c r="B10" s="51" t="s">
        <v>693</v>
      </c>
      <c r="C10" s="51">
        <v>1</v>
      </c>
      <c r="D10" s="51">
        <v>1</v>
      </c>
      <c r="E10" s="51">
        <v>1</v>
      </c>
      <c r="F10" s="51">
        <v>1</v>
      </c>
      <c r="G10" s="51">
        <v>1</v>
      </c>
      <c r="H10" s="51">
        <v>1</v>
      </c>
      <c r="I10" s="51">
        <v>2</v>
      </c>
      <c r="M10">
        <f t="shared" si="0"/>
        <v>1</v>
      </c>
    </row>
    <row r="11" spans="1:13">
      <c r="A11" s="51" t="s">
        <v>297</v>
      </c>
      <c r="B11" s="51" t="s">
        <v>694</v>
      </c>
      <c r="C11" s="51">
        <v>1</v>
      </c>
      <c r="D11" s="51">
        <v>1</v>
      </c>
      <c r="E11" s="51">
        <v>1</v>
      </c>
      <c r="F11" s="51">
        <v>1</v>
      </c>
      <c r="G11" s="51">
        <v>1</v>
      </c>
      <c r="H11" s="51">
        <v>1</v>
      </c>
      <c r="I11" s="51">
        <v>2</v>
      </c>
      <c r="M11">
        <f t="shared" si="0"/>
        <v>1</v>
      </c>
    </row>
    <row r="12" spans="1:13">
      <c r="A12" s="51" t="s">
        <v>299</v>
      </c>
      <c r="B12" s="51" t="s">
        <v>695</v>
      </c>
      <c r="C12" s="51">
        <v>1</v>
      </c>
      <c r="D12" s="51">
        <v>1</v>
      </c>
      <c r="E12" s="51">
        <v>1</v>
      </c>
      <c r="F12" s="51">
        <v>1</v>
      </c>
      <c r="G12" s="51">
        <v>1</v>
      </c>
      <c r="H12" s="51">
        <v>1</v>
      </c>
      <c r="I12" s="51">
        <v>2</v>
      </c>
      <c r="M12">
        <f t="shared" si="0"/>
        <v>0</v>
      </c>
    </row>
    <row r="13" spans="1:13">
      <c r="A13" s="51" t="s">
        <v>299</v>
      </c>
      <c r="B13" s="51" t="s">
        <v>696</v>
      </c>
      <c r="C13" s="51">
        <v>1</v>
      </c>
      <c r="D13" s="51">
        <v>1</v>
      </c>
      <c r="E13" s="51">
        <v>1</v>
      </c>
      <c r="F13" s="51">
        <v>1</v>
      </c>
      <c r="G13" s="51">
        <v>1</v>
      </c>
      <c r="H13" s="51">
        <v>1</v>
      </c>
      <c r="I13" s="51">
        <v>2</v>
      </c>
      <c r="M13">
        <f t="shared" si="0"/>
        <v>1</v>
      </c>
    </row>
    <row r="14" spans="1:13">
      <c r="A14" s="51" t="s">
        <v>301</v>
      </c>
      <c r="B14" s="51" t="s">
        <v>697</v>
      </c>
      <c r="C14" s="51">
        <v>0</v>
      </c>
      <c r="D14" s="51">
        <v>0</v>
      </c>
      <c r="E14" s="51">
        <v>0</v>
      </c>
      <c r="F14" s="51">
        <v>0</v>
      </c>
      <c r="G14" s="51">
        <v>0</v>
      </c>
      <c r="H14" s="51">
        <v>0</v>
      </c>
      <c r="I14" s="51">
        <v>1</v>
      </c>
      <c r="M14">
        <f t="shared" si="0"/>
        <v>1</v>
      </c>
    </row>
    <row r="15" spans="1:13">
      <c r="A15" s="51" t="s">
        <v>303</v>
      </c>
      <c r="B15" s="51" t="s">
        <v>698</v>
      </c>
      <c r="C15" s="51">
        <v>1</v>
      </c>
      <c r="D15" s="51">
        <v>1</v>
      </c>
      <c r="E15" s="51">
        <v>1</v>
      </c>
      <c r="F15" s="51">
        <v>1</v>
      </c>
      <c r="G15" s="51">
        <v>1</v>
      </c>
      <c r="H15" s="51">
        <v>1</v>
      </c>
      <c r="I15" s="51">
        <v>2</v>
      </c>
      <c r="M15">
        <f t="shared" si="0"/>
        <v>1</v>
      </c>
    </row>
    <row r="16" spans="1:13">
      <c r="A16" s="51" t="s">
        <v>305</v>
      </c>
      <c r="B16" s="51" t="s">
        <v>699</v>
      </c>
      <c r="C16" s="51">
        <v>1</v>
      </c>
      <c r="D16" s="51">
        <v>1</v>
      </c>
      <c r="E16" s="51">
        <v>1</v>
      </c>
      <c r="F16" s="51">
        <v>1</v>
      </c>
      <c r="G16" s="51">
        <v>1</v>
      </c>
      <c r="H16" s="51">
        <v>1</v>
      </c>
      <c r="I16" s="51">
        <v>2</v>
      </c>
      <c r="M16">
        <f t="shared" si="0"/>
        <v>0</v>
      </c>
    </row>
    <row r="17" spans="1:13">
      <c r="A17" s="51" t="s">
        <v>305</v>
      </c>
      <c r="B17" s="51" t="s">
        <v>700</v>
      </c>
      <c r="C17" s="51">
        <v>1</v>
      </c>
      <c r="D17" s="51">
        <v>1</v>
      </c>
      <c r="E17" s="51">
        <v>1</v>
      </c>
      <c r="F17" s="51">
        <v>1</v>
      </c>
      <c r="G17" s="51">
        <v>1</v>
      </c>
      <c r="H17" s="51">
        <v>1</v>
      </c>
      <c r="I17" s="51">
        <v>2</v>
      </c>
      <c r="M17">
        <f t="shared" si="0"/>
        <v>1</v>
      </c>
    </row>
    <row r="18" spans="1:13">
      <c r="A18" s="51" t="s">
        <v>307</v>
      </c>
      <c r="B18" s="51" t="s">
        <v>701</v>
      </c>
      <c r="C18" s="51">
        <v>1</v>
      </c>
      <c r="D18" s="51">
        <v>1</v>
      </c>
      <c r="E18" s="51">
        <v>1</v>
      </c>
      <c r="F18" s="51">
        <v>1</v>
      </c>
      <c r="G18" s="51">
        <v>1</v>
      </c>
      <c r="H18" s="51">
        <v>1</v>
      </c>
      <c r="I18" s="51">
        <v>2</v>
      </c>
      <c r="M18">
        <f t="shared" si="0"/>
        <v>1</v>
      </c>
    </row>
    <row r="19" spans="1:13">
      <c r="A19" s="51" t="s">
        <v>309</v>
      </c>
      <c r="B19" s="51" t="s">
        <v>702</v>
      </c>
      <c r="C19" s="51">
        <v>1</v>
      </c>
      <c r="D19" s="51">
        <v>1</v>
      </c>
      <c r="E19" s="51">
        <v>1</v>
      </c>
      <c r="F19" s="51">
        <v>1</v>
      </c>
      <c r="G19" s="51">
        <v>1</v>
      </c>
      <c r="H19" s="51">
        <v>1</v>
      </c>
      <c r="I19" s="51">
        <v>2</v>
      </c>
      <c r="M19">
        <f t="shared" si="0"/>
        <v>0</v>
      </c>
    </row>
    <row r="20" spans="1:13">
      <c r="A20" s="51" t="s">
        <v>309</v>
      </c>
      <c r="B20" s="51" t="s">
        <v>703</v>
      </c>
      <c r="C20" s="51">
        <v>1</v>
      </c>
      <c r="D20" s="51">
        <v>1</v>
      </c>
      <c r="E20" s="51">
        <v>1</v>
      </c>
      <c r="F20" s="51">
        <v>1</v>
      </c>
      <c r="G20" s="51">
        <v>1</v>
      </c>
      <c r="H20" s="51">
        <v>1</v>
      </c>
      <c r="I20" s="51">
        <v>2</v>
      </c>
      <c r="M20">
        <f t="shared" si="0"/>
        <v>0</v>
      </c>
    </row>
    <row r="21" spans="1:13">
      <c r="A21" s="51" t="s">
        <v>309</v>
      </c>
      <c r="B21" s="51" t="s">
        <v>704</v>
      </c>
      <c r="C21" s="51">
        <v>1</v>
      </c>
      <c r="D21" s="51">
        <v>1</v>
      </c>
      <c r="E21" s="51">
        <v>1</v>
      </c>
      <c r="F21" s="51">
        <v>1</v>
      </c>
      <c r="G21" s="51">
        <v>1</v>
      </c>
      <c r="H21" s="51">
        <v>1</v>
      </c>
      <c r="I21" s="51">
        <v>2</v>
      </c>
      <c r="M21">
        <f t="shared" si="0"/>
        <v>1</v>
      </c>
    </row>
    <row r="22" spans="1:13">
      <c r="A22" s="51" t="s">
        <v>311</v>
      </c>
      <c r="B22" s="51" t="s">
        <v>705</v>
      </c>
      <c r="C22" s="51">
        <v>1</v>
      </c>
      <c r="D22" s="51">
        <v>1</v>
      </c>
      <c r="E22" s="51">
        <v>1</v>
      </c>
      <c r="F22" s="51">
        <v>1</v>
      </c>
      <c r="G22" s="51">
        <v>1</v>
      </c>
      <c r="H22" s="51">
        <v>1</v>
      </c>
      <c r="I22" s="51">
        <v>2</v>
      </c>
      <c r="M22">
        <f t="shared" si="0"/>
        <v>0</v>
      </c>
    </row>
    <row r="23" spans="1:13">
      <c r="A23" s="51" t="s">
        <v>311</v>
      </c>
      <c r="B23" s="51" t="s">
        <v>706</v>
      </c>
      <c r="C23" s="51">
        <v>1</v>
      </c>
      <c r="D23" s="51">
        <v>1</v>
      </c>
      <c r="E23" s="51">
        <v>1</v>
      </c>
      <c r="F23" s="51">
        <v>1</v>
      </c>
      <c r="G23" s="51">
        <v>1</v>
      </c>
      <c r="H23" s="51">
        <v>1</v>
      </c>
      <c r="I23" s="51">
        <v>2</v>
      </c>
      <c r="M23">
        <f t="shared" si="0"/>
        <v>1</v>
      </c>
    </row>
    <row r="24" spans="1:13">
      <c r="A24" s="51" t="s">
        <v>313</v>
      </c>
      <c r="B24" s="51" t="s">
        <v>707</v>
      </c>
      <c r="C24" s="51">
        <v>1</v>
      </c>
      <c r="D24" s="51">
        <v>1</v>
      </c>
      <c r="E24" s="51">
        <v>1</v>
      </c>
      <c r="F24" s="51">
        <v>1</v>
      </c>
      <c r="G24" s="51">
        <v>1</v>
      </c>
      <c r="H24" s="51">
        <v>1</v>
      </c>
      <c r="I24" s="51">
        <v>2</v>
      </c>
      <c r="M24">
        <f t="shared" si="0"/>
        <v>1</v>
      </c>
    </row>
    <row r="25" spans="1:13">
      <c r="A25" s="51" t="s">
        <v>315</v>
      </c>
      <c r="B25" s="51" t="s">
        <v>708</v>
      </c>
      <c r="C25" s="51">
        <v>1</v>
      </c>
      <c r="D25" s="51">
        <v>1</v>
      </c>
      <c r="E25" s="51">
        <v>1</v>
      </c>
      <c r="F25" s="51">
        <v>1</v>
      </c>
      <c r="G25" s="51">
        <v>1</v>
      </c>
      <c r="H25" s="51">
        <v>1</v>
      </c>
      <c r="I25" s="51">
        <v>2</v>
      </c>
      <c r="M25">
        <f t="shared" si="0"/>
        <v>1</v>
      </c>
    </row>
    <row r="26" spans="1:13">
      <c r="A26" s="51" t="s">
        <v>317</v>
      </c>
      <c r="B26" s="51" t="s">
        <v>709</v>
      </c>
      <c r="C26" s="51">
        <v>1</v>
      </c>
      <c r="D26" s="51">
        <v>1</v>
      </c>
      <c r="E26" s="51">
        <v>1</v>
      </c>
      <c r="F26" s="51">
        <v>1</v>
      </c>
      <c r="G26" s="51">
        <v>1</v>
      </c>
      <c r="H26" s="51">
        <v>1</v>
      </c>
      <c r="I26" s="51">
        <v>2</v>
      </c>
      <c r="M26">
        <f t="shared" si="0"/>
        <v>1</v>
      </c>
    </row>
    <row r="27" spans="1:13">
      <c r="A27" s="51" t="s">
        <v>319</v>
      </c>
      <c r="B27" s="51" t="s">
        <v>710</v>
      </c>
      <c r="C27" s="51">
        <v>0</v>
      </c>
      <c r="D27" s="51">
        <v>0</v>
      </c>
      <c r="E27" s="51">
        <v>0</v>
      </c>
      <c r="F27" s="51">
        <v>0</v>
      </c>
      <c r="G27" s="51">
        <v>0</v>
      </c>
      <c r="H27" s="51">
        <v>0</v>
      </c>
      <c r="I27" s="51">
        <v>1</v>
      </c>
      <c r="M27">
        <f t="shared" si="0"/>
        <v>1</v>
      </c>
    </row>
    <row r="28" spans="1:13">
      <c r="A28" s="51" t="s">
        <v>188</v>
      </c>
      <c r="B28" s="51" t="s">
        <v>187</v>
      </c>
      <c r="C28" s="51">
        <v>1</v>
      </c>
      <c r="D28" s="51">
        <v>1</v>
      </c>
      <c r="E28" s="51">
        <v>1</v>
      </c>
      <c r="F28" s="51">
        <v>1</v>
      </c>
      <c r="G28" s="51">
        <v>1</v>
      </c>
      <c r="H28" s="51">
        <v>1</v>
      </c>
      <c r="I28" s="51">
        <v>2</v>
      </c>
      <c r="M28">
        <f t="shared" si="0"/>
        <v>1</v>
      </c>
    </row>
    <row r="29" spans="1:13">
      <c r="A29" s="51" t="s">
        <v>321</v>
      </c>
      <c r="B29" s="51" t="s">
        <v>711</v>
      </c>
      <c r="C29" s="51">
        <v>1</v>
      </c>
      <c r="D29" s="51">
        <v>1</v>
      </c>
      <c r="E29" s="51">
        <v>1</v>
      </c>
      <c r="F29" s="51">
        <v>1</v>
      </c>
      <c r="G29" s="51">
        <v>1</v>
      </c>
      <c r="H29" s="51">
        <v>1</v>
      </c>
      <c r="I29" s="51">
        <v>2</v>
      </c>
      <c r="M29">
        <f t="shared" si="0"/>
        <v>0</v>
      </c>
    </row>
    <row r="30" spans="1:13">
      <c r="A30" s="51" t="s">
        <v>321</v>
      </c>
      <c r="B30" s="51" t="s">
        <v>712</v>
      </c>
      <c r="C30" s="51">
        <v>1</v>
      </c>
      <c r="D30" s="51">
        <v>1</v>
      </c>
      <c r="E30" s="51">
        <v>1</v>
      </c>
      <c r="F30" s="51">
        <v>1</v>
      </c>
      <c r="G30" s="51">
        <v>1</v>
      </c>
      <c r="H30" s="51">
        <v>1</v>
      </c>
      <c r="I30" s="51">
        <v>2</v>
      </c>
      <c r="M30">
        <f t="shared" si="0"/>
        <v>0</v>
      </c>
    </row>
    <row r="31" spans="1:13">
      <c r="A31" s="51" t="s">
        <v>321</v>
      </c>
      <c r="B31" s="51" t="s">
        <v>713</v>
      </c>
      <c r="C31" s="51">
        <v>1</v>
      </c>
      <c r="D31" s="51">
        <v>1</v>
      </c>
      <c r="E31" s="51">
        <v>1</v>
      </c>
      <c r="F31" s="51">
        <v>1</v>
      </c>
      <c r="G31" s="51">
        <v>1</v>
      </c>
      <c r="H31" s="51">
        <v>1</v>
      </c>
      <c r="I31" s="51">
        <v>2</v>
      </c>
      <c r="M31">
        <f t="shared" si="0"/>
        <v>1</v>
      </c>
    </row>
    <row r="32" spans="1:13">
      <c r="A32" s="51" t="s">
        <v>323</v>
      </c>
      <c r="B32" s="51" t="s">
        <v>714</v>
      </c>
      <c r="C32" s="51">
        <v>1</v>
      </c>
      <c r="D32" s="51">
        <v>1</v>
      </c>
      <c r="E32" s="51">
        <v>1</v>
      </c>
      <c r="F32" s="51">
        <v>1</v>
      </c>
      <c r="G32" s="51">
        <v>1</v>
      </c>
      <c r="H32" s="51">
        <v>1</v>
      </c>
      <c r="I32" s="51">
        <v>2</v>
      </c>
      <c r="M32">
        <f t="shared" si="0"/>
        <v>1</v>
      </c>
    </row>
    <row r="33" spans="1:13">
      <c r="A33" s="51" t="s">
        <v>325</v>
      </c>
      <c r="B33" s="51" t="s">
        <v>715</v>
      </c>
      <c r="C33" s="51">
        <v>1</v>
      </c>
      <c r="D33" s="51">
        <v>1</v>
      </c>
      <c r="E33" s="51">
        <v>1</v>
      </c>
      <c r="F33" s="51">
        <v>1</v>
      </c>
      <c r="G33" s="51">
        <v>1</v>
      </c>
      <c r="H33" s="51">
        <v>1</v>
      </c>
      <c r="I33" s="51">
        <v>2</v>
      </c>
      <c r="M33">
        <f t="shared" si="0"/>
        <v>1</v>
      </c>
    </row>
    <row r="34" spans="1:13">
      <c r="A34" s="51" t="s">
        <v>327</v>
      </c>
      <c r="B34" s="51" t="s">
        <v>716</v>
      </c>
      <c r="C34" s="51">
        <v>1</v>
      </c>
      <c r="D34" s="51">
        <v>1</v>
      </c>
      <c r="E34" s="51">
        <v>1</v>
      </c>
      <c r="F34" s="51">
        <v>1</v>
      </c>
      <c r="G34" s="51">
        <v>1</v>
      </c>
      <c r="H34" s="51">
        <v>1</v>
      </c>
      <c r="I34" s="51">
        <v>2</v>
      </c>
      <c r="M34">
        <f t="shared" si="0"/>
        <v>1</v>
      </c>
    </row>
    <row r="35" spans="1:13">
      <c r="A35" s="51" t="s">
        <v>329</v>
      </c>
      <c r="B35" s="51" t="s">
        <v>717</v>
      </c>
      <c r="C35" s="51">
        <v>1</v>
      </c>
      <c r="D35" s="51">
        <v>1</v>
      </c>
      <c r="E35" s="51">
        <v>1</v>
      </c>
      <c r="F35" s="51">
        <v>1</v>
      </c>
      <c r="G35" s="51">
        <v>1</v>
      </c>
      <c r="H35" s="51">
        <v>1</v>
      </c>
      <c r="I35" s="51">
        <v>2</v>
      </c>
      <c r="M35">
        <f t="shared" si="0"/>
        <v>1</v>
      </c>
    </row>
    <row r="36" spans="1:13">
      <c r="A36" s="51" t="s">
        <v>331</v>
      </c>
      <c r="B36" s="51" t="s">
        <v>718</v>
      </c>
      <c r="C36" s="51">
        <v>1</v>
      </c>
      <c r="D36" s="51">
        <v>1</v>
      </c>
      <c r="E36" s="51">
        <v>1</v>
      </c>
      <c r="F36" s="51">
        <v>1</v>
      </c>
      <c r="G36" s="51">
        <v>1</v>
      </c>
      <c r="H36" s="51">
        <v>1</v>
      </c>
      <c r="I36" s="51">
        <v>2</v>
      </c>
      <c r="M36">
        <f t="shared" si="0"/>
        <v>1</v>
      </c>
    </row>
    <row r="37" spans="1:13">
      <c r="A37" s="51" t="s">
        <v>190</v>
      </c>
      <c r="B37" s="51" t="s">
        <v>189</v>
      </c>
      <c r="C37" s="51">
        <v>1</v>
      </c>
      <c r="D37" s="51">
        <v>1</v>
      </c>
      <c r="E37" s="51">
        <v>1</v>
      </c>
      <c r="F37" s="51">
        <v>1</v>
      </c>
      <c r="G37" s="51">
        <v>1</v>
      </c>
      <c r="H37" s="51">
        <v>1</v>
      </c>
      <c r="I37" s="51">
        <v>2</v>
      </c>
      <c r="M37">
        <f t="shared" si="0"/>
        <v>1</v>
      </c>
    </row>
    <row r="38" spans="1:13">
      <c r="A38" s="51" t="s">
        <v>333</v>
      </c>
      <c r="B38" s="51" t="s">
        <v>719</v>
      </c>
      <c r="C38" s="51">
        <v>1</v>
      </c>
      <c r="D38" s="51">
        <v>1</v>
      </c>
      <c r="E38" s="51">
        <v>1</v>
      </c>
      <c r="F38" s="51">
        <v>1</v>
      </c>
      <c r="G38" s="51">
        <v>1</v>
      </c>
      <c r="H38" s="51">
        <v>1</v>
      </c>
      <c r="I38" s="51">
        <v>2</v>
      </c>
      <c r="M38">
        <f t="shared" si="0"/>
        <v>0</v>
      </c>
    </row>
    <row r="39" spans="1:13">
      <c r="A39" s="51" t="s">
        <v>333</v>
      </c>
      <c r="B39" s="51" t="s">
        <v>720</v>
      </c>
      <c r="C39" s="51">
        <v>1</v>
      </c>
      <c r="D39" s="51">
        <v>1</v>
      </c>
      <c r="E39" s="51">
        <v>1</v>
      </c>
      <c r="F39" s="51">
        <v>1</v>
      </c>
      <c r="G39" s="51">
        <v>1</v>
      </c>
      <c r="H39" s="51">
        <v>1</v>
      </c>
      <c r="I39" s="51">
        <v>2</v>
      </c>
      <c r="M39">
        <f t="shared" si="0"/>
        <v>1</v>
      </c>
    </row>
    <row r="40" spans="1:13">
      <c r="A40" s="51" t="s">
        <v>335</v>
      </c>
      <c r="B40" s="51" t="s">
        <v>721</v>
      </c>
      <c r="C40" s="51">
        <v>1</v>
      </c>
      <c r="D40" s="51">
        <v>1</v>
      </c>
      <c r="E40" s="51">
        <v>1</v>
      </c>
      <c r="F40" s="51">
        <v>1</v>
      </c>
      <c r="G40" s="51">
        <v>1</v>
      </c>
      <c r="H40" s="51">
        <v>1</v>
      </c>
      <c r="I40" s="51">
        <v>2</v>
      </c>
      <c r="M40">
        <f t="shared" si="0"/>
        <v>0</v>
      </c>
    </row>
    <row r="41" spans="1:13">
      <c r="A41" s="51" t="s">
        <v>335</v>
      </c>
      <c r="B41" s="51" t="s">
        <v>722</v>
      </c>
      <c r="C41" s="51">
        <v>1</v>
      </c>
      <c r="D41" s="51">
        <v>1</v>
      </c>
      <c r="E41" s="51">
        <v>1</v>
      </c>
      <c r="F41" s="51">
        <v>1</v>
      </c>
      <c r="G41" s="51">
        <v>1</v>
      </c>
      <c r="H41" s="51">
        <v>1</v>
      </c>
      <c r="I41" s="51">
        <v>2</v>
      </c>
      <c r="M41">
        <f t="shared" si="0"/>
        <v>1</v>
      </c>
    </row>
    <row r="42" spans="1:13">
      <c r="A42" s="51" t="s">
        <v>337</v>
      </c>
      <c r="B42" s="51" t="s">
        <v>723</v>
      </c>
      <c r="C42" s="51">
        <v>1</v>
      </c>
      <c r="D42" s="51">
        <v>1</v>
      </c>
      <c r="E42" s="51">
        <v>1</v>
      </c>
      <c r="F42" s="51">
        <v>1</v>
      </c>
      <c r="G42" s="51">
        <v>1</v>
      </c>
      <c r="H42" s="51">
        <v>1</v>
      </c>
      <c r="I42" s="51">
        <v>2</v>
      </c>
      <c r="M42">
        <f t="shared" si="0"/>
        <v>1</v>
      </c>
    </row>
    <row r="43" spans="1:13">
      <c r="A43" s="51" t="s">
        <v>339</v>
      </c>
      <c r="B43" s="51" t="s">
        <v>724</v>
      </c>
      <c r="C43" s="51">
        <v>1</v>
      </c>
      <c r="D43" s="51">
        <v>1</v>
      </c>
      <c r="E43" s="51">
        <v>1</v>
      </c>
      <c r="F43" s="51">
        <v>1</v>
      </c>
      <c r="G43" s="51">
        <v>1</v>
      </c>
      <c r="H43" s="51">
        <v>1</v>
      </c>
      <c r="I43" s="51">
        <v>2</v>
      </c>
      <c r="M43">
        <f t="shared" si="0"/>
        <v>1</v>
      </c>
    </row>
    <row r="44" spans="1:13">
      <c r="A44" s="51" t="s">
        <v>341</v>
      </c>
      <c r="B44" s="51" t="s">
        <v>725</v>
      </c>
      <c r="C44" s="51">
        <v>1</v>
      </c>
      <c r="D44" s="51">
        <v>1</v>
      </c>
      <c r="E44" s="51">
        <v>1</v>
      </c>
      <c r="F44" s="51">
        <v>1</v>
      </c>
      <c r="G44" s="51">
        <v>1</v>
      </c>
      <c r="H44" s="51">
        <v>1</v>
      </c>
      <c r="I44" s="51">
        <v>2</v>
      </c>
      <c r="M44">
        <f t="shared" si="0"/>
        <v>1</v>
      </c>
    </row>
    <row r="45" spans="1:13">
      <c r="A45" s="51" t="s">
        <v>343</v>
      </c>
      <c r="B45" s="51" t="s">
        <v>726</v>
      </c>
      <c r="C45" s="51">
        <v>1</v>
      </c>
      <c r="D45" s="51">
        <v>1</v>
      </c>
      <c r="E45" s="51">
        <v>1</v>
      </c>
      <c r="F45" s="51">
        <v>1</v>
      </c>
      <c r="G45" s="51">
        <v>1</v>
      </c>
      <c r="H45" s="51">
        <v>1</v>
      </c>
      <c r="I45" s="51">
        <v>2</v>
      </c>
      <c r="M45">
        <f t="shared" si="0"/>
        <v>1</v>
      </c>
    </row>
    <row r="46" spans="1:13">
      <c r="A46" s="51" t="s">
        <v>192</v>
      </c>
      <c r="B46" s="51" t="s">
        <v>191</v>
      </c>
      <c r="C46" s="51">
        <v>1</v>
      </c>
      <c r="D46" s="51">
        <v>1</v>
      </c>
      <c r="E46" s="51">
        <v>1</v>
      </c>
      <c r="F46" s="51">
        <v>1</v>
      </c>
      <c r="G46" s="51">
        <v>1</v>
      </c>
      <c r="H46" s="51">
        <v>1</v>
      </c>
      <c r="I46" s="51">
        <v>2</v>
      </c>
      <c r="M46">
        <f t="shared" si="0"/>
        <v>1</v>
      </c>
    </row>
    <row r="47" spans="1:13">
      <c r="A47" s="51" t="s">
        <v>345</v>
      </c>
      <c r="B47" s="51" t="s">
        <v>727</v>
      </c>
      <c r="C47" s="51">
        <v>1</v>
      </c>
      <c r="D47" s="51">
        <v>1</v>
      </c>
      <c r="E47" s="51">
        <v>1</v>
      </c>
      <c r="F47" s="51">
        <v>1</v>
      </c>
      <c r="G47" s="51">
        <v>1</v>
      </c>
      <c r="H47" s="51">
        <v>1</v>
      </c>
      <c r="I47" s="51">
        <v>2</v>
      </c>
      <c r="M47">
        <f t="shared" si="0"/>
        <v>0</v>
      </c>
    </row>
    <row r="48" spans="1:13">
      <c r="A48" s="51" t="s">
        <v>345</v>
      </c>
      <c r="B48" s="51" t="s">
        <v>728</v>
      </c>
      <c r="C48" s="51">
        <v>1</v>
      </c>
      <c r="D48" s="51">
        <v>1</v>
      </c>
      <c r="E48" s="51">
        <v>1</v>
      </c>
      <c r="F48" s="51">
        <v>1</v>
      </c>
      <c r="G48" s="51">
        <v>1</v>
      </c>
      <c r="H48" s="51">
        <v>1</v>
      </c>
      <c r="I48" s="51">
        <v>2</v>
      </c>
      <c r="M48">
        <f t="shared" si="0"/>
        <v>1</v>
      </c>
    </row>
    <row r="49" spans="1:13">
      <c r="A49" s="51" t="s">
        <v>347</v>
      </c>
      <c r="B49" s="51" t="s">
        <v>729</v>
      </c>
      <c r="C49" s="51">
        <v>1</v>
      </c>
      <c r="D49" s="51">
        <v>1</v>
      </c>
      <c r="E49" s="51">
        <v>1</v>
      </c>
      <c r="F49" s="51">
        <v>1</v>
      </c>
      <c r="G49" s="51">
        <v>1</v>
      </c>
      <c r="H49" s="51">
        <v>1</v>
      </c>
      <c r="I49" s="51">
        <v>2</v>
      </c>
      <c r="M49">
        <f t="shared" si="0"/>
        <v>1</v>
      </c>
    </row>
    <row r="50" spans="1:13">
      <c r="A50" s="51" t="s">
        <v>349</v>
      </c>
      <c r="B50" s="51" t="s">
        <v>730</v>
      </c>
      <c r="C50" s="51">
        <v>1</v>
      </c>
      <c r="D50" s="51">
        <v>1</v>
      </c>
      <c r="E50" s="51">
        <v>1</v>
      </c>
      <c r="F50" s="51">
        <v>1</v>
      </c>
      <c r="G50" s="51">
        <v>1</v>
      </c>
      <c r="H50" s="51">
        <v>1</v>
      </c>
      <c r="I50" s="51">
        <v>2</v>
      </c>
      <c r="M50">
        <f t="shared" si="0"/>
        <v>0</v>
      </c>
    </row>
    <row r="51" spans="1:13">
      <c r="A51" s="51" t="s">
        <v>349</v>
      </c>
      <c r="B51" s="51" t="s">
        <v>731</v>
      </c>
      <c r="C51" s="51">
        <v>1</v>
      </c>
      <c r="D51" s="51">
        <v>1</v>
      </c>
      <c r="E51" s="51">
        <v>1</v>
      </c>
      <c r="F51" s="51">
        <v>1</v>
      </c>
      <c r="G51" s="51">
        <v>1</v>
      </c>
      <c r="H51" s="51">
        <v>1</v>
      </c>
      <c r="I51" s="51">
        <v>2</v>
      </c>
      <c r="M51">
        <f t="shared" si="0"/>
        <v>1</v>
      </c>
    </row>
    <row r="52" spans="1:13">
      <c r="A52" s="51" t="s">
        <v>351</v>
      </c>
      <c r="B52" s="51" t="s">
        <v>732</v>
      </c>
      <c r="C52" s="51">
        <v>1</v>
      </c>
      <c r="D52" s="51">
        <v>1</v>
      </c>
      <c r="E52" s="51">
        <v>1</v>
      </c>
      <c r="F52" s="51">
        <v>1</v>
      </c>
      <c r="G52" s="51">
        <v>1</v>
      </c>
      <c r="H52" s="51">
        <v>1</v>
      </c>
      <c r="I52" s="51">
        <v>2</v>
      </c>
      <c r="M52">
        <f t="shared" si="0"/>
        <v>1</v>
      </c>
    </row>
    <row r="53" spans="1:13">
      <c r="A53" s="51" t="s">
        <v>353</v>
      </c>
      <c r="B53" s="51" t="s">
        <v>733</v>
      </c>
      <c r="C53" s="51">
        <v>1</v>
      </c>
      <c r="D53" s="51">
        <v>1</v>
      </c>
      <c r="E53" s="51">
        <v>1</v>
      </c>
      <c r="F53" s="51">
        <v>1</v>
      </c>
      <c r="G53" s="51">
        <v>1</v>
      </c>
      <c r="H53" s="51">
        <v>1</v>
      </c>
      <c r="I53" s="51">
        <v>2</v>
      </c>
      <c r="M53">
        <f t="shared" si="0"/>
        <v>1</v>
      </c>
    </row>
    <row r="54" spans="1:13">
      <c r="A54" s="51" t="s">
        <v>355</v>
      </c>
      <c r="B54" s="51" t="s">
        <v>734</v>
      </c>
      <c r="C54" s="51">
        <v>1</v>
      </c>
      <c r="D54" s="51">
        <v>1</v>
      </c>
      <c r="E54" s="51">
        <v>1</v>
      </c>
      <c r="F54" s="51">
        <v>1</v>
      </c>
      <c r="G54" s="51">
        <v>1</v>
      </c>
      <c r="H54" s="51">
        <v>1</v>
      </c>
      <c r="I54" s="51">
        <v>2</v>
      </c>
      <c r="M54">
        <f t="shared" si="0"/>
        <v>1</v>
      </c>
    </row>
    <row r="55" spans="1:13">
      <c r="A55" s="51" t="s">
        <v>357</v>
      </c>
      <c r="B55" s="51" t="s">
        <v>735</v>
      </c>
      <c r="C55" s="51">
        <v>1</v>
      </c>
      <c r="D55" s="51">
        <v>1</v>
      </c>
      <c r="E55" s="51">
        <v>1</v>
      </c>
      <c r="F55" s="51">
        <v>1</v>
      </c>
      <c r="G55" s="51">
        <v>1</v>
      </c>
      <c r="H55" s="51">
        <v>1</v>
      </c>
      <c r="I55" s="51">
        <v>2</v>
      </c>
      <c r="M55">
        <f t="shared" si="0"/>
        <v>1</v>
      </c>
    </row>
    <row r="56" spans="1:13">
      <c r="A56" s="51" t="s">
        <v>359</v>
      </c>
      <c r="B56" s="51" t="s">
        <v>736</v>
      </c>
      <c r="C56" s="51">
        <v>1</v>
      </c>
      <c r="D56" s="51">
        <v>1</v>
      </c>
      <c r="E56" s="51">
        <v>1</v>
      </c>
      <c r="F56" s="51">
        <v>1</v>
      </c>
      <c r="G56" s="51">
        <v>1</v>
      </c>
      <c r="H56" s="51">
        <v>1</v>
      </c>
      <c r="I56" s="51">
        <v>2</v>
      </c>
      <c r="M56">
        <f t="shared" si="0"/>
        <v>0</v>
      </c>
    </row>
    <row r="57" spans="1:13">
      <c r="A57" s="51" t="s">
        <v>359</v>
      </c>
      <c r="B57" s="51" t="s">
        <v>737</v>
      </c>
      <c r="C57" s="51">
        <v>1</v>
      </c>
      <c r="D57" s="51">
        <v>1</v>
      </c>
      <c r="E57" s="51">
        <v>1</v>
      </c>
      <c r="F57" s="51">
        <v>1</v>
      </c>
      <c r="G57" s="51">
        <v>1</v>
      </c>
      <c r="H57" s="51">
        <v>1</v>
      </c>
      <c r="I57" s="51">
        <v>2</v>
      </c>
      <c r="M57">
        <f t="shared" si="0"/>
        <v>1</v>
      </c>
    </row>
    <row r="58" spans="1:13">
      <c r="A58" s="51" t="s">
        <v>361</v>
      </c>
      <c r="B58" s="51" t="s">
        <v>738</v>
      </c>
      <c r="C58" s="51">
        <v>1</v>
      </c>
      <c r="D58" s="51">
        <v>1</v>
      </c>
      <c r="E58" s="51">
        <v>1</v>
      </c>
      <c r="F58" s="51">
        <v>1</v>
      </c>
      <c r="G58" s="51">
        <v>1</v>
      </c>
      <c r="H58" s="51">
        <v>1</v>
      </c>
      <c r="I58" s="51">
        <v>2</v>
      </c>
      <c r="M58">
        <f t="shared" si="0"/>
        <v>1</v>
      </c>
    </row>
    <row r="59" spans="1:13">
      <c r="A59" s="51" t="s">
        <v>363</v>
      </c>
      <c r="B59" s="51" t="s">
        <v>739</v>
      </c>
      <c r="C59" s="51">
        <v>1</v>
      </c>
      <c r="D59" s="51">
        <v>1</v>
      </c>
      <c r="E59" s="51">
        <v>1</v>
      </c>
      <c r="F59" s="51">
        <v>1</v>
      </c>
      <c r="G59" s="51">
        <v>1</v>
      </c>
      <c r="H59" s="51">
        <v>1</v>
      </c>
      <c r="I59" s="51">
        <v>2</v>
      </c>
      <c r="M59">
        <f t="shared" si="0"/>
        <v>1</v>
      </c>
    </row>
    <row r="60" spans="1:13">
      <c r="A60" s="51" t="s">
        <v>365</v>
      </c>
      <c r="B60" s="51" t="s">
        <v>740</v>
      </c>
      <c r="C60" s="51">
        <v>1</v>
      </c>
      <c r="D60" s="51">
        <v>1</v>
      </c>
      <c r="E60" s="51">
        <v>1</v>
      </c>
      <c r="F60" s="51">
        <v>1</v>
      </c>
      <c r="G60" s="51">
        <v>1</v>
      </c>
      <c r="H60" s="51">
        <v>1</v>
      </c>
      <c r="I60" s="51">
        <v>2</v>
      </c>
      <c r="M60">
        <f t="shared" si="0"/>
        <v>1</v>
      </c>
    </row>
    <row r="61" spans="1:13">
      <c r="A61" s="51" t="s">
        <v>367</v>
      </c>
      <c r="B61" s="51" t="s">
        <v>741</v>
      </c>
      <c r="C61" s="51">
        <v>1</v>
      </c>
      <c r="D61" s="51">
        <v>1</v>
      </c>
      <c r="E61" s="51">
        <v>1</v>
      </c>
      <c r="F61" s="51">
        <v>1</v>
      </c>
      <c r="G61" s="51">
        <v>1</v>
      </c>
      <c r="H61" s="51">
        <v>1</v>
      </c>
      <c r="I61" s="51">
        <v>2</v>
      </c>
      <c r="M61">
        <f t="shared" si="0"/>
        <v>1</v>
      </c>
    </row>
    <row r="62" spans="1:13">
      <c r="A62" s="51" t="s">
        <v>369</v>
      </c>
      <c r="B62" s="51" t="s">
        <v>742</v>
      </c>
      <c r="C62" s="51">
        <v>1</v>
      </c>
      <c r="D62" s="51">
        <v>1</v>
      </c>
      <c r="E62" s="51">
        <v>1</v>
      </c>
      <c r="F62" s="51">
        <v>1</v>
      </c>
      <c r="G62" s="51">
        <v>1</v>
      </c>
      <c r="H62" s="51">
        <v>1</v>
      </c>
      <c r="I62" s="51">
        <v>2</v>
      </c>
      <c r="M62">
        <f t="shared" si="0"/>
        <v>1</v>
      </c>
    </row>
    <row r="63" spans="1:13">
      <c r="A63" s="51" t="s">
        <v>371</v>
      </c>
      <c r="B63" s="51" t="s">
        <v>743</v>
      </c>
      <c r="C63" s="51">
        <v>1</v>
      </c>
      <c r="D63" s="51">
        <v>1</v>
      </c>
      <c r="E63" s="51">
        <v>1</v>
      </c>
      <c r="F63" s="51">
        <v>1</v>
      </c>
      <c r="G63" s="51">
        <v>1</v>
      </c>
      <c r="H63" s="51">
        <v>1</v>
      </c>
      <c r="I63" s="51">
        <v>2</v>
      </c>
      <c r="M63">
        <f t="shared" si="0"/>
        <v>1</v>
      </c>
    </row>
    <row r="64" spans="1:13">
      <c r="A64" s="51" t="s">
        <v>373</v>
      </c>
      <c r="B64" s="51" t="s">
        <v>744</v>
      </c>
      <c r="C64" s="51">
        <v>1</v>
      </c>
      <c r="D64" s="51">
        <v>1</v>
      </c>
      <c r="E64" s="51">
        <v>1</v>
      </c>
      <c r="F64" s="51">
        <v>1</v>
      </c>
      <c r="G64" s="51">
        <v>1</v>
      </c>
      <c r="H64" s="51">
        <v>1</v>
      </c>
      <c r="I64" s="51">
        <v>2</v>
      </c>
      <c r="M64">
        <f t="shared" si="0"/>
        <v>1</v>
      </c>
    </row>
    <row r="65" spans="1:13">
      <c r="A65" s="51" t="s">
        <v>375</v>
      </c>
      <c r="B65" s="51" t="s">
        <v>745</v>
      </c>
      <c r="C65" s="51">
        <v>1</v>
      </c>
      <c r="D65" s="51">
        <v>1</v>
      </c>
      <c r="E65" s="51">
        <v>1</v>
      </c>
      <c r="F65" s="51">
        <v>1</v>
      </c>
      <c r="G65" s="51">
        <v>1</v>
      </c>
      <c r="H65" s="51">
        <v>1</v>
      </c>
      <c r="I65" s="51">
        <v>2</v>
      </c>
      <c r="M65">
        <f t="shared" ref="M65:M128" si="1">IF(A66=A65, 0, 1)</f>
        <v>1</v>
      </c>
    </row>
    <row r="66" spans="1:13">
      <c r="A66" s="51" t="s">
        <v>377</v>
      </c>
      <c r="B66" s="51" t="s">
        <v>746</v>
      </c>
      <c r="C66" s="51">
        <v>1</v>
      </c>
      <c r="D66" s="51">
        <v>1</v>
      </c>
      <c r="E66" s="51">
        <v>1</v>
      </c>
      <c r="F66" s="51">
        <v>1</v>
      </c>
      <c r="G66" s="51">
        <v>1</v>
      </c>
      <c r="H66" s="51">
        <v>1</v>
      </c>
      <c r="I66" s="51">
        <v>2</v>
      </c>
      <c r="M66">
        <f t="shared" si="1"/>
        <v>1</v>
      </c>
    </row>
    <row r="67" spans="1:13">
      <c r="A67" s="51" t="s">
        <v>379</v>
      </c>
      <c r="B67" s="51" t="s">
        <v>747</v>
      </c>
      <c r="C67" s="51">
        <v>1</v>
      </c>
      <c r="D67" s="51">
        <v>1</v>
      </c>
      <c r="E67" s="51">
        <v>1</v>
      </c>
      <c r="F67" s="51">
        <v>1</v>
      </c>
      <c r="G67" s="51">
        <v>1</v>
      </c>
      <c r="H67" s="51">
        <v>1</v>
      </c>
      <c r="I67" s="51">
        <v>2</v>
      </c>
      <c r="M67">
        <f t="shared" si="1"/>
        <v>0</v>
      </c>
    </row>
    <row r="68" spans="1:13">
      <c r="A68" s="51" t="s">
        <v>379</v>
      </c>
      <c r="B68" s="51" t="s">
        <v>748</v>
      </c>
      <c r="C68" s="51">
        <v>1</v>
      </c>
      <c r="D68" s="51">
        <v>1</v>
      </c>
      <c r="E68" s="51">
        <v>1</v>
      </c>
      <c r="F68" s="51">
        <v>1</v>
      </c>
      <c r="G68" s="51">
        <v>1</v>
      </c>
      <c r="H68" s="51">
        <v>1</v>
      </c>
      <c r="I68" s="51">
        <v>2</v>
      </c>
      <c r="M68">
        <f t="shared" si="1"/>
        <v>0</v>
      </c>
    </row>
    <row r="69" spans="1:13">
      <c r="A69" s="51" t="s">
        <v>379</v>
      </c>
      <c r="B69" s="51" t="s">
        <v>749</v>
      </c>
      <c r="C69" s="51">
        <v>1</v>
      </c>
      <c r="D69" s="51">
        <v>1</v>
      </c>
      <c r="E69" s="51">
        <v>1</v>
      </c>
      <c r="F69" s="51">
        <v>1</v>
      </c>
      <c r="G69" s="51">
        <v>1</v>
      </c>
      <c r="H69" s="51">
        <v>1</v>
      </c>
      <c r="I69" s="51">
        <v>2</v>
      </c>
      <c r="M69">
        <f t="shared" si="1"/>
        <v>0</v>
      </c>
    </row>
    <row r="70" spans="1:13">
      <c r="A70" s="51" t="s">
        <v>379</v>
      </c>
      <c r="B70" s="51" t="s">
        <v>750</v>
      </c>
      <c r="C70" s="51">
        <v>1</v>
      </c>
      <c r="D70" s="51">
        <v>1</v>
      </c>
      <c r="E70" s="51">
        <v>1</v>
      </c>
      <c r="F70" s="51">
        <v>1</v>
      </c>
      <c r="G70" s="51">
        <v>1</v>
      </c>
      <c r="H70" s="51">
        <v>1</v>
      </c>
      <c r="I70" s="51">
        <v>2</v>
      </c>
      <c r="M70">
        <f t="shared" si="1"/>
        <v>0</v>
      </c>
    </row>
    <row r="71" spans="1:13">
      <c r="A71" s="51" t="s">
        <v>379</v>
      </c>
      <c r="B71" s="51" t="s">
        <v>751</v>
      </c>
      <c r="C71" s="51">
        <v>1</v>
      </c>
      <c r="D71" s="51">
        <v>1</v>
      </c>
      <c r="E71" s="51">
        <v>1</v>
      </c>
      <c r="F71" s="51">
        <v>1</v>
      </c>
      <c r="G71" s="51">
        <v>1</v>
      </c>
      <c r="H71" s="51">
        <v>1</v>
      </c>
      <c r="I71" s="51">
        <v>2</v>
      </c>
      <c r="M71">
        <f t="shared" si="1"/>
        <v>0</v>
      </c>
    </row>
    <row r="72" spans="1:13">
      <c r="A72" s="51" t="s">
        <v>379</v>
      </c>
      <c r="B72" s="51" t="s">
        <v>752</v>
      </c>
      <c r="C72" s="51">
        <v>1</v>
      </c>
      <c r="D72" s="51">
        <v>1</v>
      </c>
      <c r="E72" s="51">
        <v>1</v>
      </c>
      <c r="F72" s="51">
        <v>1</v>
      </c>
      <c r="G72" s="51">
        <v>1</v>
      </c>
      <c r="H72" s="51">
        <v>1</v>
      </c>
      <c r="I72" s="51">
        <v>2</v>
      </c>
      <c r="M72">
        <f t="shared" si="1"/>
        <v>0</v>
      </c>
    </row>
    <row r="73" spans="1:13">
      <c r="A73" s="51" t="s">
        <v>379</v>
      </c>
      <c r="B73" s="51" t="s">
        <v>753</v>
      </c>
      <c r="C73" s="51">
        <v>1</v>
      </c>
      <c r="D73" s="51">
        <v>1</v>
      </c>
      <c r="E73" s="51">
        <v>1</v>
      </c>
      <c r="F73" s="51">
        <v>1</v>
      </c>
      <c r="G73" s="51">
        <v>1</v>
      </c>
      <c r="H73" s="51">
        <v>1</v>
      </c>
      <c r="I73" s="51">
        <v>2</v>
      </c>
      <c r="M73">
        <f t="shared" si="1"/>
        <v>0</v>
      </c>
    </row>
    <row r="74" spans="1:13">
      <c r="A74" s="51" t="s">
        <v>379</v>
      </c>
      <c r="B74" s="51" t="s">
        <v>754</v>
      </c>
      <c r="C74" s="51">
        <v>1</v>
      </c>
      <c r="D74" s="51">
        <v>1</v>
      </c>
      <c r="E74" s="51">
        <v>1</v>
      </c>
      <c r="F74" s="51">
        <v>1</v>
      </c>
      <c r="G74" s="51">
        <v>1</v>
      </c>
      <c r="H74" s="51">
        <v>1</v>
      </c>
      <c r="I74" s="51">
        <v>2</v>
      </c>
      <c r="M74">
        <f t="shared" si="1"/>
        <v>0</v>
      </c>
    </row>
    <row r="75" spans="1:13">
      <c r="A75" s="51" t="s">
        <v>379</v>
      </c>
      <c r="B75" s="51" t="s">
        <v>755</v>
      </c>
      <c r="C75" s="51">
        <v>1</v>
      </c>
      <c r="D75" s="51">
        <v>1</v>
      </c>
      <c r="E75" s="51">
        <v>1</v>
      </c>
      <c r="F75" s="51">
        <v>1</v>
      </c>
      <c r="G75" s="51">
        <v>1</v>
      </c>
      <c r="H75" s="51">
        <v>1</v>
      </c>
      <c r="I75" s="51">
        <v>2</v>
      </c>
      <c r="M75">
        <f t="shared" si="1"/>
        <v>0</v>
      </c>
    </row>
    <row r="76" spans="1:13">
      <c r="A76" s="51" t="s">
        <v>379</v>
      </c>
      <c r="B76" s="51" t="s">
        <v>756</v>
      </c>
      <c r="C76" s="51">
        <v>1</v>
      </c>
      <c r="D76" s="51">
        <v>1</v>
      </c>
      <c r="E76" s="51">
        <v>1</v>
      </c>
      <c r="F76" s="51">
        <v>1</v>
      </c>
      <c r="G76" s="51">
        <v>1</v>
      </c>
      <c r="H76" s="51">
        <v>1</v>
      </c>
      <c r="I76" s="51">
        <v>2</v>
      </c>
      <c r="M76">
        <f t="shared" si="1"/>
        <v>1</v>
      </c>
    </row>
    <row r="77" spans="1:13">
      <c r="A77" s="51" t="s">
        <v>381</v>
      </c>
      <c r="B77" s="51" t="s">
        <v>757</v>
      </c>
      <c r="C77" s="51">
        <v>1</v>
      </c>
      <c r="D77" s="51">
        <v>1</v>
      </c>
      <c r="E77" s="51">
        <v>1</v>
      </c>
      <c r="F77" s="51">
        <v>1</v>
      </c>
      <c r="G77" s="51">
        <v>1</v>
      </c>
      <c r="H77" s="51">
        <v>1</v>
      </c>
      <c r="I77" s="51">
        <v>2</v>
      </c>
      <c r="M77">
        <f t="shared" si="1"/>
        <v>1</v>
      </c>
    </row>
    <row r="78" spans="1:13">
      <c r="A78" s="51" t="s">
        <v>383</v>
      </c>
      <c r="B78" s="51" t="s">
        <v>758</v>
      </c>
      <c r="C78" s="51">
        <v>1</v>
      </c>
      <c r="D78" s="51">
        <v>1</v>
      </c>
      <c r="E78" s="51">
        <v>1</v>
      </c>
      <c r="F78" s="51">
        <v>1</v>
      </c>
      <c r="G78" s="51">
        <v>1</v>
      </c>
      <c r="H78" s="51">
        <v>1</v>
      </c>
      <c r="I78" s="51">
        <v>2</v>
      </c>
      <c r="M78">
        <f t="shared" si="1"/>
        <v>1</v>
      </c>
    </row>
    <row r="79" spans="1:13">
      <c r="A79" s="51" t="s">
        <v>385</v>
      </c>
      <c r="B79" s="51" t="s">
        <v>759</v>
      </c>
      <c r="C79" s="51">
        <v>1</v>
      </c>
      <c r="D79" s="51">
        <v>1</v>
      </c>
      <c r="E79" s="51">
        <v>1</v>
      </c>
      <c r="F79" s="51">
        <v>1</v>
      </c>
      <c r="G79" s="51">
        <v>1</v>
      </c>
      <c r="H79" s="51">
        <v>1</v>
      </c>
      <c r="I79" s="51">
        <v>2</v>
      </c>
      <c r="M79">
        <f t="shared" si="1"/>
        <v>1</v>
      </c>
    </row>
    <row r="80" spans="1:13">
      <c r="A80" s="51" t="s">
        <v>387</v>
      </c>
      <c r="B80" s="51" t="s">
        <v>760</v>
      </c>
      <c r="C80" s="51">
        <v>1</v>
      </c>
      <c r="D80" s="51">
        <v>1</v>
      </c>
      <c r="E80" s="51">
        <v>1</v>
      </c>
      <c r="F80" s="51">
        <v>1</v>
      </c>
      <c r="G80" s="51">
        <v>1</v>
      </c>
      <c r="H80" s="51">
        <v>1</v>
      </c>
      <c r="I80" s="51">
        <v>2</v>
      </c>
      <c r="M80">
        <f t="shared" si="1"/>
        <v>0</v>
      </c>
    </row>
    <row r="81" spans="1:13">
      <c r="A81" s="51" t="s">
        <v>387</v>
      </c>
      <c r="B81" s="51" t="s">
        <v>761</v>
      </c>
      <c r="C81" s="51">
        <v>1</v>
      </c>
      <c r="D81" s="51">
        <v>1</v>
      </c>
      <c r="E81" s="51">
        <v>1</v>
      </c>
      <c r="F81" s="51">
        <v>1</v>
      </c>
      <c r="G81" s="51">
        <v>1</v>
      </c>
      <c r="H81" s="51">
        <v>1</v>
      </c>
      <c r="I81" s="51">
        <v>2</v>
      </c>
      <c r="M81">
        <f t="shared" si="1"/>
        <v>1</v>
      </c>
    </row>
    <row r="82" spans="1:13">
      <c r="A82" s="51" t="s">
        <v>389</v>
      </c>
      <c r="B82" s="51" t="s">
        <v>762</v>
      </c>
      <c r="C82" s="51">
        <v>1</v>
      </c>
      <c r="D82" s="51">
        <v>1</v>
      </c>
      <c r="E82" s="51">
        <v>1</v>
      </c>
      <c r="F82" s="51">
        <v>1</v>
      </c>
      <c r="G82" s="51">
        <v>1</v>
      </c>
      <c r="H82" s="51">
        <v>1</v>
      </c>
      <c r="I82" s="51">
        <v>2</v>
      </c>
      <c r="M82">
        <f t="shared" si="1"/>
        <v>1</v>
      </c>
    </row>
    <row r="83" spans="1:13">
      <c r="A83" s="51" t="s">
        <v>391</v>
      </c>
      <c r="B83" s="51" t="s">
        <v>763</v>
      </c>
      <c r="C83" s="51">
        <v>1</v>
      </c>
      <c r="D83" s="51">
        <v>1</v>
      </c>
      <c r="E83" s="51">
        <v>1</v>
      </c>
      <c r="F83" s="51">
        <v>1</v>
      </c>
      <c r="G83" s="51">
        <v>1</v>
      </c>
      <c r="H83" s="51">
        <v>1</v>
      </c>
      <c r="I83" s="51">
        <v>2</v>
      </c>
      <c r="M83">
        <f t="shared" si="1"/>
        <v>1</v>
      </c>
    </row>
    <row r="84" spans="1:13">
      <c r="A84" s="51" t="s">
        <v>393</v>
      </c>
      <c r="B84" s="51" t="s">
        <v>764</v>
      </c>
      <c r="C84" s="51">
        <v>1</v>
      </c>
      <c r="D84" s="51">
        <v>1</v>
      </c>
      <c r="E84" s="51">
        <v>1</v>
      </c>
      <c r="F84" s="51">
        <v>1</v>
      </c>
      <c r="G84" s="51">
        <v>1</v>
      </c>
      <c r="H84" s="51">
        <v>1</v>
      </c>
      <c r="I84" s="51">
        <v>2</v>
      </c>
      <c r="M84">
        <f t="shared" si="1"/>
        <v>0</v>
      </c>
    </row>
    <row r="85" spans="1:13">
      <c r="A85" s="51" t="s">
        <v>393</v>
      </c>
      <c r="B85" s="51" t="s">
        <v>765</v>
      </c>
      <c r="C85" s="51">
        <v>1</v>
      </c>
      <c r="D85" s="51">
        <v>1</v>
      </c>
      <c r="E85" s="51">
        <v>1</v>
      </c>
      <c r="F85" s="51">
        <v>1</v>
      </c>
      <c r="G85" s="51">
        <v>1</v>
      </c>
      <c r="H85" s="51">
        <v>1</v>
      </c>
      <c r="I85" s="51">
        <v>2</v>
      </c>
      <c r="M85">
        <f t="shared" si="1"/>
        <v>1</v>
      </c>
    </row>
    <row r="86" spans="1:13">
      <c r="A86" s="51" t="s">
        <v>395</v>
      </c>
      <c r="B86" s="51" t="s">
        <v>766</v>
      </c>
      <c r="C86" s="51">
        <v>1</v>
      </c>
      <c r="D86" s="51">
        <v>1</v>
      </c>
      <c r="E86" s="51">
        <v>1</v>
      </c>
      <c r="F86" s="51">
        <v>1</v>
      </c>
      <c r="G86" s="51">
        <v>1</v>
      </c>
      <c r="H86" s="51">
        <v>1</v>
      </c>
      <c r="I86" s="51">
        <v>2</v>
      </c>
      <c r="M86">
        <f t="shared" si="1"/>
        <v>1</v>
      </c>
    </row>
    <row r="87" spans="1:13">
      <c r="A87" s="51" t="s">
        <v>397</v>
      </c>
      <c r="B87" s="51" t="s">
        <v>767</v>
      </c>
      <c r="C87" s="51">
        <v>1</v>
      </c>
      <c r="D87" s="51">
        <v>1</v>
      </c>
      <c r="E87" s="51">
        <v>1</v>
      </c>
      <c r="F87" s="51">
        <v>1</v>
      </c>
      <c r="G87" s="51">
        <v>1</v>
      </c>
      <c r="H87" s="51">
        <v>1</v>
      </c>
      <c r="I87" s="51">
        <v>2</v>
      </c>
      <c r="M87">
        <f t="shared" si="1"/>
        <v>0</v>
      </c>
    </row>
    <row r="88" spans="1:13">
      <c r="A88" s="51" t="s">
        <v>397</v>
      </c>
      <c r="B88" s="51" t="s">
        <v>768</v>
      </c>
      <c r="C88" s="51">
        <v>1</v>
      </c>
      <c r="D88" s="51">
        <v>1</v>
      </c>
      <c r="E88" s="51">
        <v>1</v>
      </c>
      <c r="F88" s="51">
        <v>1</v>
      </c>
      <c r="G88" s="51">
        <v>1</v>
      </c>
      <c r="H88" s="51">
        <v>1</v>
      </c>
      <c r="I88" s="51">
        <v>2</v>
      </c>
      <c r="M88">
        <f t="shared" si="1"/>
        <v>1</v>
      </c>
    </row>
    <row r="89" spans="1:13">
      <c r="A89" s="51" t="s">
        <v>399</v>
      </c>
      <c r="B89" s="51" t="s">
        <v>769</v>
      </c>
      <c r="C89" s="51">
        <v>1</v>
      </c>
      <c r="D89" s="51">
        <v>0</v>
      </c>
      <c r="E89" s="51">
        <v>1</v>
      </c>
      <c r="F89" s="51">
        <v>1</v>
      </c>
      <c r="G89" s="51">
        <v>1</v>
      </c>
      <c r="H89" s="51">
        <v>1</v>
      </c>
      <c r="I89" s="51">
        <v>2</v>
      </c>
      <c r="M89">
        <f t="shared" si="1"/>
        <v>1</v>
      </c>
    </row>
    <row r="90" spans="1:13">
      <c r="A90" s="51" t="s">
        <v>401</v>
      </c>
      <c r="B90" s="51" t="s">
        <v>770</v>
      </c>
      <c r="C90" s="51">
        <v>1</v>
      </c>
      <c r="D90" s="51">
        <v>1</v>
      </c>
      <c r="E90" s="51">
        <v>1</v>
      </c>
      <c r="F90" s="51">
        <v>1</v>
      </c>
      <c r="G90" s="51">
        <v>1</v>
      </c>
      <c r="H90" s="51">
        <v>1</v>
      </c>
      <c r="I90" s="51">
        <v>2</v>
      </c>
      <c r="M90">
        <f t="shared" si="1"/>
        <v>1</v>
      </c>
    </row>
    <row r="91" spans="1:13">
      <c r="A91" s="51" t="s">
        <v>403</v>
      </c>
      <c r="B91" s="51" t="s">
        <v>771</v>
      </c>
      <c r="C91" s="51">
        <v>1</v>
      </c>
      <c r="D91" s="51">
        <v>1</v>
      </c>
      <c r="E91" s="51">
        <v>1</v>
      </c>
      <c r="F91" s="51">
        <v>1</v>
      </c>
      <c r="G91" s="51">
        <v>1</v>
      </c>
      <c r="H91" s="51">
        <v>1</v>
      </c>
      <c r="I91" s="51">
        <v>2</v>
      </c>
      <c r="M91">
        <f t="shared" si="1"/>
        <v>1</v>
      </c>
    </row>
    <row r="92" spans="1:13">
      <c r="A92" s="51" t="s">
        <v>405</v>
      </c>
      <c r="B92" s="51" t="s">
        <v>772</v>
      </c>
      <c r="C92" s="51">
        <v>1</v>
      </c>
      <c r="D92" s="51">
        <v>1</v>
      </c>
      <c r="E92" s="51">
        <v>1</v>
      </c>
      <c r="F92" s="51">
        <v>1</v>
      </c>
      <c r="G92" s="51">
        <v>1</v>
      </c>
      <c r="H92" s="51">
        <v>1</v>
      </c>
      <c r="I92" s="51">
        <v>2</v>
      </c>
      <c r="M92">
        <f t="shared" si="1"/>
        <v>0</v>
      </c>
    </row>
    <row r="93" spans="1:13">
      <c r="A93" s="51" t="s">
        <v>405</v>
      </c>
      <c r="B93" s="51" t="s">
        <v>773</v>
      </c>
      <c r="C93" s="51">
        <v>1</v>
      </c>
      <c r="D93" s="51">
        <v>1</v>
      </c>
      <c r="E93" s="51">
        <v>1</v>
      </c>
      <c r="F93" s="51">
        <v>1</v>
      </c>
      <c r="G93" s="51">
        <v>1</v>
      </c>
      <c r="H93" s="51">
        <v>1</v>
      </c>
      <c r="I93" s="51">
        <v>2</v>
      </c>
      <c r="M93">
        <f t="shared" si="1"/>
        <v>1</v>
      </c>
    </row>
    <row r="94" spans="1:13">
      <c r="A94" s="51" t="s">
        <v>407</v>
      </c>
      <c r="B94" s="51" t="s">
        <v>774</v>
      </c>
      <c r="C94" s="51">
        <v>1</v>
      </c>
      <c r="D94" s="51">
        <v>1</v>
      </c>
      <c r="E94" s="51">
        <v>1</v>
      </c>
      <c r="F94" s="51">
        <v>1</v>
      </c>
      <c r="G94" s="51">
        <v>1</v>
      </c>
      <c r="H94" s="51">
        <v>1</v>
      </c>
      <c r="I94" s="51">
        <v>2</v>
      </c>
      <c r="M94">
        <f t="shared" si="1"/>
        <v>1</v>
      </c>
    </row>
    <row r="95" spans="1:13">
      <c r="A95" s="51" t="s">
        <v>409</v>
      </c>
      <c r="B95" s="51" t="s">
        <v>775</v>
      </c>
      <c r="C95" s="51">
        <v>1</v>
      </c>
      <c r="D95" s="51">
        <v>1</v>
      </c>
      <c r="E95" s="51">
        <v>1</v>
      </c>
      <c r="F95" s="51">
        <v>1</v>
      </c>
      <c r="G95" s="51">
        <v>1</v>
      </c>
      <c r="H95" s="51">
        <v>1</v>
      </c>
      <c r="I95" s="51">
        <v>2</v>
      </c>
      <c r="M95">
        <f t="shared" si="1"/>
        <v>1</v>
      </c>
    </row>
    <row r="96" spans="1:13">
      <c r="A96" s="51" t="s">
        <v>411</v>
      </c>
      <c r="B96" s="51" t="s">
        <v>776</v>
      </c>
      <c r="C96" s="51">
        <v>1</v>
      </c>
      <c r="D96" s="51">
        <v>1</v>
      </c>
      <c r="E96" s="51">
        <v>1</v>
      </c>
      <c r="F96" s="51">
        <v>1</v>
      </c>
      <c r="G96" s="51">
        <v>1</v>
      </c>
      <c r="H96" s="51">
        <v>1</v>
      </c>
      <c r="I96" s="51">
        <v>2</v>
      </c>
      <c r="M96">
        <f t="shared" si="1"/>
        <v>1</v>
      </c>
    </row>
    <row r="97" spans="1:13">
      <c r="A97" s="51" t="s">
        <v>413</v>
      </c>
      <c r="B97" s="51" t="s">
        <v>777</v>
      </c>
      <c r="C97" s="51">
        <v>1</v>
      </c>
      <c r="D97" s="51">
        <v>1</v>
      </c>
      <c r="E97" s="51">
        <v>1</v>
      </c>
      <c r="F97" s="51">
        <v>1</v>
      </c>
      <c r="G97" s="51">
        <v>1</v>
      </c>
      <c r="H97" s="51">
        <v>1</v>
      </c>
      <c r="I97" s="51">
        <v>2</v>
      </c>
      <c r="M97">
        <f t="shared" si="1"/>
        <v>1</v>
      </c>
    </row>
    <row r="98" spans="1:13">
      <c r="A98" s="51" t="s">
        <v>415</v>
      </c>
      <c r="B98" s="51" t="s">
        <v>778</v>
      </c>
      <c r="C98" s="51">
        <v>1</v>
      </c>
      <c r="D98" s="51">
        <v>1</v>
      </c>
      <c r="E98" s="51">
        <v>1</v>
      </c>
      <c r="F98" s="51">
        <v>1</v>
      </c>
      <c r="G98" s="51">
        <v>1</v>
      </c>
      <c r="H98" s="51">
        <v>1</v>
      </c>
      <c r="I98" s="51">
        <v>2</v>
      </c>
      <c r="M98">
        <f t="shared" si="1"/>
        <v>0</v>
      </c>
    </row>
    <row r="99" spans="1:13">
      <c r="A99" s="51" t="s">
        <v>415</v>
      </c>
      <c r="B99" s="51" t="s">
        <v>779</v>
      </c>
      <c r="C99" s="51">
        <v>1</v>
      </c>
      <c r="D99" s="51">
        <v>1</v>
      </c>
      <c r="E99" s="51">
        <v>1</v>
      </c>
      <c r="F99" s="51">
        <v>1</v>
      </c>
      <c r="G99" s="51">
        <v>1</v>
      </c>
      <c r="H99" s="51">
        <v>1</v>
      </c>
      <c r="I99" s="51">
        <v>2</v>
      </c>
      <c r="M99">
        <f t="shared" si="1"/>
        <v>1</v>
      </c>
    </row>
    <row r="100" spans="1:13">
      <c r="A100" s="51" t="s">
        <v>417</v>
      </c>
      <c r="B100" s="51" t="s">
        <v>780</v>
      </c>
      <c r="C100" s="51">
        <v>1</v>
      </c>
      <c r="D100" s="51">
        <v>1</v>
      </c>
      <c r="E100" s="51">
        <v>1</v>
      </c>
      <c r="F100" s="51">
        <v>1</v>
      </c>
      <c r="G100" s="51">
        <v>1</v>
      </c>
      <c r="H100" s="51">
        <v>1</v>
      </c>
      <c r="I100" s="51">
        <v>2</v>
      </c>
      <c r="M100">
        <f t="shared" si="1"/>
        <v>1</v>
      </c>
    </row>
    <row r="101" spans="1:13">
      <c r="A101" s="51" t="s">
        <v>419</v>
      </c>
      <c r="B101" s="51" t="s">
        <v>781</v>
      </c>
      <c r="C101" s="51">
        <v>1</v>
      </c>
      <c r="D101" s="51">
        <v>1</v>
      </c>
      <c r="E101" s="51">
        <v>1</v>
      </c>
      <c r="F101" s="51">
        <v>1</v>
      </c>
      <c r="G101" s="51">
        <v>1</v>
      </c>
      <c r="H101" s="51">
        <v>1</v>
      </c>
      <c r="I101" s="51">
        <v>2</v>
      </c>
      <c r="M101">
        <f t="shared" si="1"/>
        <v>1</v>
      </c>
    </row>
    <row r="102" spans="1:13">
      <c r="A102" s="51" t="s">
        <v>421</v>
      </c>
      <c r="B102" s="51" t="s">
        <v>782</v>
      </c>
      <c r="C102" s="51">
        <v>1</v>
      </c>
      <c r="D102" s="51">
        <v>1</v>
      </c>
      <c r="E102" s="51">
        <v>1</v>
      </c>
      <c r="F102" s="51">
        <v>1</v>
      </c>
      <c r="G102" s="51">
        <v>1</v>
      </c>
      <c r="H102" s="51">
        <v>1</v>
      </c>
      <c r="I102" s="51">
        <v>2</v>
      </c>
      <c r="M102">
        <f t="shared" si="1"/>
        <v>0</v>
      </c>
    </row>
    <row r="103" spans="1:13">
      <c r="A103" s="51" t="s">
        <v>421</v>
      </c>
      <c r="B103" s="51" t="s">
        <v>783</v>
      </c>
      <c r="C103" s="51">
        <v>1</v>
      </c>
      <c r="D103" s="51">
        <v>1</v>
      </c>
      <c r="E103" s="51">
        <v>1</v>
      </c>
      <c r="F103" s="51">
        <v>1</v>
      </c>
      <c r="G103" s="51">
        <v>1</v>
      </c>
      <c r="H103" s="51">
        <v>1</v>
      </c>
      <c r="I103" s="51">
        <v>2</v>
      </c>
      <c r="M103">
        <f t="shared" si="1"/>
        <v>1</v>
      </c>
    </row>
    <row r="104" spans="1:13">
      <c r="A104" s="51" t="s">
        <v>423</v>
      </c>
      <c r="B104" s="51" t="s">
        <v>784</v>
      </c>
      <c r="C104" s="51">
        <v>0</v>
      </c>
      <c r="D104" s="51">
        <v>0</v>
      </c>
      <c r="E104" s="51">
        <v>0</v>
      </c>
      <c r="F104" s="51">
        <v>0</v>
      </c>
      <c r="G104" s="51">
        <v>0</v>
      </c>
      <c r="H104" s="51">
        <v>0</v>
      </c>
      <c r="I104" s="51">
        <v>1</v>
      </c>
      <c r="M104">
        <f t="shared" si="1"/>
        <v>0</v>
      </c>
    </row>
    <row r="105" spans="1:13">
      <c r="A105" s="51" t="s">
        <v>423</v>
      </c>
      <c r="B105" s="51" t="s">
        <v>785</v>
      </c>
      <c r="C105" s="51">
        <v>0</v>
      </c>
      <c r="D105" s="51">
        <v>0</v>
      </c>
      <c r="E105" s="51">
        <v>0</v>
      </c>
      <c r="F105" s="51">
        <v>0</v>
      </c>
      <c r="G105" s="51">
        <v>0</v>
      </c>
      <c r="H105" s="51">
        <v>0</v>
      </c>
      <c r="I105" s="51">
        <v>1</v>
      </c>
      <c r="M105">
        <f t="shared" si="1"/>
        <v>1</v>
      </c>
    </row>
    <row r="106" spans="1:13">
      <c r="A106" s="51" t="s">
        <v>425</v>
      </c>
      <c r="B106" s="51" t="s">
        <v>786</v>
      </c>
      <c r="C106" s="51">
        <v>1</v>
      </c>
      <c r="D106" s="51">
        <v>1</v>
      </c>
      <c r="E106" s="51">
        <v>1</v>
      </c>
      <c r="F106" s="51">
        <v>1</v>
      </c>
      <c r="G106" s="51">
        <v>1</v>
      </c>
      <c r="H106" s="51">
        <v>1</v>
      </c>
      <c r="I106" s="51">
        <v>2</v>
      </c>
      <c r="M106">
        <f t="shared" si="1"/>
        <v>1</v>
      </c>
    </row>
    <row r="107" spans="1:13">
      <c r="A107" s="51" t="s">
        <v>194</v>
      </c>
      <c r="B107" s="51" t="s">
        <v>193</v>
      </c>
      <c r="C107" s="51">
        <v>1</v>
      </c>
      <c r="D107" s="51">
        <v>1</v>
      </c>
      <c r="E107" s="51">
        <v>1</v>
      </c>
      <c r="F107" s="51">
        <v>1</v>
      </c>
      <c r="G107" s="51">
        <v>1</v>
      </c>
      <c r="H107" s="51">
        <v>1</v>
      </c>
      <c r="I107" s="51">
        <v>2</v>
      </c>
      <c r="M107">
        <f t="shared" si="1"/>
        <v>1</v>
      </c>
    </row>
    <row r="108" spans="1:13">
      <c r="A108" s="51" t="s">
        <v>427</v>
      </c>
      <c r="B108" s="51" t="s">
        <v>787</v>
      </c>
      <c r="C108" s="51">
        <v>0</v>
      </c>
      <c r="D108" s="51">
        <v>0</v>
      </c>
      <c r="E108" s="51">
        <v>0</v>
      </c>
      <c r="F108" s="51">
        <v>0</v>
      </c>
      <c r="G108" s="51">
        <v>0</v>
      </c>
      <c r="H108" s="51">
        <v>0</v>
      </c>
      <c r="I108" s="51">
        <v>1</v>
      </c>
      <c r="M108">
        <f t="shared" si="1"/>
        <v>0</v>
      </c>
    </row>
    <row r="109" spans="1:13">
      <c r="A109" s="51" t="s">
        <v>427</v>
      </c>
      <c r="B109" s="51" t="s">
        <v>788</v>
      </c>
      <c r="C109" s="51">
        <v>0</v>
      </c>
      <c r="D109" s="51">
        <v>0</v>
      </c>
      <c r="E109" s="51">
        <v>0</v>
      </c>
      <c r="F109" s="51">
        <v>0</v>
      </c>
      <c r="G109" s="51">
        <v>0</v>
      </c>
      <c r="H109" s="51">
        <v>0</v>
      </c>
      <c r="I109" s="51">
        <v>1</v>
      </c>
      <c r="M109">
        <f t="shared" si="1"/>
        <v>1</v>
      </c>
    </row>
    <row r="110" spans="1:13">
      <c r="A110" s="51" t="s">
        <v>429</v>
      </c>
      <c r="B110" s="51" t="s">
        <v>789</v>
      </c>
      <c r="C110" s="51">
        <v>1</v>
      </c>
      <c r="D110" s="51">
        <v>1</v>
      </c>
      <c r="E110" s="51">
        <v>1</v>
      </c>
      <c r="F110" s="51">
        <v>1</v>
      </c>
      <c r="G110" s="51">
        <v>1</v>
      </c>
      <c r="H110" s="51">
        <v>1</v>
      </c>
      <c r="I110" s="51">
        <v>2</v>
      </c>
      <c r="M110">
        <f t="shared" si="1"/>
        <v>1</v>
      </c>
    </row>
    <row r="111" spans="1:13">
      <c r="A111" s="51" t="s">
        <v>431</v>
      </c>
      <c r="B111" s="51" t="s">
        <v>790</v>
      </c>
      <c r="C111" s="51">
        <v>1</v>
      </c>
      <c r="D111" s="51">
        <v>1</v>
      </c>
      <c r="E111" s="51">
        <v>1</v>
      </c>
      <c r="F111" s="51">
        <v>1</v>
      </c>
      <c r="G111" s="51">
        <v>1</v>
      </c>
      <c r="H111" s="51">
        <v>1</v>
      </c>
      <c r="I111" s="51">
        <v>2</v>
      </c>
      <c r="M111">
        <f t="shared" si="1"/>
        <v>1</v>
      </c>
    </row>
    <row r="112" spans="1:13">
      <c r="A112" s="51" t="s">
        <v>433</v>
      </c>
      <c r="B112" s="51" t="s">
        <v>791</v>
      </c>
      <c r="C112" s="51">
        <v>0</v>
      </c>
      <c r="D112" s="51">
        <v>1</v>
      </c>
      <c r="E112" s="51">
        <v>0</v>
      </c>
      <c r="F112" s="51">
        <v>1</v>
      </c>
      <c r="G112" s="51">
        <v>1</v>
      </c>
      <c r="H112" s="51">
        <v>1</v>
      </c>
      <c r="I112" s="51">
        <v>2</v>
      </c>
      <c r="M112">
        <f t="shared" si="1"/>
        <v>0</v>
      </c>
    </row>
    <row r="113" spans="1:13">
      <c r="A113" s="51" t="s">
        <v>433</v>
      </c>
      <c r="B113" s="51" t="s">
        <v>792</v>
      </c>
      <c r="C113" s="51">
        <v>0</v>
      </c>
      <c r="D113" s="51">
        <v>1</v>
      </c>
      <c r="E113" s="51">
        <v>0</v>
      </c>
      <c r="F113" s="51">
        <v>1</v>
      </c>
      <c r="G113" s="51">
        <v>1</v>
      </c>
      <c r="H113" s="51">
        <v>1</v>
      </c>
      <c r="I113" s="51">
        <v>2</v>
      </c>
      <c r="M113">
        <f t="shared" si="1"/>
        <v>0</v>
      </c>
    </row>
    <row r="114" spans="1:13">
      <c r="A114" s="51" t="s">
        <v>433</v>
      </c>
      <c r="B114" s="51" t="s">
        <v>793</v>
      </c>
      <c r="C114" s="51">
        <v>0</v>
      </c>
      <c r="D114" s="51">
        <v>1</v>
      </c>
      <c r="E114" s="51">
        <v>0</v>
      </c>
      <c r="F114" s="51">
        <v>1</v>
      </c>
      <c r="G114" s="51">
        <v>1</v>
      </c>
      <c r="H114" s="51">
        <v>1</v>
      </c>
      <c r="I114" s="51">
        <v>2</v>
      </c>
      <c r="M114">
        <f t="shared" si="1"/>
        <v>0</v>
      </c>
    </row>
    <row r="115" spans="1:13">
      <c r="A115" s="51" t="s">
        <v>433</v>
      </c>
      <c r="B115" s="51" t="s">
        <v>794</v>
      </c>
      <c r="C115" s="51">
        <v>0</v>
      </c>
      <c r="D115" s="51">
        <v>1</v>
      </c>
      <c r="E115" s="51">
        <v>0</v>
      </c>
      <c r="F115" s="51">
        <v>1</v>
      </c>
      <c r="G115" s="51">
        <v>1</v>
      </c>
      <c r="H115" s="51">
        <v>1</v>
      </c>
      <c r="I115" s="51">
        <v>2</v>
      </c>
      <c r="M115">
        <f t="shared" si="1"/>
        <v>1</v>
      </c>
    </row>
    <row r="116" spans="1:13">
      <c r="A116" s="51" t="s">
        <v>435</v>
      </c>
      <c r="B116" s="51" t="s">
        <v>795</v>
      </c>
      <c r="C116" s="51">
        <v>1</v>
      </c>
      <c r="D116" s="51">
        <v>1</v>
      </c>
      <c r="E116" s="51">
        <v>1</v>
      </c>
      <c r="F116" s="51">
        <v>1</v>
      </c>
      <c r="G116" s="51">
        <v>1</v>
      </c>
      <c r="H116" s="51">
        <v>1</v>
      </c>
      <c r="I116" s="51">
        <v>2</v>
      </c>
      <c r="M116">
        <f t="shared" si="1"/>
        <v>1</v>
      </c>
    </row>
    <row r="117" spans="1:13">
      <c r="A117" s="51" t="s">
        <v>437</v>
      </c>
      <c r="B117" s="51" t="s">
        <v>796</v>
      </c>
      <c r="C117" s="51">
        <v>1</v>
      </c>
      <c r="D117" s="51">
        <v>1</v>
      </c>
      <c r="E117" s="51">
        <v>1</v>
      </c>
      <c r="F117" s="51">
        <v>1</v>
      </c>
      <c r="G117" s="51">
        <v>1</v>
      </c>
      <c r="H117" s="51">
        <v>1</v>
      </c>
      <c r="I117" s="51">
        <v>2</v>
      </c>
      <c r="M117">
        <f t="shared" si="1"/>
        <v>1</v>
      </c>
    </row>
    <row r="118" spans="1:13">
      <c r="A118" s="51" t="s">
        <v>439</v>
      </c>
      <c r="B118" s="51" t="s">
        <v>797</v>
      </c>
      <c r="C118" s="51">
        <v>1</v>
      </c>
      <c r="D118" s="51">
        <v>1</v>
      </c>
      <c r="E118" s="51">
        <v>1</v>
      </c>
      <c r="F118" s="51">
        <v>1</v>
      </c>
      <c r="G118" s="51">
        <v>1</v>
      </c>
      <c r="H118" s="51">
        <v>1</v>
      </c>
      <c r="I118" s="51">
        <v>2</v>
      </c>
      <c r="M118">
        <f t="shared" si="1"/>
        <v>1</v>
      </c>
    </row>
    <row r="119" spans="1:13">
      <c r="A119" s="51" t="s">
        <v>441</v>
      </c>
      <c r="B119" s="51" t="s">
        <v>798</v>
      </c>
      <c r="C119" s="51">
        <v>0</v>
      </c>
      <c r="D119" s="51">
        <v>0</v>
      </c>
      <c r="E119" s="51">
        <v>0</v>
      </c>
      <c r="F119" s="51">
        <v>0</v>
      </c>
      <c r="G119" s="51">
        <v>0</v>
      </c>
      <c r="H119" s="51">
        <v>0</v>
      </c>
      <c r="I119" s="51">
        <v>1</v>
      </c>
      <c r="M119">
        <f t="shared" si="1"/>
        <v>0</v>
      </c>
    </row>
    <row r="120" spans="1:13">
      <c r="A120" s="51" t="s">
        <v>441</v>
      </c>
      <c r="B120" s="51" t="s">
        <v>799</v>
      </c>
      <c r="C120" s="51">
        <v>0</v>
      </c>
      <c r="D120" s="51">
        <v>0</v>
      </c>
      <c r="E120" s="51">
        <v>0</v>
      </c>
      <c r="F120" s="51">
        <v>0</v>
      </c>
      <c r="G120" s="51">
        <v>0</v>
      </c>
      <c r="H120" s="51">
        <v>0</v>
      </c>
      <c r="I120" s="51">
        <v>1</v>
      </c>
      <c r="M120">
        <f t="shared" si="1"/>
        <v>0</v>
      </c>
    </row>
    <row r="121" spans="1:13">
      <c r="A121" s="51" t="s">
        <v>441</v>
      </c>
      <c r="B121" s="51" t="s">
        <v>800</v>
      </c>
      <c r="C121" s="51">
        <v>0</v>
      </c>
      <c r="D121" s="51">
        <v>0</v>
      </c>
      <c r="E121" s="51">
        <v>0</v>
      </c>
      <c r="F121" s="51">
        <v>0</v>
      </c>
      <c r="G121" s="51">
        <v>0</v>
      </c>
      <c r="H121" s="51">
        <v>0</v>
      </c>
      <c r="I121" s="51">
        <v>1</v>
      </c>
      <c r="M121">
        <f t="shared" si="1"/>
        <v>0</v>
      </c>
    </row>
    <row r="122" spans="1:13">
      <c r="A122" s="51" t="s">
        <v>441</v>
      </c>
      <c r="B122" s="51" t="s">
        <v>801</v>
      </c>
      <c r="C122" s="51">
        <v>0</v>
      </c>
      <c r="D122" s="51">
        <v>0</v>
      </c>
      <c r="E122" s="51">
        <v>0</v>
      </c>
      <c r="F122" s="51">
        <v>0</v>
      </c>
      <c r="G122" s="51">
        <v>0</v>
      </c>
      <c r="H122" s="51">
        <v>0</v>
      </c>
      <c r="I122" s="51">
        <v>1</v>
      </c>
      <c r="M122">
        <f t="shared" si="1"/>
        <v>1</v>
      </c>
    </row>
    <row r="123" spans="1:13">
      <c r="A123" s="51" t="s">
        <v>443</v>
      </c>
      <c r="B123" s="51" t="s">
        <v>802</v>
      </c>
      <c r="C123" s="51">
        <v>1</v>
      </c>
      <c r="D123" s="51">
        <v>1</v>
      </c>
      <c r="E123" s="51">
        <v>1</v>
      </c>
      <c r="F123" s="51">
        <v>1</v>
      </c>
      <c r="G123" s="51">
        <v>1</v>
      </c>
      <c r="H123" s="51">
        <v>1</v>
      </c>
      <c r="I123" s="51">
        <v>2</v>
      </c>
      <c r="M123">
        <f t="shared" si="1"/>
        <v>1</v>
      </c>
    </row>
    <row r="124" spans="1:13">
      <c r="A124" s="51" t="s">
        <v>445</v>
      </c>
      <c r="B124" s="51" t="s">
        <v>803</v>
      </c>
      <c r="C124" s="51">
        <v>1</v>
      </c>
      <c r="D124" s="51">
        <v>1</v>
      </c>
      <c r="E124" s="51">
        <v>1</v>
      </c>
      <c r="F124" s="51">
        <v>1</v>
      </c>
      <c r="G124" s="51">
        <v>1</v>
      </c>
      <c r="H124" s="51">
        <v>1</v>
      </c>
      <c r="I124" s="51">
        <v>2</v>
      </c>
      <c r="M124">
        <f t="shared" si="1"/>
        <v>1</v>
      </c>
    </row>
    <row r="125" spans="1:13">
      <c r="A125" s="51" t="s">
        <v>447</v>
      </c>
      <c r="B125" s="51" t="s">
        <v>804</v>
      </c>
      <c r="C125" s="51">
        <v>1</v>
      </c>
      <c r="D125" s="51">
        <v>1</v>
      </c>
      <c r="E125" s="51">
        <v>1</v>
      </c>
      <c r="F125" s="51">
        <v>1</v>
      </c>
      <c r="G125" s="51">
        <v>1</v>
      </c>
      <c r="H125" s="51">
        <v>1</v>
      </c>
      <c r="I125" s="51">
        <v>2</v>
      </c>
      <c r="M125">
        <f t="shared" si="1"/>
        <v>1</v>
      </c>
    </row>
    <row r="126" spans="1:13">
      <c r="A126" s="51" t="s">
        <v>449</v>
      </c>
      <c r="B126" s="51" t="s">
        <v>805</v>
      </c>
      <c r="C126" s="51">
        <v>0</v>
      </c>
      <c r="D126" s="51">
        <v>1</v>
      </c>
      <c r="E126" s="51">
        <v>0</v>
      </c>
      <c r="F126" s="51">
        <v>1</v>
      </c>
      <c r="G126" s="51">
        <v>1</v>
      </c>
      <c r="H126" s="51">
        <v>1</v>
      </c>
      <c r="I126" s="51">
        <v>2</v>
      </c>
      <c r="M126">
        <f t="shared" si="1"/>
        <v>1</v>
      </c>
    </row>
    <row r="127" spans="1:13">
      <c r="A127" s="51" t="s">
        <v>451</v>
      </c>
      <c r="B127" s="51" t="s">
        <v>806</v>
      </c>
      <c r="C127" s="51">
        <v>1</v>
      </c>
      <c r="D127" s="51">
        <v>1</v>
      </c>
      <c r="E127" s="51">
        <v>1</v>
      </c>
      <c r="F127" s="51">
        <v>1</v>
      </c>
      <c r="G127" s="51">
        <v>1</v>
      </c>
      <c r="H127" s="51">
        <v>1</v>
      </c>
      <c r="I127" s="51">
        <v>2</v>
      </c>
      <c r="M127">
        <f t="shared" si="1"/>
        <v>1</v>
      </c>
    </row>
    <row r="128" spans="1:13">
      <c r="A128" s="51" t="s">
        <v>453</v>
      </c>
      <c r="B128" s="51" t="s">
        <v>807</v>
      </c>
      <c r="C128" s="51">
        <v>1</v>
      </c>
      <c r="D128" s="51">
        <v>1</v>
      </c>
      <c r="E128" s="51">
        <v>1</v>
      </c>
      <c r="F128" s="51">
        <v>1</v>
      </c>
      <c r="G128" s="51">
        <v>1</v>
      </c>
      <c r="H128" s="51">
        <v>1</v>
      </c>
      <c r="I128" s="51">
        <v>2</v>
      </c>
      <c r="M128">
        <f t="shared" si="1"/>
        <v>0</v>
      </c>
    </row>
    <row r="129" spans="1:13">
      <c r="A129" s="51" t="s">
        <v>453</v>
      </c>
      <c r="B129" s="51" t="s">
        <v>808</v>
      </c>
      <c r="C129" s="51">
        <v>1</v>
      </c>
      <c r="D129" s="51">
        <v>1</v>
      </c>
      <c r="E129" s="51">
        <v>1</v>
      </c>
      <c r="F129" s="51">
        <v>1</v>
      </c>
      <c r="G129" s="51">
        <v>1</v>
      </c>
      <c r="H129" s="51">
        <v>1</v>
      </c>
      <c r="I129" s="51">
        <v>2</v>
      </c>
      <c r="M129">
        <f t="shared" ref="M129:M192" si="2">IF(A130=A129, 0, 1)</f>
        <v>0</v>
      </c>
    </row>
    <row r="130" spans="1:13">
      <c r="A130" s="51" t="s">
        <v>453</v>
      </c>
      <c r="B130" s="51" t="s">
        <v>809</v>
      </c>
      <c r="C130" s="51">
        <v>1</v>
      </c>
      <c r="D130" s="51">
        <v>1</v>
      </c>
      <c r="E130" s="51">
        <v>1</v>
      </c>
      <c r="F130" s="51">
        <v>1</v>
      </c>
      <c r="G130" s="51">
        <v>1</v>
      </c>
      <c r="H130" s="51">
        <v>1</v>
      </c>
      <c r="I130" s="51">
        <v>2</v>
      </c>
      <c r="M130">
        <f t="shared" si="2"/>
        <v>1</v>
      </c>
    </row>
    <row r="131" spans="1:13">
      <c r="A131" s="51" t="s">
        <v>455</v>
      </c>
      <c r="B131" s="51" t="s">
        <v>810</v>
      </c>
      <c r="C131" s="51">
        <v>0</v>
      </c>
      <c r="D131" s="51">
        <v>0</v>
      </c>
      <c r="E131" s="51">
        <v>0</v>
      </c>
      <c r="F131" s="51">
        <v>0</v>
      </c>
      <c r="G131" s="51">
        <v>0</v>
      </c>
      <c r="H131" s="51">
        <v>0</v>
      </c>
      <c r="I131" s="51">
        <v>0</v>
      </c>
      <c r="M131">
        <f t="shared" si="2"/>
        <v>0</v>
      </c>
    </row>
    <row r="132" spans="1:13">
      <c r="A132" s="51" t="s">
        <v>455</v>
      </c>
      <c r="B132" s="51" t="s">
        <v>811</v>
      </c>
      <c r="C132" s="51">
        <v>1</v>
      </c>
      <c r="D132" s="51">
        <v>1</v>
      </c>
      <c r="E132" s="51">
        <v>1</v>
      </c>
      <c r="F132" s="51">
        <v>1</v>
      </c>
      <c r="G132" s="51">
        <v>1</v>
      </c>
      <c r="H132" s="51">
        <v>1</v>
      </c>
      <c r="I132" s="51">
        <v>2</v>
      </c>
      <c r="M132">
        <f t="shared" si="2"/>
        <v>1</v>
      </c>
    </row>
    <row r="133" spans="1:13">
      <c r="A133" s="51" t="s">
        <v>457</v>
      </c>
      <c r="B133" s="51" t="s">
        <v>812</v>
      </c>
      <c r="C133" s="51">
        <v>1</v>
      </c>
      <c r="D133" s="51">
        <v>1</v>
      </c>
      <c r="E133" s="51">
        <v>1</v>
      </c>
      <c r="F133" s="51">
        <v>1</v>
      </c>
      <c r="G133" s="51">
        <v>1</v>
      </c>
      <c r="H133" s="51">
        <v>1</v>
      </c>
      <c r="I133" s="51">
        <v>2</v>
      </c>
      <c r="M133">
        <f t="shared" si="2"/>
        <v>1</v>
      </c>
    </row>
    <row r="134" spans="1:13">
      <c r="A134" s="51" t="s">
        <v>196</v>
      </c>
      <c r="B134" s="51" t="s">
        <v>195</v>
      </c>
      <c r="C134" s="51">
        <v>0</v>
      </c>
      <c r="D134" s="51">
        <v>0</v>
      </c>
      <c r="E134" s="51">
        <v>1</v>
      </c>
      <c r="F134" s="51">
        <v>1</v>
      </c>
      <c r="G134" s="51">
        <v>1</v>
      </c>
      <c r="H134" s="51">
        <v>1</v>
      </c>
      <c r="I134" s="51">
        <v>2</v>
      </c>
      <c r="M134">
        <f t="shared" si="2"/>
        <v>1</v>
      </c>
    </row>
    <row r="135" spans="1:13">
      <c r="A135" s="51" t="s">
        <v>459</v>
      </c>
      <c r="B135" s="51" t="s">
        <v>813</v>
      </c>
      <c r="C135" s="51">
        <v>1</v>
      </c>
      <c r="D135" s="51">
        <v>1</v>
      </c>
      <c r="E135" s="51">
        <v>1</v>
      </c>
      <c r="F135" s="51">
        <v>1</v>
      </c>
      <c r="G135" s="51">
        <v>1</v>
      </c>
      <c r="H135" s="51">
        <v>1</v>
      </c>
      <c r="I135" s="51">
        <v>2</v>
      </c>
      <c r="M135">
        <f t="shared" si="2"/>
        <v>0</v>
      </c>
    </row>
    <row r="136" spans="1:13">
      <c r="A136" s="51" t="s">
        <v>459</v>
      </c>
      <c r="B136" s="51" t="s">
        <v>814</v>
      </c>
      <c r="C136" s="51">
        <v>1</v>
      </c>
      <c r="D136" s="51">
        <v>1</v>
      </c>
      <c r="E136" s="51">
        <v>1</v>
      </c>
      <c r="F136" s="51">
        <v>1</v>
      </c>
      <c r="G136" s="51">
        <v>1</v>
      </c>
      <c r="H136" s="51">
        <v>1</v>
      </c>
      <c r="I136" s="51">
        <v>2</v>
      </c>
      <c r="M136">
        <f t="shared" si="2"/>
        <v>1</v>
      </c>
    </row>
    <row r="137" spans="1:13">
      <c r="A137" s="51" t="s">
        <v>461</v>
      </c>
      <c r="B137" s="51" t="s">
        <v>815</v>
      </c>
      <c r="C137" s="51">
        <v>1</v>
      </c>
      <c r="D137" s="51">
        <v>1</v>
      </c>
      <c r="E137" s="51">
        <v>1</v>
      </c>
      <c r="F137" s="51">
        <v>1</v>
      </c>
      <c r="G137" s="51">
        <v>1</v>
      </c>
      <c r="H137" s="51">
        <v>1</v>
      </c>
      <c r="I137" s="51">
        <v>2</v>
      </c>
      <c r="M137">
        <f t="shared" si="2"/>
        <v>0</v>
      </c>
    </row>
    <row r="138" spans="1:13">
      <c r="A138" s="51" t="s">
        <v>461</v>
      </c>
      <c r="B138" s="51" t="s">
        <v>816</v>
      </c>
      <c r="C138" s="51">
        <v>1</v>
      </c>
      <c r="D138" s="51">
        <v>1</v>
      </c>
      <c r="E138" s="51">
        <v>1</v>
      </c>
      <c r="F138" s="51">
        <v>1</v>
      </c>
      <c r="G138" s="51">
        <v>1</v>
      </c>
      <c r="H138" s="51">
        <v>1</v>
      </c>
      <c r="I138" s="51">
        <v>2</v>
      </c>
      <c r="M138">
        <f t="shared" si="2"/>
        <v>1</v>
      </c>
    </row>
    <row r="139" spans="1:13">
      <c r="A139" s="51" t="s">
        <v>463</v>
      </c>
      <c r="B139" s="51" t="s">
        <v>817</v>
      </c>
      <c r="C139" s="51">
        <v>1</v>
      </c>
      <c r="D139" s="51">
        <v>1</v>
      </c>
      <c r="E139" s="51">
        <v>1</v>
      </c>
      <c r="F139" s="51">
        <v>1</v>
      </c>
      <c r="G139" s="51">
        <v>1</v>
      </c>
      <c r="H139" s="51">
        <v>1</v>
      </c>
      <c r="I139" s="51">
        <v>2</v>
      </c>
      <c r="M139">
        <f t="shared" si="2"/>
        <v>0</v>
      </c>
    </row>
    <row r="140" spans="1:13">
      <c r="A140" s="51" t="s">
        <v>463</v>
      </c>
      <c r="B140" s="51" t="s">
        <v>818</v>
      </c>
      <c r="C140" s="51">
        <v>1</v>
      </c>
      <c r="D140" s="51">
        <v>1</v>
      </c>
      <c r="E140" s="51">
        <v>1</v>
      </c>
      <c r="F140" s="51">
        <v>1</v>
      </c>
      <c r="G140" s="51">
        <v>1</v>
      </c>
      <c r="H140" s="51">
        <v>1</v>
      </c>
      <c r="I140" s="51">
        <v>2</v>
      </c>
      <c r="M140">
        <f t="shared" si="2"/>
        <v>1</v>
      </c>
    </row>
    <row r="141" spans="1:13">
      <c r="A141" s="51" t="s">
        <v>465</v>
      </c>
      <c r="B141" s="51" t="s">
        <v>819</v>
      </c>
      <c r="C141" s="51">
        <v>1</v>
      </c>
      <c r="D141" s="51">
        <v>1</v>
      </c>
      <c r="E141" s="51">
        <v>1</v>
      </c>
      <c r="F141" s="51">
        <v>1</v>
      </c>
      <c r="G141" s="51">
        <v>1</v>
      </c>
      <c r="H141" s="51">
        <v>1</v>
      </c>
      <c r="I141" s="51">
        <v>2</v>
      </c>
      <c r="M141">
        <f t="shared" si="2"/>
        <v>1</v>
      </c>
    </row>
    <row r="142" spans="1:13">
      <c r="A142" s="51" t="s">
        <v>467</v>
      </c>
      <c r="B142" s="51" t="s">
        <v>820</v>
      </c>
      <c r="C142" s="51">
        <v>1</v>
      </c>
      <c r="D142" s="51">
        <v>1</v>
      </c>
      <c r="E142" s="51">
        <v>1</v>
      </c>
      <c r="F142" s="51">
        <v>1</v>
      </c>
      <c r="G142" s="51">
        <v>1</v>
      </c>
      <c r="H142" s="51">
        <v>1</v>
      </c>
      <c r="I142" s="51">
        <v>2</v>
      </c>
      <c r="M142">
        <f t="shared" si="2"/>
        <v>1</v>
      </c>
    </row>
    <row r="143" spans="1:13">
      <c r="A143" s="51" t="s">
        <v>469</v>
      </c>
      <c r="B143" s="51" t="s">
        <v>821</v>
      </c>
      <c r="C143" s="51">
        <v>1</v>
      </c>
      <c r="D143" s="51">
        <v>1</v>
      </c>
      <c r="E143" s="51">
        <v>1</v>
      </c>
      <c r="F143" s="51">
        <v>1</v>
      </c>
      <c r="G143" s="51">
        <v>1</v>
      </c>
      <c r="H143" s="51">
        <v>1</v>
      </c>
      <c r="I143" s="51">
        <v>2</v>
      </c>
      <c r="M143">
        <f t="shared" si="2"/>
        <v>0</v>
      </c>
    </row>
    <row r="144" spans="1:13">
      <c r="A144" s="51" t="s">
        <v>469</v>
      </c>
      <c r="B144" s="51" t="s">
        <v>822</v>
      </c>
      <c r="C144" s="51">
        <v>1</v>
      </c>
      <c r="D144" s="51">
        <v>1</v>
      </c>
      <c r="E144" s="51">
        <v>1</v>
      </c>
      <c r="F144" s="51">
        <v>1</v>
      </c>
      <c r="G144" s="51">
        <v>1</v>
      </c>
      <c r="H144" s="51">
        <v>1</v>
      </c>
      <c r="I144" s="51">
        <v>2</v>
      </c>
      <c r="M144">
        <f t="shared" si="2"/>
        <v>1</v>
      </c>
    </row>
    <row r="145" spans="1:13">
      <c r="A145" s="51" t="s">
        <v>471</v>
      </c>
      <c r="B145" s="51" t="s">
        <v>823</v>
      </c>
      <c r="C145" s="51">
        <v>1</v>
      </c>
      <c r="D145" s="51">
        <v>1</v>
      </c>
      <c r="E145" s="51">
        <v>1</v>
      </c>
      <c r="F145" s="51">
        <v>1</v>
      </c>
      <c r="G145" s="51">
        <v>1</v>
      </c>
      <c r="H145" s="51">
        <v>1</v>
      </c>
      <c r="I145" s="51">
        <v>2</v>
      </c>
      <c r="M145">
        <f t="shared" si="2"/>
        <v>1</v>
      </c>
    </row>
    <row r="146" spans="1:13">
      <c r="A146" s="51" t="s">
        <v>473</v>
      </c>
      <c r="B146" s="51" t="s">
        <v>824</v>
      </c>
      <c r="C146" s="51">
        <v>1</v>
      </c>
      <c r="D146" s="51">
        <v>1</v>
      </c>
      <c r="E146" s="51">
        <v>1</v>
      </c>
      <c r="F146" s="51">
        <v>1</v>
      </c>
      <c r="G146" s="51">
        <v>1</v>
      </c>
      <c r="H146" s="51">
        <v>1</v>
      </c>
      <c r="I146" s="51">
        <v>2</v>
      </c>
      <c r="M146">
        <f t="shared" si="2"/>
        <v>0</v>
      </c>
    </row>
    <row r="147" spans="1:13">
      <c r="A147" s="51" t="s">
        <v>473</v>
      </c>
      <c r="B147" s="51" t="s">
        <v>825</v>
      </c>
      <c r="C147" s="51">
        <v>1</v>
      </c>
      <c r="D147" s="51">
        <v>1</v>
      </c>
      <c r="E147" s="51">
        <v>1</v>
      </c>
      <c r="F147" s="51">
        <v>1</v>
      </c>
      <c r="G147" s="51">
        <v>1</v>
      </c>
      <c r="H147" s="51">
        <v>1</v>
      </c>
      <c r="I147" s="51">
        <v>2</v>
      </c>
      <c r="M147">
        <f t="shared" si="2"/>
        <v>1</v>
      </c>
    </row>
    <row r="148" spans="1:13">
      <c r="A148" s="51" t="s">
        <v>475</v>
      </c>
      <c r="B148" s="51" t="s">
        <v>826</v>
      </c>
      <c r="C148" s="51">
        <v>1</v>
      </c>
      <c r="D148" s="51">
        <v>1</v>
      </c>
      <c r="E148" s="51">
        <v>1</v>
      </c>
      <c r="F148" s="51">
        <v>1</v>
      </c>
      <c r="G148" s="51">
        <v>1</v>
      </c>
      <c r="H148" s="51">
        <v>1</v>
      </c>
      <c r="I148" s="51">
        <v>2</v>
      </c>
      <c r="M148">
        <f t="shared" si="2"/>
        <v>1</v>
      </c>
    </row>
    <row r="149" spans="1:13">
      <c r="A149" s="51" t="s">
        <v>477</v>
      </c>
      <c r="B149" s="51" t="s">
        <v>827</v>
      </c>
      <c r="C149" s="51">
        <v>1</v>
      </c>
      <c r="D149" s="51">
        <v>1</v>
      </c>
      <c r="E149" s="51">
        <v>1</v>
      </c>
      <c r="F149" s="51">
        <v>1</v>
      </c>
      <c r="G149" s="51">
        <v>1</v>
      </c>
      <c r="H149" s="51">
        <v>1</v>
      </c>
      <c r="I149" s="51">
        <v>2</v>
      </c>
      <c r="M149">
        <f t="shared" si="2"/>
        <v>1</v>
      </c>
    </row>
    <row r="150" spans="1:13">
      <c r="A150" s="51" t="s">
        <v>198</v>
      </c>
      <c r="B150" s="51" t="s">
        <v>197</v>
      </c>
      <c r="C150" s="51">
        <v>1</v>
      </c>
      <c r="D150" s="51">
        <v>0</v>
      </c>
      <c r="E150" s="51">
        <v>1</v>
      </c>
      <c r="F150" s="51">
        <v>1</v>
      </c>
      <c r="G150" s="51">
        <v>1</v>
      </c>
      <c r="H150" s="51">
        <v>1</v>
      </c>
      <c r="I150" s="51">
        <v>2</v>
      </c>
      <c r="M150">
        <f t="shared" si="2"/>
        <v>1</v>
      </c>
    </row>
    <row r="151" spans="1:13">
      <c r="A151" s="51" t="s">
        <v>479</v>
      </c>
      <c r="B151" s="51" t="s">
        <v>828</v>
      </c>
      <c r="C151" s="51">
        <v>1</v>
      </c>
      <c r="D151" s="51">
        <v>1</v>
      </c>
      <c r="E151" s="51">
        <v>1</v>
      </c>
      <c r="F151" s="51">
        <v>1</v>
      </c>
      <c r="G151" s="51">
        <v>1</v>
      </c>
      <c r="H151" s="51">
        <v>1</v>
      </c>
      <c r="I151" s="51">
        <v>2</v>
      </c>
      <c r="M151">
        <f t="shared" si="2"/>
        <v>1</v>
      </c>
    </row>
    <row r="152" spans="1:13">
      <c r="A152" s="51" t="s">
        <v>481</v>
      </c>
      <c r="B152" s="51" t="s">
        <v>829</v>
      </c>
      <c r="C152" s="51">
        <v>1</v>
      </c>
      <c r="D152" s="51">
        <v>1</v>
      </c>
      <c r="E152" s="51">
        <v>1</v>
      </c>
      <c r="F152" s="51">
        <v>1</v>
      </c>
      <c r="G152" s="51">
        <v>1</v>
      </c>
      <c r="H152" s="51">
        <v>1</v>
      </c>
      <c r="I152" s="51">
        <v>2</v>
      </c>
      <c r="M152">
        <f t="shared" si="2"/>
        <v>1</v>
      </c>
    </row>
    <row r="153" spans="1:13">
      <c r="A153" s="51" t="s">
        <v>483</v>
      </c>
      <c r="B153" s="51" t="s">
        <v>830</v>
      </c>
      <c r="C153" s="51">
        <v>1</v>
      </c>
      <c r="D153" s="51">
        <v>1</v>
      </c>
      <c r="E153" s="51">
        <v>1</v>
      </c>
      <c r="F153" s="51">
        <v>1</v>
      </c>
      <c r="G153" s="51">
        <v>1</v>
      </c>
      <c r="H153" s="51">
        <v>1</v>
      </c>
      <c r="I153" s="51">
        <v>2</v>
      </c>
      <c r="M153">
        <f t="shared" si="2"/>
        <v>1</v>
      </c>
    </row>
    <row r="154" spans="1:13">
      <c r="A154" s="51" t="s">
        <v>485</v>
      </c>
      <c r="B154" s="51" t="s">
        <v>831</v>
      </c>
      <c r="C154" s="51">
        <v>1</v>
      </c>
      <c r="D154" s="51">
        <v>1</v>
      </c>
      <c r="E154" s="51">
        <v>1</v>
      </c>
      <c r="F154" s="51">
        <v>1</v>
      </c>
      <c r="G154" s="51">
        <v>1</v>
      </c>
      <c r="H154" s="51">
        <v>1</v>
      </c>
      <c r="I154" s="51">
        <v>2</v>
      </c>
      <c r="M154">
        <f t="shared" si="2"/>
        <v>1</v>
      </c>
    </row>
    <row r="155" spans="1:13">
      <c r="A155" s="51" t="s">
        <v>487</v>
      </c>
      <c r="B155" s="51" t="s">
        <v>832</v>
      </c>
      <c r="C155" s="51">
        <v>1</v>
      </c>
      <c r="D155" s="51">
        <v>1</v>
      </c>
      <c r="E155" s="51">
        <v>1</v>
      </c>
      <c r="F155" s="51">
        <v>1</v>
      </c>
      <c r="G155" s="51">
        <v>1</v>
      </c>
      <c r="H155" s="51">
        <v>1</v>
      </c>
      <c r="I155" s="51">
        <v>2</v>
      </c>
      <c r="M155">
        <f t="shared" si="2"/>
        <v>1</v>
      </c>
    </row>
    <row r="156" spans="1:13">
      <c r="A156" s="51" t="s">
        <v>489</v>
      </c>
      <c r="B156" s="51" t="s">
        <v>833</v>
      </c>
      <c r="C156" s="51">
        <v>1</v>
      </c>
      <c r="D156" s="51">
        <v>1</v>
      </c>
      <c r="E156" s="51">
        <v>1</v>
      </c>
      <c r="F156" s="51">
        <v>1</v>
      </c>
      <c r="G156" s="51">
        <v>1</v>
      </c>
      <c r="H156" s="51">
        <v>1</v>
      </c>
      <c r="I156" s="51">
        <v>2</v>
      </c>
      <c r="M156">
        <f t="shared" si="2"/>
        <v>1</v>
      </c>
    </row>
    <row r="157" spans="1:13">
      <c r="A157" s="51" t="s">
        <v>200</v>
      </c>
      <c r="B157" s="51" t="s">
        <v>199</v>
      </c>
      <c r="C157" s="51">
        <v>0</v>
      </c>
      <c r="D157" s="51">
        <v>0</v>
      </c>
      <c r="E157" s="51">
        <v>0</v>
      </c>
      <c r="F157" s="51">
        <v>0</v>
      </c>
      <c r="G157" s="51">
        <v>0</v>
      </c>
      <c r="H157" s="51">
        <v>0</v>
      </c>
      <c r="I157" s="51">
        <v>0</v>
      </c>
      <c r="M157">
        <f t="shared" si="2"/>
        <v>1</v>
      </c>
    </row>
    <row r="158" spans="1:13">
      <c r="A158" s="51" t="s">
        <v>491</v>
      </c>
      <c r="B158" s="51" t="s">
        <v>834</v>
      </c>
      <c r="C158" s="51">
        <v>1</v>
      </c>
      <c r="D158" s="51">
        <v>1</v>
      </c>
      <c r="E158" s="51">
        <v>1</v>
      </c>
      <c r="F158" s="51">
        <v>1</v>
      </c>
      <c r="G158" s="51">
        <v>1</v>
      </c>
      <c r="H158" s="51">
        <v>1</v>
      </c>
      <c r="I158" s="51">
        <v>2</v>
      </c>
      <c r="M158">
        <f t="shared" si="2"/>
        <v>0</v>
      </c>
    </row>
    <row r="159" spans="1:13">
      <c r="A159" s="51" t="s">
        <v>491</v>
      </c>
      <c r="B159" s="51" t="s">
        <v>835</v>
      </c>
      <c r="C159" s="51">
        <v>1</v>
      </c>
      <c r="D159" s="51">
        <v>1</v>
      </c>
      <c r="E159" s="51">
        <v>1</v>
      </c>
      <c r="F159" s="51">
        <v>1</v>
      </c>
      <c r="G159" s="51">
        <v>1</v>
      </c>
      <c r="H159" s="51">
        <v>1</v>
      </c>
      <c r="I159" s="51">
        <v>2</v>
      </c>
      <c r="M159">
        <f t="shared" si="2"/>
        <v>0</v>
      </c>
    </row>
    <row r="160" spans="1:13">
      <c r="A160" s="51" t="s">
        <v>491</v>
      </c>
      <c r="B160" s="51" t="s">
        <v>836</v>
      </c>
      <c r="C160" s="51">
        <v>1</v>
      </c>
      <c r="D160" s="51">
        <v>1</v>
      </c>
      <c r="E160" s="51">
        <v>1</v>
      </c>
      <c r="F160" s="51">
        <v>1</v>
      </c>
      <c r="G160" s="51">
        <v>1</v>
      </c>
      <c r="H160" s="51">
        <v>1</v>
      </c>
      <c r="I160" s="51">
        <v>2</v>
      </c>
      <c r="M160">
        <f t="shared" si="2"/>
        <v>0</v>
      </c>
    </row>
    <row r="161" spans="1:13">
      <c r="A161" s="51" t="s">
        <v>491</v>
      </c>
      <c r="B161" s="51" t="s">
        <v>837</v>
      </c>
      <c r="C161" s="51">
        <v>1</v>
      </c>
      <c r="D161" s="51">
        <v>1</v>
      </c>
      <c r="E161" s="51">
        <v>1</v>
      </c>
      <c r="F161" s="51">
        <v>1</v>
      </c>
      <c r="G161" s="51">
        <v>1</v>
      </c>
      <c r="H161" s="51">
        <v>1</v>
      </c>
      <c r="I161" s="51">
        <v>2</v>
      </c>
      <c r="M161">
        <f t="shared" si="2"/>
        <v>1</v>
      </c>
    </row>
    <row r="162" spans="1:13">
      <c r="A162" s="51" t="s">
        <v>493</v>
      </c>
      <c r="B162" s="51" t="s">
        <v>838</v>
      </c>
      <c r="C162" s="51">
        <v>1</v>
      </c>
      <c r="D162" s="51">
        <v>1</v>
      </c>
      <c r="E162" s="51">
        <v>1</v>
      </c>
      <c r="F162" s="51">
        <v>1</v>
      </c>
      <c r="G162" s="51">
        <v>1</v>
      </c>
      <c r="H162" s="51">
        <v>1</v>
      </c>
      <c r="I162" s="51">
        <v>2</v>
      </c>
      <c r="M162">
        <f t="shared" si="2"/>
        <v>1</v>
      </c>
    </row>
    <row r="163" spans="1:13">
      <c r="A163" s="51" t="s">
        <v>495</v>
      </c>
      <c r="B163" s="51" t="s">
        <v>839</v>
      </c>
      <c r="C163" s="51">
        <v>1</v>
      </c>
      <c r="D163" s="51">
        <v>1</v>
      </c>
      <c r="E163" s="51">
        <v>1</v>
      </c>
      <c r="F163" s="51">
        <v>1</v>
      </c>
      <c r="G163" s="51">
        <v>1</v>
      </c>
      <c r="H163" s="51">
        <v>1</v>
      </c>
      <c r="I163" s="51">
        <v>2</v>
      </c>
      <c r="M163">
        <f t="shared" si="2"/>
        <v>1</v>
      </c>
    </row>
    <row r="164" spans="1:13">
      <c r="A164" s="51" t="s">
        <v>497</v>
      </c>
      <c r="B164" s="51" t="s">
        <v>840</v>
      </c>
      <c r="C164" s="51">
        <v>1</v>
      </c>
      <c r="D164" s="51">
        <v>1</v>
      </c>
      <c r="E164" s="51">
        <v>1</v>
      </c>
      <c r="F164" s="51">
        <v>1</v>
      </c>
      <c r="G164" s="51">
        <v>1</v>
      </c>
      <c r="H164" s="51">
        <v>1</v>
      </c>
      <c r="I164" s="51">
        <v>2</v>
      </c>
      <c r="M164">
        <f t="shared" si="2"/>
        <v>1</v>
      </c>
    </row>
    <row r="165" spans="1:13">
      <c r="A165" s="51" t="s">
        <v>499</v>
      </c>
      <c r="B165" s="51" t="s">
        <v>841</v>
      </c>
      <c r="C165" s="51">
        <v>1</v>
      </c>
      <c r="D165" s="51">
        <v>1</v>
      </c>
      <c r="E165" s="51">
        <v>1</v>
      </c>
      <c r="F165" s="51">
        <v>1</v>
      </c>
      <c r="G165" s="51">
        <v>1</v>
      </c>
      <c r="H165" s="51">
        <v>1</v>
      </c>
      <c r="I165" s="51">
        <v>2</v>
      </c>
      <c r="M165">
        <f t="shared" si="2"/>
        <v>1</v>
      </c>
    </row>
    <row r="166" spans="1:13">
      <c r="A166" s="51" t="s">
        <v>501</v>
      </c>
      <c r="B166" s="51" t="s">
        <v>842</v>
      </c>
      <c r="C166" s="51">
        <v>1</v>
      </c>
      <c r="D166" s="51">
        <v>1</v>
      </c>
      <c r="E166" s="51">
        <v>1</v>
      </c>
      <c r="F166" s="51">
        <v>1</v>
      </c>
      <c r="G166" s="51">
        <v>1</v>
      </c>
      <c r="H166" s="51">
        <v>1</v>
      </c>
      <c r="I166" s="51">
        <v>2</v>
      </c>
      <c r="M166">
        <f t="shared" si="2"/>
        <v>1</v>
      </c>
    </row>
    <row r="167" spans="1:13">
      <c r="A167" s="51" t="s">
        <v>503</v>
      </c>
      <c r="B167" s="51" t="s">
        <v>843</v>
      </c>
      <c r="C167" s="51">
        <v>1</v>
      </c>
      <c r="D167" s="51">
        <v>1</v>
      </c>
      <c r="E167" s="51">
        <v>1</v>
      </c>
      <c r="F167" s="51">
        <v>1</v>
      </c>
      <c r="G167" s="51">
        <v>1</v>
      </c>
      <c r="H167" s="51">
        <v>1</v>
      </c>
      <c r="I167" s="51">
        <v>2</v>
      </c>
      <c r="M167">
        <f t="shared" si="2"/>
        <v>1</v>
      </c>
    </row>
    <row r="168" spans="1:13">
      <c r="A168" s="51" t="s">
        <v>505</v>
      </c>
      <c r="B168" s="51" t="s">
        <v>844</v>
      </c>
      <c r="C168" s="51">
        <v>1</v>
      </c>
      <c r="D168" s="51">
        <v>1</v>
      </c>
      <c r="E168" s="51">
        <v>1</v>
      </c>
      <c r="F168" s="51">
        <v>1</v>
      </c>
      <c r="G168" s="51">
        <v>1</v>
      </c>
      <c r="H168" s="51">
        <v>1</v>
      </c>
      <c r="I168" s="51">
        <v>2</v>
      </c>
      <c r="M168">
        <f t="shared" si="2"/>
        <v>1</v>
      </c>
    </row>
    <row r="169" spans="1:13">
      <c r="A169" s="51" t="s">
        <v>507</v>
      </c>
      <c r="B169" s="51" t="s">
        <v>845</v>
      </c>
      <c r="C169" s="51">
        <v>1</v>
      </c>
      <c r="D169" s="51">
        <v>1</v>
      </c>
      <c r="E169" s="51">
        <v>1</v>
      </c>
      <c r="F169" s="51">
        <v>1</v>
      </c>
      <c r="G169" s="51">
        <v>1</v>
      </c>
      <c r="H169" s="51">
        <v>1</v>
      </c>
      <c r="I169" s="51">
        <v>2</v>
      </c>
      <c r="M169">
        <f t="shared" si="2"/>
        <v>0</v>
      </c>
    </row>
    <row r="170" spans="1:13">
      <c r="A170" s="51" t="s">
        <v>507</v>
      </c>
      <c r="B170" s="51" t="s">
        <v>846</v>
      </c>
      <c r="C170" s="51">
        <v>1</v>
      </c>
      <c r="D170" s="51">
        <v>1</v>
      </c>
      <c r="E170" s="51">
        <v>1</v>
      </c>
      <c r="F170" s="51">
        <v>1</v>
      </c>
      <c r="G170" s="51">
        <v>1</v>
      </c>
      <c r="H170" s="51">
        <v>1</v>
      </c>
      <c r="I170" s="51">
        <v>2</v>
      </c>
      <c r="M170">
        <f t="shared" si="2"/>
        <v>1</v>
      </c>
    </row>
    <row r="171" spans="1:13">
      <c r="A171" s="51" t="s">
        <v>509</v>
      </c>
      <c r="B171" s="51" t="s">
        <v>847</v>
      </c>
      <c r="C171" s="51">
        <v>1</v>
      </c>
      <c r="D171" s="51">
        <v>1</v>
      </c>
      <c r="E171" s="51">
        <v>1</v>
      </c>
      <c r="F171" s="51">
        <v>1</v>
      </c>
      <c r="G171" s="51">
        <v>1</v>
      </c>
      <c r="H171" s="51">
        <v>1</v>
      </c>
      <c r="I171" s="51">
        <v>2</v>
      </c>
      <c r="M171">
        <f t="shared" si="2"/>
        <v>1</v>
      </c>
    </row>
    <row r="172" spans="1:13">
      <c r="A172" s="51" t="s">
        <v>511</v>
      </c>
      <c r="B172" s="51" t="s">
        <v>848</v>
      </c>
      <c r="C172" s="51">
        <v>1</v>
      </c>
      <c r="D172" s="51">
        <v>1</v>
      </c>
      <c r="E172" s="51">
        <v>1</v>
      </c>
      <c r="F172" s="51">
        <v>1</v>
      </c>
      <c r="G172" s="51">
        <v>1</v>
      </c>
      <c r="H172" s="51">
        <v>1</v>
      </c>
      <c r="I172" s="51">
        <v>2</v>
      </c>
      <c r="M172">
        <f t="shared" si="2"/>
        <v>1</v>
      </c>
    </row>
    <row r="173" spans="1:13">
      <c r="A173" s="51" t="s">
        <v>513</v>
      </c>
      <c r="B173" s="51" t="s">
        <v>849</v>
      </c>
      <c r="C173" s="51">
        <v>1</v>
      </c>
      <c r="D173" s="51">
        <v>1</v>
      </c>
      <c r="E173" s="51">
        <v>1</v>
      </c>
      <c r="F173" s="51">
        <v>1</v>
      </c>
      <c r="G173" s="51">
        <v>1</v>
      </c>
      <c r="H173" s="51">
        <v>1</v>
      </c>
      <c r="I173" s="51">
        <v>2</v>
      </c>
      <c r="M173">
        <f t="shared" si="2"/>
        <v>0</v>
      </c>
    </row>
    <row r="174" spans="1:13">
      <c r="A174" s="51" t="s">
        <v>513</v>
      </c>
      <c r="B174" s="51" t="s">
        <v>850</v>
      </c>
      <c r="C174" s="51">
        <v>1</v>
      </c>
      <c r="D174" s="51">
        <v>1</v>
      </c>
      <c r="E174" s="51">
        <v>1</v>
      </c>
      <c r="F174" s="51">
        <v>1</v>
      </c>
      <c r="G174" s="51">
        <v>1</v>
      </c>
      <c r="H174" s="51">
        <v>1</v>
      </c>
      <c r="I174" s="51">
        <v>2</v>
      </c>
      <c r="M174">
        <f t="shared" si="2"/>
        <v>1</v>
      </c>
    </row>
    <row r="175" spans="1:13">
      <c r="A175" s="51" t="s">
        <v>515</v>
      </c>
      <c r="B175" s="51" t="s">
        <v>851</v>
      </c>
      <c r="C175" s="51">
        <v>1</v>
      </c>
      <c r="D175" s="51">
        <v>1</v>
      </c>
      <c r="E175" s="51">
        <v>1</v>
      </c>
      <c r="F175" s="51">
        <v>1</v>
      </c>
      <c r="G175" s="51">
        <v>1</v>
      </c>
      <c r="H175" s="51">
        <v>1</v>
      </c>
      <c r="I175" s="51">
        <v>2</v>
      </c>
      <c r="M175">
        <f t="shared" si="2"/>
        <v>1</v>
      </c>
    </row>
    <row r="176" spans="1:13">
      <c r="A176" s="51" t="s">
        <v>517</v>
      </c>
      <c r="B176" s="51" t="s">
        <v>852</v>
      </c>
      <c r="C176" s="51">
        <v>1</v>
      </c>
      <c r="D176" s="51">
        <v>1</v>
      </c>
      <c r="E176" s="51">
        <v>1</v>
      </c>
      <c r="F176" s="51">
        <v>1</v>
      </c>
      <c r="G176" s="51">
        <v>1</v>
      </c>
      <c r="H176" s="51">
        <v>1</v>
      </c>
      <c r="I176" s="51">
        <v>2</v>
      </c>
      <c r="M176">
        <f t="shared" si="2"/>
        <v>1</v>
      </c>
    </row>
    <row r="177" spans="1:13">
      <c r="A177" s="51" t="s">
        <v>519</v>
      </c>
      <c r="B177" s="51" t="s">
        <v>853</v>
      </c>
      <c r="C177" s="51">
        <v>1</v>
      </c>
      <c r="D177" s="51">
        <v>1</v>
      </c>
      <c r="E177" s="51">
        <v>1</v>
      </c>
      <c r="F177" s="51">
        <v>1</v>
      </c>
      <c r="G177" s="51">
        <v>1</v>
      </c>
      <c r="H177" s="51">
        <v>1</v>
      </c>
      <c r="I177" s="51">
        <v>2</v>
      </c>
      <c r="M177">
        <f t="shared" si="2"/>
        <v>1</v>
      </c>
    </row>
    <row r="178" spans="1:13">
      <c r="A178" s="51" t="s">
        <v>521</v>
      </c>
      <c r="B178" s="51" t="s">
        <v>854</v>
      </c>
      <c r="C178" s="51">
        <v>1</v>
      </c>
      <c r="D178" s="51">
        <v>1</v>
      </c>
      <c r="E178" s="51">
        <v>1</v>
      </c>
      <c r="F178" s="51">
        <v>1</v>
      </c>
      <c r="G178" s="51">
        <v>1</v>
      </c>
      <c r="H178" s="51">
        <v>1</v>
      </c>
      <c r="I178" s="51">
        <v>2</v>
      </c>
      <c r="M178">
        <f t="shared" si="2"/>
        <v>0</v>
      </c>
    </row>
    <row r="179" spans="1:13">
      <c r="A179" s="51" t="s">
        <v>521</v>
      </c>
      <c r="B179" s="51" t="s">
        <v>855</v>
      </c>
      <c r="C179" s="51">
        <v>1</v>
      </c>
      <c r="D179" s="51">
        <v>1</v>
      </c>
      <c r="E179" s="51">
        <v>1</v>
      </c>
      <c r="F179" s="51">
        <v>1</v>
      </c>
      <c r="G179" s="51">
        <v>1</v>
      </c>
      <c r="H179" s="51">
        <v>1</v>
      </c>
      <c r="I179" s="51">
        <v>2</v>
      </c>
      <c r="M179">
        <f t="shared" si="2"/>
        <v>0</v>
      </c>
    </row>
    <row r="180" spans="1:13">
      <c r="A180" s="51" t="s">
        <v>521</v>
      </c>
      <c r="B180" s="51" t="s">
        <v>856</v>
      </c>
      <c r="C180" s="51">
        <v>1</v>
      </c>
      <c r="D180" s="51">
        <v>1</v>
      </c>
      <c r="E180" s="51">
        <v>1</v>
      </c>
      <c r="F180" s="51">
        <v>1</v>
      </c>
      <c r="G180" s="51">
        <v>1</v>
      </c>
      <c r="H180" s="51">
        <v>1</v>
      </c>
      <c r="I180" s="51">
        <v>2</v>
      </c>
      <c r="M180">
        <f t="shared" si="2"/>
        <v>1</v>
      </c>
    </row>
    <row r="181" spans="1:13">
      <c r="A181" s="51" t="s">
        <v>523</v>
      </c>
      <c r="B181" s="51" t="s">
        <v>857</v>
      </c>
      <c r="C181" s="51">
        <v>1</v>
      </c>
      <c r="D181" s="51">
        <v>1</v>
      </c>
      <c r="E181" s="51">
        <v>1</v>
      </c>
      <c r="F181" s="51">
        <v>1</v>
      </c>
      <c r="G181" s="51">
        <v>1</v>
      </c>
      <c r="H181" s="51">
        <v>1</v>
      </c>
      <c r="I181" s="51">
        <v>2</v>
      </c>
      <c r="M181">
        <f t="shared" si="2"/>
        <v>1</v>
      </c>
    </row>
    <row r="182" spans="1:13">
      <c r="A182" s="51" t="s">
        <v>525</v>
      </c>
      <c r="B182" s="51" t="s">
        <v>858</v>
      </c>
      <c r="C182" s="51">
        <v>1</v>
      </c>
      <c r="D182" s="51">
        <v>1</v>
      </c>
      <c r="E182" s="51">
        <v>1</v>
      </c>
      <c r="F182" s="51">
        <v>1</v>
      </c>
      <c r="G182" s="51">
        <v>1</v>
      </c>
      <c r="H182" s="51">
        <v>1</v>
      </c>
      <c r="I182" s="51">
        <v>2</v>
      </c>
      <c r="M182">
        <f t="shared" si="2"/>
        <v>1</v>
      </c>
    </row>
    <row r="183" spans="1:13">
      <c r="A183" s="51" t="s">
        <v>527</v>
      </c>
      <c r="B183" s="51" t="s">
        <v>859</v>
      </c>
      <c r="C183" s="51">
        <v>1</v>
      </c>
      <c r="D183" s="51">
        <v>1</v>
      </c>
      <c r="E183" s="51">
        <v>1</v>
      </c>
      <c r="F183" s="51">
        <v>1</v>
      </c>
      <c r="G183" s="51">
        <v>1</v>
      </c>
      <c r="H183" s="51">
        <v>1</v>
      </c>
      <c r="I183" s="51">
        <v>2</v>
      </c>
      <c r="M183">
        <f t="shared" si="2"/>
        <v>0</v>
      </c>
    </row>
    <row r="184" spans="1:13">
      <c r="A184" s="51" t="s">
        <v>527</v>
      </c>
      <c r="B184" s="51" t="s">
        <v>860</v>
      </c>
      <c r="C184" s="51">
        <v>1</v>
      </c>
      <c r="D184" s="51">
        <v>1</v>
      </c>
      <c r="E184" s="51">
        <v>1</v>
      </c>
      <c r="F184" s="51">
        <v>1</v>
      </c>
      <c r="G184" s="51">
        <v>1</v>
      </c>
      <c r="H184" s="51">
        <v>1</v>
      </c>
      <c r="I184" s="51">
        <v>2</v>
      </c>
      <c r="M184">
        <f t="shared" si="2"/>
        <v>0</v>
      </c>
    </row>
    <row r="185" spans="1:13">
      <c r="A185" s="51" t="s">
        <v>527</v>
      </c>
      <c r="B185" s="51" t="s">
        <v>861</v>
      </c>
      <c r="C185" s="51">
        <v>1</v>
      </c>
      <c r="D185" s="51">
        <v>1</v>
      </c>
      <c r="E185" s="51">
        <v>1</v>
      </c>
      <c r="F185" s="51">
        <v>1</v>
      </c>
      <c r="G185" s="51">
        <v>1</v>
      </c>
      <c r="H185" s="51">
        <v>1</v>
      </c>
      <c r="I185" s="51">
        <v>2</v>
      </c>
      <c r="M185">
        <f t="shared" si="2"/>
        <v>0</v>
      </c>
    </row>
    <row r="186" spans="1:13">
      <c r="A186" s="51" t="s">
        <v>527</v>
      </c>
      <c r="B186" s="51" t="s">
        <v>862</v>
      </c>
      <c r="C186" s="51">
        <v>1</v>
      </c>
      <c r="D186" s="51">
        <v>1</v>
      </c>
      <c r="E186" s="51">
        <v>1</v>
      </c>
      <c r="F186" s="51">
        <v>1</v>
      </c>
      <c r="G186" s="51">
        <v>1</v>
      </c>
      <c r="H186" s="51">
        <v>1</v>
      </c>
      <c r="I186" s="51">
        <v>2</v>
      </c>
      <c r="M186">
        <f t="shared" si="2"/>
        <v>0</v>
      </c>
    </row>
    <row r="187" spans="1:13">
      <c r="A187" s="51" t="s">
        <v>527</v>
      </c>
      <c r="B187" s="51" t="s">
        <v>863</v>
      </c>
      <c r="C187" s="51">
        <v>1</v>
      </c>
      <c r="D187" s="51">
        <v>1</v>
      </c>
      <c r="E187" s="51">
        <v>1</v>
      </c>
      <c r="F187" s="51">
        <v>1</v>
      </c>
      <c r="G187" s="51">
        <v>1</v>
      </c>
      <c r="H187" s="51">
        <v>1</v>
      </c>
      <c r="I187" s="51">
        <v>2</v>
      </c>
      <c r="M187">
        <f t="shared" si="2"/>
        <v>0</v>
      </c>
    </row>
    <row r="188" spans="1:13">
      <c r="A188" s="51" t="s">
        <v>527</v>
      </c>
      <c r="B188" s="51" t="s">
        <v>864</v>
      </c>
      <c r="C188" s="51">
        <v>1</v>
      </c>
      <c r="D188" s="51">
        <v>1</v>
      </c>
      <c r="E188" s="51">
        <v>1</v>
      </c>
      <c r="F188" s="51">
        <v>1</v>
      </c>
      <c r="G188" s="51">
        <v>1</v>
      </c>
      <c r="H188" s="51">
        <v>1</v>
      </c>
      <c r="I188" s="51">
        <v>2</v>
      </c>
      <c r="M188">
        <f t="shared" si="2"/>
        <v>1</v>
      </c>
    </row>
    <row r="189" spans="1:13">
      <c r="A189" s="51" t="s">
        <v>529</v>
      </c>
      <c r="B189" s="51" t="s">
        <v>865</v>
      </c>
      <c r="C189" s="51">
        <v>1</v>
      </c>
      <c r="D189" s="51">
        <v>1</v>
      </c>
      <c r="E189" s="51">
        <v>1</v>
      </c>
      <c r="F189" s="51">
        <v>1</v>
      </c>
      <c r="G189" s="51">
        <v>1</v>
      </c>
      <c r="H189" s="51">
        <v>1</v>
      </c>
      <c r="I189" s="51">
        <v>2</v>
      </c>
      <c r="M189">
        <f t="shared" si="2"/>
        <v>1</v>
      </c>
    </row>
    <row r="190" spans="1:13">
      <c r="A190" s="51" t="s">
        <v>531</v>
      </c>
      <c r="B190" s="51" t="s">
        <v>866</v>
      </c>
      <c r="C190" s="51">
        <v>1</v>
      </c>
      <c r="D190" s="51">
        <v>1</v>
      </c>
      <c r="E190" s="51">
        <v>1</v>
      </c>
      <c r="F190" s="51">
        <v>1</v>
      </c>
      <c r="G190" s="51">
        <v>1</v>
      </c>
      <c r="H190" s="51">
        <v>1</v>
      </c>
      <c r="I190" s="51">
        <v>2</v>
      </c>
      <c r="M190">
        <f t="shared" si="2"/>
        <v>0</v>
      </c>
    </row>
    <row r="191" spans="1:13">
      <c r="A191" s="51" t="s">
        <v>531</v>
      </c>
      <c r="B191" s="51" t="s">
        <v>867</v>
      </c>
      <c r="C191" s="51">
        <v>1</v>
      </c>
      <c r="D191" s="51">
        <v>1</v>
      </c>
      <c r="E191" s="51">
        <v>1</v>
      </c>
      <c r="F191" s="51">
        <v>1</v>
      </c>
      <c r="G191" s="51">
        <v>1</v>
      </c>
      <c r="H191" s="51">
        <v>1</v>
      </c>
      <c r="I191" s="51">
        <v>2</v>
      </c>
      <c r="M191">
        <f t="shared" si="2"/>
        <v>0</v>
      </c>
    </row>
    <row r="192" spans="1:13">
      <c r="A192" s="51" t="s">
        <v>531</v>
      </c>
      <c r="B192" s="51" t="s">
        <v>868</v>
      </c>
      <c r="C192" s="51">
        <v>1</v>
      </c>
      <c r="D192" s="51">
        <v>1</v>
      </c>
      <c r="E192" s="51">
        <v>1</v>
      </c>
      <c r="F192" s="51">
        <v>1</v>
      </c>
      <c r="G192" s="51">
        <v>1</v>
      </c>
      <c r="H192" s="51">
        <v>1</v>
      </c>
      <c r="I192" s="51">
        <v>2</v>
      </c>
      <c r="M192">
        <f t="shared" si="2"/>
        <v>1</v>
      </c>
    </row>
    <row r="193" spans="1:13">
      <c r="A193" s="51" t="s">
        <v>533</v>
      </c>
      <c r="B193" s="51" t="s">
        <v>869</v>
      </c>
      <c r="C193" s="51">
        <v>1</v>
      </c>
      <c r="D193" s="51">
        <v>1</v>
      </c>
      <c r="E193" s="51">
        <v>1</v>
      </c>
      <c r="F193" s="51">
        <v>1</v>
      </c>
      <c r="G193" s="51">
        <v>1</v>
      </c>
      <c r="H193" s="51">
        <v>1</v>
      </c>
      <c r="I193" s="51">
        <v>2</v>
      </c>
      <c r="M193">
        <f t="shared" ref="M193:M256" si="3">IF(A194=A193, 0, 1)</f>
        <v>1</v>
      </c>
    </row>
    <row r="194" spans="1:13">
      <c r="A194" s="51" t="s">
        <v>535</v>
      </c>
      <c r="B194" s="51" t="s">
        <v>870</v>
      </c>
      <c r="C194" s="51">
        <v>1</v>
      </c>
      <c r="D194" s="51">
        <v>1</v>
      </c>
      <c r="E194" s="51">
        <v>1</v>
      </c>
      <c r="F194" s="51">
        <v>1</v>
      </c>
      <c r="G194" s="51">
        <v>1</v>
      </c>
      <c r="H194" s="51">
        <v>1</v>
      </c>
      <c r="I194" s="51">
        <v>2</v>
      </c>
      <c r="M194">
        <f t="shared" si="3"/>
        <v>1</v>
      </c>
    </row>
    <row r="195" spans="1:13">
      <c r="A195" s="51" t="s">
        <v>537</v>
      </c>
      <c r="B195" s="51" t="s">
        <v>871</v>
      </c>
      <c r="C195" s="51">
        <v>1</v>
      </c>
      <c r="D195" s="51">
        <v>1</v>
      </c>
      <c r="E195" s="51">
        <v>1</v>
      </c>
      <c r="F195" s="51">
        <v>1</v>
      </c>
      <c r="G195" s="51">
        <v>1</v>
      </c>
      <c r="H195" s="51">
        <v>1</v>
      </c>
      <c r="I195" s="51">
        <v>2</v>
      </c>
      <c r="M195">
        <f t="shared" si="3"/>
        <v>1</v>
      </c>
    </row>
    <row r="196" spans="1:13">
      <c r="A196" s="51" t="s">
        <v>539</v>
      </c>
      <c r="B196" s="51" t="s">
        <v>872</v>
      </c>
      <c r="C196" s="51">
        <v>1</v>
      </c>
      <c r="D196" s="51">
        <v>1</v>
      </c>
      <c r="E196" s="51">
        <v>1</v>
      </c>
      <c r="F196" s="51">
        <v>1</v>
      </c>
      <c r="G196" s="51">
        <v>1</v>
      </c>
      <c r="H196" s="51">
        <v>1</v>
      </c>
      <c r="I196" s="51">
        <v>2</v>
      </c>
      <c r="M196">
        <f t="shared" si="3"/>
        <v>1</v>
      </c>
    </row>
    <row r="197" spans="1:13">
      <c r="A197" s="51" t="s">
        <v>541</v>
      </c>
      <c r="B197" s="51" t="s">
        <v>873</v>
      </c>
      <c r="C197" s="51">
        <v>0</v>
      </c>
      <c r="D197" s="51">
        <v>0</v>
      </c>
      <c r="E197" s="51">
        <v>0</v>
      </c>
      <c r="F197" s="51">
        <v>0</v>
      </c>
      <c r="G197" s="51">
        <v>0</v>
      </c>
      <c r="H197" s="51">
        <v>0</v>
      </c>
      <c r="I197" s="51">
        <v>2</v>
      </c>
      <c r="M197">
        <f t="shared" si="3"/>
        <v>1</v>
      </c>
    </row>
    <row r="198" spans="1:13">
      <c r="A198" s="51" t="s">
        <v>543</v>
      </c>
      <c r="B198" s="51" t="s">
        <v>874</v>
      </c>
      <c r="C198" s="51">
        <v>1</v>
      </c>
      <c r="D198" s="51">
        <v>1</v>
      </c>
      <c r="E198" s="51">
        <v>1</v>
      </c>
      <c r="F198" s="51">
        <v>1</v>
      </c>
      <c r="G198" s="51">
        <v>1</v>
      </c>
      <c r="H198" s="51">
        <v>1</v>
      </c>
      <c r="I198" s="51">
        <v>2</v>
      </c>
      <c r="M198">
        <f t="shared" si="3"/>
        <v>1</v>
      </c>
    </row>
    <row r="199" spans="1:13">
      <c r="A199" s="51" t="s">
        <v>545</v>
      </c>
      <c r="B199" s="51" t="s">
        <v>875</v>
      </c>
      <c r="C199" s="51">
        <v>0</v>
      </c>
      <c r="D199" s="51">
        <v>0</v>
      </c>
      <c r="E199" s="51">
        <v>0</v>
      </c>
      <c r="F199" s="51">
        <v>0</v>
      </c>
      <c r="G199" s="51">
        <v>0</v>
      </c>
      <c r="H199" s="51">
        <v>0</v>
      </c>
      <c r="I199" s="51">
        <v>0</v>
      </c>
      <c r="M199">
        <f t="shared" si="3"/>
        <v>1</v>
      </c>
    </row>
    <row r="200" spans="1:13">
      <c r="A200" s="51" t="s">
        <v>547</v>
      </c>
      <c r="B200" s="51" t="s">
        <v>876</v>
      </c>
      <c r="C200" s="51">
        <v>1</v>
      </c>
      <c r="D200" s="51">
        <v>1</v>
      </c>
      <c r="E200" s="51">
        <v>1</v>
      </c>
      <c r="F200" s="51">
        <v>1</v>
      </c>
      <c r="G200" s="51">
        <v>1</v>
      </c>
      <c r="H200" s="51">
        <v>1</v>
      </c>
      <c r="I200" s="51">
        <v>2</v>
      </c>
      <c r="M200">
        <f t="shared" si="3"/>
        <v>0</v>
      </c>
    </row>
    <row r="201" spans="1:13">
      <c r="A201" s="51" t="s">
        <v>547</v>
      </c>
      <c r="B201" s="51" t="s">
        <v>877</v>
      </c>
      <c r="C201" s="51">
        <v>1</v>
      </c>
      <c r="D201" s="51">
        <v>1</v>
      </c>
      <c r="E201" s="51">
        <v>1</v>
      </c>
      <c r="F201" s="51">
        <v>1</v>
      </c>
      <c r="G201" s="51">
        <v>1</v>
      </c>
      <c r="H201" s="51">
        <v>1</v>
      </c>
      <c r="I201" s="51">
        <v>2</v>
      </c>
      <c r="M201">
        <f t="shared" si="3"/>
        <v>1</v>
      </c>
    </row>
    <row r="202" spans="1:13">
      <c r="A202" s="51" t="s">
        <v>549</v>
      </c>
      <c r="B202" s="51" t="s">
        <v>878</v>
      </c>
      <c r="C202" s="51">
        <v>1</v>
      </c>
      <c r="D202" s="51">
        <v>1</v>
      </c>
      <c r="E202" s="51">
        <v>1</v>
      </c>
      <c r="F202" s="51">
        <v>1</v>
      </c>
      <c r="G202" s="51">
        <v>1</v>
      </c>
      <c r="H202" s="51">
        <v>1</v>
      </c>
      <c r="I202" s="51">
        <v>2</v>
      </c>
      <c r="M202">
        <f t="shared" si="3"/>
        <v>1</v>
      </c>
    </row>
    <row r="203" spans="1:13">
      <c r="A203" s="51" t="s">
        <v>551</v>
      </c>
      <c r="B203" s="51" t="s">
        <v>879</v>
      </c>
      <c r="C203" s="51">
        <v>1</v>
      </c>
      <c r="D203" s="51">
        <v>1</v>
      </c>
      <c r="E203" s="51">
        <v>1</v>
      </c>
      <c r="F203" s="51">
        <v>1</v>
      </c>
      <c r="G203" s="51">
        <v>1</v>
      </c>
      <c r="H203" s="51">
        <v>1</v>
      </c>
      <c r="I203" s="51">
        <v>2</v>
      </c>
      <c r="M203">
        <f t="shared" si="3"/>
        <v>0</v>
      </c>
    </row>
    <row r="204" spans="1:13">
      <c r="A204" s="51" t="s">
        <v>551</v>
      </c>
      <c r="B204" s="51" t="s">
        <v>880</v>
      </c>
      <c r="C204" s="51">
        <v>1</v>
      </c>
      <c r="D204" s="51">
        <v>1</v>
      </c>
      <c r="E204" s="51">
        <v>1</v>
      </c>
      <c r="F204" s="51">
        <v>1</v>
      </c>
      <c r="G204" s="51">
        <v>1</v>
      </c>
      <c r="H204" s="51">
        <v>1</v>
      </c>
      <c r="I204" s="51">
        <v>2</v>
      </c>
      <c r="M204">
        <f t="shared" si="3"/>
        <v>0</v>
      </c>
    </row>
    <row r="205" spans="1:13">
      <c r="A205" s="51" t="s">
        <v>551</v>
      </c>
      <c r="B205" s="51" t="s">
        <v>881</v>
      </c>
      <c r="C205" s="51">
        <v>1</v>
      </c>
      <c r="D205" s="51">
        <v>1</v>
      </c>
      <c r="E205" s="51">
        <v>1</v>
      </c>
      <c r="F205" s="51">
        <v>1</v>
      </c>
      <c r="G205" s="51">
        <v>1</v>
      </c>
      <c r="H205" s="51">
        <v>1</v>
      </c>
      <c r="I205" s="51">
        <v>2</v>
      </c>
      <c r="M205">
        <f t="shared" si="3"/>
        <v>1</v>
      </c>
    </row>
    <row r="206" spans="1:13">
      <c r="A206" s="51" t="s">
        <v>553</v>
      </c>
      <c r="B206" s="51" t="s">
        <v>882</v>
      </c>
      <c r="C206" s="51">
        <v>1</v>
      </c>
      <c r="D206" s="51">
        <v>1</v>
      </c>
      <c r="E206" s="51">
        <v>1</v>
      </c>
      <c r="F206" s="51">
        <v>1</v>
      </c>
      <c r="G206" s="51">
        <v>1</v>
      </c>
      <c r="H206" s="51">
        <v>1</v>
      </c>
      <c r="I206" s="51">
        <v>2</v>
      </c>
      <c r="M206">
        <f t="shared" si="3"/>
        <v>1</v>
      </c>
    </row>
    <row r="207" spans="1:13">
      <c r="A207" s="51" t="s">
        <v>555</v>
      </c>
      <c r="B207" s="51" t="s">
        <v>883</v>
      </c>
      <c r="C207" s="51">
        <v>1</v>
      </c>
      <c r="D207" s="51">
        <v>1</v>
      </c>
      <c r="E207" s="51">
        <v>1</v>
      </c>
      <c r="F207" s="51">
        <v>1</v>
      </c>
      <c r="G207" s="51">
        <v>1</v>
      </c>
      <c r="H207" s="51">
        <v>1</v>
      </c>
      <c r="I207" s="51">
        <v>2</v>
      </c>
      <c r="M207">
        <f t="shared" si="3"/>
        <v>1</v>
      </c>
    </row>
    <row r="208" spans="1:13">
      <c r="A208" s="51" t="s">
        <v>557</v>
      </c>
      <c r="B208" s="51" t="s">
        <v>884</v>
      </c>
      <c r="C208" s="51">
        <v>1</v>
      </c>
      <c r="D208" s="51">
        <v>1</v>
      </c>
      <c r="E208" s="51">
        <v>1</v>
      </c>
      <c r="F208" s="51">
        <v>1</v>
      </c>
      <c r="G208" s="51">
        <v>1</v>
      </c>
      <c r="H208" s="51">
        <v>1</v>
      </c>
      <c r="I208" s="51">
        <v>2</v>
      </c>
      <c r="M208">
        <f t="shared" si="3"/>
        <v>1</v>
      </c>
    </row>
    <row r="209" spans="1:13">
      <c r="A209" s="51" t="s">
        <v>559</v>
      </c>
      <c r="B209" s="51" t="s">
        <v>885</v>
      </c>
      <c r="C209" s="51">
        <v>0</v>
      </c>
      <c r="D209" s="51">
        <v>0</v>
      </c>
      <c r="E209" s="51">
        <v>1</v>
      </c>
      <c r="F209" s="51">
        <v>1</v>
      </c>
      <c r="G209" s="51">
        <v>1</v>
      </c>
      <c r="H209" s="51">
        <v>1</v>
      </c>
      <c r="I209" s="51">
        <v>2</v>
      </c>
      <c r="M209">
        <f t="shared" si="3"/>
        <v>1</v>
      </c>
    </row>
    <row r="210" spans="1:13">
      <c r="A210" s="51" t="s">
        <v>561</v>
      </c>
      <c r="B210" s="51" t="s">
        <v>886</v>
      </c>
      <c r="C210" s="51">
        <v>1</v>
      </c>
      <c r="D210" s="51">
        <v>1</v>
      </c>
      <c r="E210" s="51">
        <v>1</v>
      </c>
      <c r="F210" s="51">
        <v>1</v>
      </c>
      <c r="G210" s="51">
        <v>1</v>
      </c>
      <c r="H210" s="51">
        <v>1</v>
      </c>
      <c r="I210" s="51">
        <v>2</v>
      </c>
      <c r="M210">
        <f t="shared" si="3"/>
        <v>0</v>
      </c>
    </row>
    <row r="211" spans="1:13">
      <c r="A211" s="51" t="s">
        <v>561</v>
      </c>
      <c r="B211" s="51" t="s">
        <v>887</v>
      </c>
      <c r="C211" s="51">
        <v>1</v>
      </c>
      <c r="D211" s="51">
        <v>1</v>
      </c>
      <c r="E211" s="51">
        <v>1</v>
      </c>
      <c r="F211" s="51">
        <v>1</v>
      </c>
      <c r="G211" s="51">
        <v>1</v>
      </c>
      <c r="H211" s="51">
        <v>1</v>
      </c>
      <c r="I211" s="51">
        <v>2</v>
      </c>
      <c r="M211">
        <f t="shared" si="3"/>
        <v>1</v>
      </c>
    </row>
    <row r="212" spans="1:13">
      <c r="A212" s="51" t="s">
        <v>563</v>
      </c>
      <c r="B212" s="51" t="s">
        <v>888</v>
      </c>
      <c r="C212" s="51">
        <v>0</v>
      </c>
      <c r="D212" s="51">
        <v>0</v>
      </c>
      <c r="E212" s="51">
        <v>1</v>
      </c>
      <c r="F212" s="51">
        <v>1</v>
      </c>
      <c r="G212" s="51">
        <v>1</v>
      </c>
      <c r="H212" s="51">
        <v>1</v>
      </c>
      <c r="I212" s="51">
        <v>2</v>
      </c>
      <c r="M212">
        <f t="shared" si="3"/>
        <v>1</v>
      </c>
    </row>
    <row r="213" spans="1:13">
      <c r="A213" s="51" t="s">
        <v>565</v>
      </c>
      <c r="B213" s="51" t="s">
        <v>889</v>
      </c>
      <c r="C213" s="51">
        <v>1</v>
      </c>
      <c r="D213" s="51">
        <v>1</v>
      </c>
      <c r="E213" s="51">
        <v>1</v>
      </c>
      <c r="F213" s="51">
        <v>1</v>
      </c>
      <c r="G213" s="51">
        <v>1</v>
      </c>
      <c r="H213" s="51">
        <v>1</v>
      </c>
      <c r="I213" s="51">
        <v>2</v>
      </c>
      <c r="M213">
        <f t="shared" si="3"/>
        <v>1</v>
      </c>
    </row>
    <row r="214" spans="1:13">
      <c r="A214" s="51" t="s">
        <v>567</v>
      </c>
      <c r="B214" s="51" t="s">
        <v>890</v>
      </c>
      <c r="C214" s="51">
        <v>1</v>
      </c>
      <c r="D214" s="51">
        <v>1</v>
      </c>
      <c r="E214" s="51">
        <v>1</v>
      </c>
      <c r="F214" s="51">
        <v>1</v>
      </c>
      <c r="G214" s="51">
        <v>1</v>
      </c>
      <c r="H214" s="51">
        <v>1</v>
      </c>
      <c r="I214" s="51">
        <v>2</v>
      </c>
      <c r="M214">
        <f t="shared" si="3"/>
        <v>1</v>
      </c>
    </row>
    <row r="215" spans="1:13">
      <c r="A215" s="51" t="s">
        <v>569</v>
      </c>
      <c r="B215" s="51" t="s">
        <v>891</v>
      </c>
      <c r="C215" s="51">
        <v>1</v>
      </c>
      <c r="D215" s="51">
        <v>1</v>
      </c>
      <c r="E215" s="51">
        <v>1</v>
      </c>
      <c r="F215" s="51">
        <v>1</v>
      </c>
      <c r="G215" s="51">
        <v>1</v>
      </c>
      <c r="H215" s="51">
        <v>1</v>
      </c>
      <c r="I215" s="51">
        <v>2</v>
      </c>
      <c r="M215">
        <f t="shared" si="3"/>
        <v>1</v>
      </c>
    </row>
    <row r="216" spans="1:13">
      <c r="A216" s="51" t="s">
        <v>571</v>
      </c>
      <c r="B216" s="51" t="s">
        <v>892</v>
      </c>
      <c r="C216" s="51">
        <v>1</v>
      </c>
      <c r="D216" s="51">
        <v>1</v>
      </c>
      <c r="E216" s="51">
        <v>1</v>
      </c>
      <c r="F216" s="51">
        <v>1</v>
      </c>
      <c r="G216" s="51">
        <v>1</v>
      </c>
      <c r="H216" s="51">
        <v>1</v>
      </c>
      <c r="I216" s="51">
        <v>2</v>
      </c>
      <c r="M216">
        <f t="shared" si="3"/>
        <v>1</v>
      </c>
    </row>
    <row r="217" spans="1:13">
      <c r="A217" s="51" t="s">
        <v>573</v>
      </c>
      <c r="B217" s="51" t="s">
        <v>893</v>
      </c>
      <c r="C217" s="51">
        <v>1</v>
      </c>
      <c r="D217" s="51">
        <v>1</v>
      </c>
      <c r="E217" s="51">
        <v>1</v>
      </c>
      <c r="F217" s="51">
        <v>1</v>
      </c>
      <c r="G217" s="51">
        <v>1</v>
      </c>
      <c r="H217" s="51">
        <v>1</v>
      </c>
      <c r="I217" s="51">
        <v>2</v>
      </c>
      <c r="M217">
        <f t="shared" si="3"/>
        <v>1</v>
      </c>
    </row>
    <row r="218" spans="1:13">
      <c r="A218" s="51" t="s">
        <v>575</v>
      </c>
      <c r="B218" s="51" t="s">
        <v>894</v>
      </c>
      <c r="C218" s="51">
        <v>1</v>
      </c>
      <c r="D218" s="51">
        <v>1</v>
      </c>
      <c r="E218" s="51">
        <v>1</v>
      </c>
      <c r="F218" s="51">
        <v>1</v>
      </c>
      <c r="G218" s="51">
        <v>1</v>
      </c>
      <c r="H218" s="51">
        <v>1</v>
      </c>
      <c r="I218" s="51">
        <v>2</v>
      </c>
      <c r="M218">
        <f t="shared" si="3"/>
        <v>0</v>
      </c>
    </row>
    <row r="219" spans="1:13">
      <c r="A219" s="51" t="s">
        <v>575</v>
      </c>
      <c r="B219" s="51" t="s">
        <v>895</v>
      </c>
      <c r="C219" s="51">
        <v>1</v>
      </c>
      <c r="D219" s="51">
        <v>1</v>
      </c>
      <c r="E219" s="51">
        <v>1</v>
      </c>
      <c r="F219" s="51">
        <v>1</v>
      </c>
      <c r="G219" s="51">
        <v>1</v>
      </c>
      <c r="H219" s="51">
        <v>1</v>
      </c>
      <c r="I219" s="51">
        <v>2</v>
      </c>
      <c r="M219">
        <f t="shared" si="3"/>
        <v>0</v>
      </c>
    </row>
    <row r="220" spans="1:13">
      <c r="A220" s="51" t="s">
        <v>575</v>
      </c>
      <c r="B220" s="51" t="s">
        <v>896</v>
      </c>
      <c r="C220" s="51">
        <v>1</v>
      </c>
      <c r="D220" s="51">
        <v>1</v>
      </c>
      <c r="E220" s="51">
        <v>1</v>
      </c>
      <c r="F220" s="51">
        <v>1</v>
      </c>
      <c r="G220" s="51">
        <v>1</v>
      </c>
      <c r="H220" s="51">
        <v>1</v>
      </c>
      <c r="I220" s="51">
        <v>2</v>
      </c>
      <c r="M220">
        <f t="shared" si="3"/>
        <v>0</v>
      </c>
    </row>
    <row r="221" spans="1:13">
      <c r="A221" s="51" t="s">
        <v>575</v>
      </c>
      <c r="B221" s="51" t="s">
        <v>897</v>
      </c>
      <c r="C221" s="51">
        <v>1</v>
      </c>
      <c r="D221" s="51">
        <v>1</v>
      </c>
      <c r="E221" s="51">
        <v>1</v>
      </c>
      <c r="F221" s="51">
        <v>1</v>
      </c>
      <c r="G221" s="51">
        <v>1</v>
      </c>
      <c r="H221" s="51">
        <v>1</v>
      </c>
      <c r="I221" s="51">
        <v>2</v>
      </c>
      <c r="M221">
        <f t="shared" si="3"/>
        <v>1</v>
      </c>
    </row>
    <row r="222" spans="1:13">
      <c r="A222" s="51" t="s">
        <v>577</v>
      </c>
      <c r="B222" s="51" t="s">
        <v>898</v>
      </c>
      <c r="C222" s="51">
        <v>0</v>
      </c>
      <c r="D222" s="51">
        <v>0</v>
      </c>
      <c r="E222" s="51">
        <v>0</v>
      </c>
      <c r="F222" s="51">
        <v>0</v>
      </c>
      <c r="G222" s="51">
        <v>0</v>
      </c>
      <c r="H222" s="51">
        <v>0</v>
      </c>
      <c r="I222" s="51">
        <v>1</v>
      </c>
      <c r="M222">
        <f t="shared" si="3"/>
        <v>0</v>
      </c>
    </row>
    <row r="223" spans="1:13">
      <c r="A223" s="51" t="s">
        <v>577</v>
      </c>
      <c r="B223" s="51" t="s">
        <v>899</v>
      </c>
      <c r="C223" s="51">
        <v>0</v>
      </c>
      <c r="D223" s="51">
        <v>0</v>
      </c>
      <c r="E223" s="51">
        <v>0</v>
      </c>
      <c r="F223" s="51">
        <v>0</v>
      </c>
      <c r="G223" s="51">
        <v>0</v>
      </c>
      <c r="H223" s="51">
        <v>0</v>
      </c>
      <c r="I223" s="51">
        <v>1</v>
      </c>
      <c r="M223">
        <f t="shared" si="3"/>
        <v>1</v>
      </c>
    </row>
    <row r="224" spans="1:13">
      <c r="A224" s="51" t="s">
        <v>579</v>
      </c>
      <c r="B224" s="51" t="s">
        <v>900</v>
      </c>
      <c r="C224" s="51">
        <v>1</v>
      </c>
      <c r="D224" s="51">
        <v>1</v>
      </c>
      <c r="E224" s="51">
        <v>1</v>
      </c>
      <c r="F224" s="51">
        <v>1</v>
      </c>
      <c r="G224" s="51">
        <v>1</v>
      </c>
      <c r="H224" s="51">
        <v>1</v>
      </c>
      <c r="I224" s="51">
        <v>2</v>
      </c>
      <c r="M224">
        <f t="shared" si="3"/>
        <v>0</v>
      </c>
    </row>
    <row r="225" spans="1:13">
      <c r="A225" s="51" t="s">
        <v>579</v>
      </c>
      <c r="B225" s="51" t="s">
        <v>901</v>
      </c>
      <c r="C225" s="51">
        <v>1</v>
      </c>
      <c r="D225" s="51">
        <v>1</v>
      </c>
      <c r="E225" s="51">
        <v>1</v>
      </c>
      <c r="F225" s="51">
        <v>1</v>
      </c>
      <c r="G225" s="51">
        <v>1</v>
      </c>
      <c r="H225" s="51">
        <v>1</v>
      </c>
      <c r="I225" s="51">
        <v>2</v>
      </c>
      <c r="M225">
        <f t="shared" si="3"/>
        <v>0</v>
      </c>
    </row>
    <row r="226" spans="1:13">
      <c r="A226" s="51" t="s">
        <v>579</v>
      </c>
      <c r="B226" s="51" t="s">
        <v>902</v>
      </c>
      <c r="C226" s="51">
        <v>1</v>
      </c>
      <c r="D226" s="51">
        <v>1</v>
      </c>
      <c r="E226" s="51">
        <v>1</v>
      </c>
      <c r="F226" s="51">
        <v>1</v>
      </c>
      <c r="G226" s="51">
        <v>1</v>
      </c>
      <c r="H226" s="51">
        <v>1</v>
      </c>
      <c r="I226" s="51">
        <v>2</v>
      </c>
      <c r="M226">
        <f t="shared" si="3"/>
        <v>1</v>
      </c>
    </row>
    <row r="227" spans="1:13">
      <c r="A227" s="51" t="s">
        <v>581</v>
      </c>
      <c r="B227" s="51" t="s">
        <v>903</v>
      </c>
      <c r="C227" s="51">
        <v>1</v>
      </c>
      <c r="D227" s="51">
        <v>1</v>
      </c>
      <c r="E227" s="51">
        <v>1</v>
      </c>
      <c r="F227" s="51">
        <v>1</v>
      </c>
      <c r="G227" s="51">
        <v>1</v>
      </c>
      <c r="H227" s="51">
        <v>1</v>
      </c>
      <c r="I227" s="51">
        <v>2</v>
      </c>
      <c r="M227">
        <f t="shared" si="3"/>
        <v>0</v>
      </c>
    </row>
    <row r="228" spans="1:13">
      <c r="A228" s="51" t="s">
        <v>581</v>
      </c>
      <c r="B228" s="51" t="s">
        <v>904</v>
      </c>
      <c r="C228" s="51">
        <v>1</v>
      </c>
      <c r="D228" s="51">
        <v>1</v>
      </c>
      <c r="E228" s="51">
        <v>1</v>
      </c>
      <c r="F228" s="51">
        <v>1</v>
      </c>
      <c r="G228" s="51">
        <v>1</v>
      </c>
      <c r="H228" s="51">
        <v>1</v>
      </c>
      <c r="I228" s="51">
        <v>2</v>
      </c>
      <c r="M228">
        <f t="shared" si="3"/>
        <v>0</v>
      </c>
    </row>
    <row r="229" spans="1:13">
      <c r="A229" s="51" t="s">
        <v>581</v>
      </c>
      <c r="B229" s="51" t="s">
        <v>905</v>
      </c>
      <c r="C229" s="51">
        <v>1</v>
      </c>
      <c r="D229" s="51">
        <v>1</v>
      </c>
      <c r="E229" s="51">
        <v>1</v>
      </c>
      <c r="F229" s="51">
        <v>1</v>
      </c>
      <c r="G229" s="51">
        <v>1</v>
      </c>
      <c r="H229" s="51">
        <v>1</v>
      </c>
      <c r="I229" s="51">
        <v>2</v>
      </c>
      <c r="M229">
        <f t="shared" si="3"/>
        <v>1</v>
      </c>
    </row>
    <row r="230" spans="1:13">
      <c r="A230" s="51" t="s">
        <v>583</v>
      </c>
      <c r="B230" s="51" t="s">
        <v>906</v>
      </c>
      <c r="C230" s="51">
        <v>0</v>
      </c>
      <c r="D230" s="51">
        <v>0</v>
      </c>
      <c r="E230" s="51">
        <v>0</v>
      </c>
      <c r="F230" s="51">
        <v>0</v>
      </c>
      <c r="G230" s="51">
        <v>0</v>
      </c>
      <c r="H230" s="51">
        <v>0</v>
      </c>
      <c r="I230" s="51">
        <v>1</v>
      </c>
      <c r="M230">
        <f t="shared" si="3"/>
        <v>0</v>
      </c>
    </row>
    <row r="231" spans="1:13">
      <c r="A231" s="51" t="s">
        <v>583</v>
      </c>
      <c r="B231" s="51" t="s">
        <v>907</v>
      </c>
      <c r="C231" s="51">
        <v>0</v>
      </c>
      <c r="D231" s="51">
        <v>0</v>
      </c>
      <c r="E231" s="51">
        <v>0</v>
      </c>
      <c r="F231" s="51">
        <v>0</v>
      </c>
      <c r="G231" s="51">
        <v>0</v>
      </c>
      <c r="H231" s="51">
        <v>0</v>
      </c>
      <c r="I231" s="51">
        <v>1</v>
      </c>
      <c r="M231">
        <f t="shared" si="3"/>
        <v>1</v>
      </c>
    </row>
    <row r="232" spans="1:13">
      <c r="A232" s="51" t="s">
        <v>585</v>
      </c>
      <c r="B232" s="51" t="s">
        <v>908</v>
      </c>
      <c r="C232" s="51">
        <v>1</v>
      </c>
      <c r="D232" s="51">
        <v>1</v>
      </c>
      <c r="E232" s="51">
        <v>1</v>
      </c>
      <c r="F232" s="51">
        <v>1</v>
      </c>
      <c r="G232" s="51">
        <v>1</v>
      </c>
      <c r="H232" s="51">
        <v>1</v>
      </c>
      <c r="I232" s="51">
        <v>2</v>
      </c>
      <c r="M232">
        <f t="shared" si="3"/>
        <v>0</v>
      </c>
    </row>
    <row r="233" spans="1:13">
      <c r="A233" s="51" t="s">
        <v>585</v>
      </c>
      <c r="B233" s="51" t="s">
        <v>909</v>
      </c>
      <c r="C233" s="51">
        <v>1</v>
      </c>
      <c r="D233" s="51">
        <v>1</v>
      </c>
      <c r="E233" s="51">
        <v>1</v>
      </c>
      <c r="F233" s="51">
        <v>1</v>
      </c>
      <c r="G233" s="51">
        <v>1</v>
      </c>
      <c r="H233" s="51">
        <v>1</v>
      </c>
      <c r="I233" s="51">
        <v>2</v>
      </c>
      <c r="M233">
        <f t="shared" si="3"/>
        <v>1</v>
      </c>
    </row>
    <row r="234" spans="1:13">
      <c r="A234" s="51" t="s">
        <v>587</v>
      </c>
      <c r="B234" s="51" t="s">
        <v>910</v>
      </c>
      <c r="C234" s="51">
        <v>1</v>
      </c>
      <c r="D234" s="51">
        <v>1</v>
      </c>
      <c r="E234" s="51">
        <v>1</v>
      </c>
      <c r="F234" s="51">
        <v>1</v>
      </c>
      <c r="G234" s="51">
        <v>1</v>
      </c>
      <c r="H234" s="51">
        <v>1</v>
      </c>
      <c r="I234" s="51">
        <v>2</v>
      </c>
      <c r="M234">
        <f t="shared" si="3"/>
        <v>0</v>
      </c>
    </row>
    <row r="235" spans="1:13">
      <c r="A235" s="51" t="s">
        <v>587</v>
      </c>
      <c r="B235" s="51" t="s">
        <v>911</v>
      </c>
      <c r="C235" s="51">
        <v>1</v>
      </c>
      <c r="D235" s="51">
        <v>1</v>
      </c>
      <c r="E235" s="51">
        <v>1</v>
      </c>
      <c r="F235" s="51">
        <v>1</v>
      </c>
      <c r="G235" s="51">
        <v>1</v>
      </c>
      <c r="H235" s="51">
        <v>1</v>
      </c>
      <c r="I235" s="51">
        <v>2</v>
      </c>
      <c r="M235">
        <f t="shared" si="3"/>
        <v>1</v>
      </c>
    </row>
    <row r="236" spans="1:13">
      <c r="A236" s="51" t="s">
        <v>589</v>
      </c>
      <c r="B236" s="51" t="s">
        <v>912</v>
      </c>
      <c r="C236" s="51">
        <v>1</v>
      </c>
      <c r="D236" s="51">
        <v>1</v>
      </c>
      <c r="E236" s="51">
        <v>1</v>
      </c>
      <c r="F236" s="51">
        <v>1</v>
      </c>
      <c r="G236" s="51">
        <v>1</v>
      </c>
      <c r="H236" s="51">
        <v>1</v>
      </c>
      <c r="I236" s="51">
        <v>2</v>
      </c>
      <c r="M236">
        <f t="shared" si="3"/>
        <v>1</v>
      </c>
    </row>
    <row r="237" spans="1:13">
      <c r="A237" s="51" t="s">
        <v>591</v>
      </c>
      <c r="B237" s="51" t="s">
        <v>913</v>
      </c>
      <c r="C237" s="51">
        <v>1</v>
      </c>
      <c r="D237" s="51">
        <v>1</v>
      </c>
      <c r="E237" s="51">
        <v>1</v>
      </c>
      <c r="F237" s="51">
        <v>1</v>
      </c>
      <c r="G237" s="51">
        <v>1</v>
      </c>
      <c r="H237" s="51">
        <v>1</v>
      </c>
      <c r="I237" s="51">
        <v>2</v>
      </c>
      <c r="M237">
        <f t="shared" si="3"/>
        <v>1</v>
      </c>
    </row>
    <row r="238" spans="1:13">
      <c r="A238" s="51" t="s">
        <v>593</v>
      </c>
      <c r="B238" s="51" t="s">
        <v>914</v>
      </c>
      <c r="C238" s="51">
        <v>1</v>
      </c>
      <c r="D238" s="51">
        <v>1</v>
      </c>
      <c r="E238" s="51">
        <v>1</v>
      </c>
      <c r="F238" s="51">
        <v>1</v>
      </c>
      <c r="G238" s="51">
        <v>1</v>
      </c>
      <c r="H238" s="51">
        <v>1</v>
      </c>
      <c r="I238" s="51">
        <v>2</v>
      </c>
      <c r="M238">
        <f t="shared" si="3"/>
        <v>1</v>
      </c>
    </row>
    <row r="239" spans="1:13">
      <c r="A239" s="51" t="s">
        <v>595</v>
      </c>
      <c r="B239" s="51" t="s">
        <v>915</v>
      </c>
      <c r="C239" s="51">
        <v>1</v>
      </c>
      <c r="D239" s="51">
        <v>1</v>
      </c>
      <c r="E239" s="51">
        <v>1</v>
      </c>
      <c r="F239" s="51">
        <v>1</v>
      </c>
      <c r="G239" s="51">
        <v>1</v>
      </c>
      <c r="H239" s="51">
        <v>1</v>
      </c>
      <c r="I239" s="51">
        <v>2</v>
      </c>
      <c r="M239">
        <f t="shared" si="3"/>
        <v>1</v>
      </c>
    </row>
    <row r="240" spans="1:13">
      <c r="A240" s="51" t="s">
        <v>597</v>
      </c>
      <c r="B240" s="51" t="s">
        <v>916</v>
      </c>
      <c r="C240" s="51">
        <v>0</v>
      </c>
      <c r="D240" s="51">
        <v>0</v>
      </c>
      <c r="E240" s="51">
        <v>0</v>
      </c>
      <c r="F240" s="51">
        <v>0</v>
      </c>
      <c r="G240" s="51">
        <v>0</v>
      </c>
      <c r="H240" s="51">
        <v>0</v>
      </c>
      <c r="I240" s="51">
        <v>1</v>
      </c>
      <c r="M240">
        <f t="shared" si="3"/>
        <v>0</v>
      </c>
    </row>
    <row r="241" spans="1:13">
      <c r="A241" s="51" t="s">
        <v>597</v>
      </c>
      <c r="B241" s="51" t="s">
        <v>917</v>
      </c>
      <c r="C241" s="51">
        <v>0</v>
      </c>
      <c r="D241" s="51">
        <v>0</v>
      </c>
      <c r="E241" s="51">
        <v>0</v>
      </c>
      <c r="F241" s="51">
        <v>0</v>
      </c>
      <c r="G241" s="51">
        <v>0</v>
      </c>
      <c r="H241" s="51">
        <v>0</v>
      </c>
      <c r="I241" s="51">
        <v>1</v>
      </c>
      <c r="M241">
        <f t="shared" si="3"/>
        <v>1</v>
      </c>
    </row>
    <row r="242" spans="1:13">
      <c r="A242" s="51" t="s">
        <v>599</v>
      </c>
      <c r="B242" s="51" t="s">
        <v>918</v>
      </c>
      <c r="C242" s="51">
        <v>1</v>
      </c>
      <c r="D242" s="51">
        <v>1</v>
      </c>
      <c r="E242" s="51">
        <v>1</v>
      </c>
      <c r="F242" s="51">
        <v>1</v>
      </c>
      <c r="G242" s="51">
        <v>1</v>
      </c>
      <c r="H242" s="51">
        <v>1</v>
      </c>
      <c r="I242" s="51">
        <v>2</v>
      </c>
      <c r="M242">
        <f t="shared" si="3"/>
        <v>1</v>
      </c>
    </row>
    <row r="243" spans="1:13">
      <c r="A243" s="51" t="s">
        <v>601</v>
      </c>
      <c r="B243" s="51" t="s">
        <v>919</v>
      </c>
      <c r="C243" s="51">
        <v>1</v>
      </c>
      <c r="D243" s="51">
        <v>1</v>
      </c>
      <c r="E243" s="51">
        <v>1</v>
      </c>
      <c r="F243" s="51">
        <v>1</v>
      </c>
      <c r="G243" s="51">
        <v>1</v>
      </c>
      <c r="H243" s="51">
        <v>1</v>
      </c>
      <c r="I243" s="51">
        <v>2</v>
      </c>
      <c r="M243">
        <f t="shared" si="3"/>
        <v>1</v>
      </c>
    </row>
    <row r="244" spans="1:13">
      <c r="A244" s="51" t="s">
        <v>603</v>
      </c>
      <c r="B244" s="51" t="s">
        <v>920</v>
      </c>
      <c r="C244" s="51">
        <v>1</v>
      </c>
      <c r="D244" s="51">
        <v>1</v>
      </c>
      <c r="E244" s="51">
        <v>1</v>
      </c>
      <c r="F244" s="51">
        <v>1</v>
      </c>
      <c r="G244" s="51">
        <v>1</v>
      </c>
      <c r="H244" s="51">
        <v>1</v>
      </c>
      <c r="I244" s="51">
        <v>2</v>
      </c>
      <c r="M244">
        <f t="shared" si="3"/>
        <v>1</v>
      </c>
    </row>
    <row r="245" spans="1:13">
      <c r="A245" s="51" t="s">
        <v>605</v>
      </c>
      <c r="B245" s="51" t="s">
        <v>921</v>
      </c>
      <c r="C245" s="51">
        <v>1</v>
      </c>
      <c r="D245" s="51">
        <v>1</v>
      </c>
      <c r="E245" s="51">
        <v>1</v>
      </c>
      <c r="F245" s="51">
        <v>1</v>
      </c>
      <c r="G245" s="51">
        <v>1</v>
      </c>
      <c r="H245" s="51">
        <v>1</v>
      </c>
      <c r="I245" s="51">
        <v>2</v>
      </c>
      <c r="M245">
        <f t="shared" si="3"/>
        <v>1</v>
      </c>
    </row>
    <row r="246" spans="1:13">
      <c r="A246" s="51" t="s">
        <v>607</v>
      </c>
      <c r="B246" s="51" t="s">
        <v>922</v>
      </c>
      <c r="C246" s="51">
        <v>1</v>
      </c>
      <c r="D246" s="51">
        <v>1</v>
      </c>
      <c r="E246" s="51">
        <v>1</v>
      </c>
      <c r="F246" s="51">
        <v>1</v>
      </c>
      <c r="G246" s="51">
        <v>1</v>
      </c>
      <c r="H246" s="51">
        <v>1</v>
      </c>
      <c r="I246" s="51">
        <v>2</v>
      </c>
      <c r="M246">
        <f t="shared" si="3"/>
        <v>1</v>
      </c>
    </row>
    <row r="247" spans="1:13">
      <c r="A247" s="51" t="s">
        <v>609</v>
      </c>
      <c r="B247" s="51" t="s">
        <v>923</v>
      </c>
      <c r="C247" s="51">
        <v>1</v>
      </c>
      <c r="D247" s="51">
        <v>1</v>
      </c>
      <c r="E247" s="51">
        <v>1</v>
      </c>
      <c r="F247" s="51">
        <v>1</v>
      </c>
      <c r="G247" s="51">
        <v>1</v>
      </c>
      <c r="H247" s="51">
        <v>1</v>
      </c>
      <c r="I247" s="51">
        <v>2</v>
      </c>
      <c r="M247">
        <f t="shared" si="3"/>
        <v>1</v>
      </c>
    </row>
    <row r="248" spans="1:13">
      <c r="A248" s="51" t="s">
        <v>611</v>
      </c>
      <c r="B248" s="51" t="s">
        <v>924</v>
      </c>
      <c r="C248" s="51">
        <v>1</v>
      </c>
      <c r="D248" s="51">
        <v>1</v>
      </c>
      <c r="E248" s="51">
        <v>1</v>
      </c>
      <c r="F248" s="51">
        <v>1</v>
      </c>
      <c r="G248" s="51">
        <v>1</v>
      </c>
      <c r="H248" s="51">
        <v>1</v>
      </c>
      <c r="I248" s="51">
        <v>2</v>
      </c>
      <c r="M248">
        <f t="shared" si="3"/>
        <v>0</v>
      </c>
    </row>
    <row r="249" spans="1:13">
      <c r="A249" s="51" t="s">
        <v>611</v>
      </c>
      <c r="B249" s="51" t="s">
        <v>925</v>
      </c>
      <c r="C249" s="51">
        <v>1</v>
      </c>
      <c r="D249" s="51">
        <v>1</v>
      </c>
      <c r="E249" s="51">
        <v>1</v>
      </c>
      <c r="F249" s="51">
        <v>1</v>
      </c>
      <c r="G249" s="51">
        <v>1</v>
      </c>
      <c r="H249" s="51">
        <v>1</v>
      </c>
      <c r="I249" s="51">
        <v>2</v>
      </c>
      <c r="M249">
        <f t="shared" si="3"/>
        <v>1</v>
      </c>
    </row>
    <row r="250" spans="1:13">
      <c r="A250" s="51" t="s">
        <v>613</v>
      </c>
      <c r="B250" s="51" t="s">
        <v>926</v>
      </c>
      <c r="C250" s="51">
        <v>1</v>
      </c>
      <c r="D250" s="51">
        <v>1</v>
      </c>
      <c r="E250" s="51">
        <v>1</v>
      </c>
      <c r="F250" s="51">
        <v>1</v>
      </c>
      <c r="G250" s="51">
        <v>1</v>
      </c>
      <c r="H250" s="51">
        <v>1</v>
      </c>
      <c r="I250" s="51">
        <v>2</v>
      </c>
      <c r="M250">
        <f t="shared" si="3"/>
        <v>1</v>
      </c>
    </row>
    <row r="251" spans="1:13">
      <c r="A251" s="51" t="s">
        <v>615</v>
      </c>
      <c r="B251" s="51" t="s">
        <v>927</v>
      </c>
      <c r="C251" s="51">
        <v>1</v>
      </c>
      <c r="D251" s="51">
        <v>1</v>
      </c>
      <c r="E251" s="51">
        <v>1</v>
      </c>
      <c r="F251" s="51">
        <v>1</v>
      </c>
      <c r="G251" s="51">
        <v>1</v>
      </c>
      <c r="H251" s="51">
        <v>1</v>
      </c>
      <c r="I251" s="51">
        <v>2</v>
      </c>
      <c r="M251">
        <f t="shared" si="3"/>
        <v>1</v>
      </c>
    </row>
    <row r="252" spans="1:13">
      <c r="A252" s="51" t="s">
        <v>617</v>
      </c>
      <c r="B252" s="51" t="s">
        <v>928</v>
      </c>
      <c r="C252" s="51">
        <v>0</v>
      </c>
      <c r="D252" s="51">
        <v>0</v>
      </c>
      <c r="E252" s="51">
        <v>0</v>
      </c>
      <c r="F252" s="51">
        <v>0</v>
      </c>
      <c r="G252" s="51">
        <v>0</v>
      </c>
      <c r="H252" s="51">
        <v>0</v>
      </c>
      <c r="I252" s="51">
        <v>1</v>
      </c>
      <c r="M252">
        <f t="shared" si="3"/>
        <v>0</v>
      </c>
    </row>
    <row r="253" spans="1:13">
      <c r="A253" s="51" t="s">
        <v>617</v>
      </c>
      <c r="B253" s="51" t="s">
        <v>929</v>
      </c>
      <c r="C253" s="51">
        <v>0</v>
      </c>
      <c r="D253" s="51">
        <v>0</v>
      </c>
      <c r="E253" s="51">
        <v>0</v>
      </c>
      <c r="F253" s="51">
        <v>0</v>
      </c>
      <c r="G253" s="51">
        <v>0</v>
      </c>
      <c r="H253" s="51">
        <v>0</v>
      </c>
      <c r="I253" s="51">
        <v>1</v>
      </c>
      <c r="M253">
        <f t="shared" si="3"/>
        <v>1</v>
      </c>
    </row>
    <row r="254" spans="1:13">
      <c r="A254" s="51" t="s">
        <v>619</v>
      </c>
      <c r="B254" s="51" t="s">
        <v>930</v>
      </c>
      <c r="C254" s="51">
        <v>0</v>
      </c>
      <c r="D254" s="51">
        <v>1</v>
      </c>
      <c r="E254" s="51">
        <v>0</v>
      </c>
      <c r="F254" s="51">
        <v>1</v>
      </c>
      <c r="G254" s="51">
        <v>1</v>
      </c>
      <c r="H254" s="51">
        <v>1</v>
      </c>
      <c r="I254" s="51">
        <v>2</v>
      </c>
      <c r="M254">
        <f t="shared" si="3"/>
        <v>1</v>
      </c>
    </row>
    <row r="255" spans="1:13">
      <c r="A255" s="51" t="s">
        <v>621</v>
      </c>
      <c r="B255" s="51" t="s">
        <v>931</v>
      </c>
      <c r="C255" s="51">
        <v>1</v>
      </c>
      <c r="D255" s="51">
        <v>1</v>
      </c>
      <c r="E255" s="51">
        <v>1</v>
      </c>
      <c r="F255" s="51">
        <v>1</v>
      </c>
      <c r="G255" s="51">
        <v>1</v>
      </c>
      <c r="H255" s="51">
        <v>1</v>
      </c>
      <c r="I255" s="51">
        <v>2</v>
      </c>
      <c r="M255">
        <f t="shared" si="3"/>
        <v>1</v>
      </c>
    </row>
    <row r="256" spans="1:13">
      <c r="A256" s="51" t="s">
        <v>623</v>
      </c>
      <c r="B256" s="51" t="s">
        <v>932</v>
      </c>
      <c r="C256" s="51">
        <v>1</v>
      </c>
      <c r="D256" s="51">
        <v>1</v>
      </c>
      <c r="E256" s="51">
        <v>1</v>
      </c>
      <c r="F256" s="51">
        <v>1</v>
      </c>
      <c r="G256" s="51">
        <v>1</v>
      </c>
      <c r="H256" s="51">
        <v>1</v>
      </c>
      <c r="I256" s="51">
        <v>2</v>
      </c>
      <c r="M256">
        <f t="shared" si="3"/>
        <v>1</v>
      </c>
    </row>
    <row r="257" spans="1:13">
      <c r="A257" s="51" t="s">
        <v>625</v>
      </c>
      <c r="B257" s="51" t="s">
        <v>933</v>
      </c>
      <c r="C257" s="51">
        <v>1</v>
      </c>
      <c r="D257" s="51">
        <v>1</v>
      </c>
      <c r="E257" s="51">
        <v>1</v>
      </c>
      <c r="F257" s="51">
        <v>1</v>
      </c>
      <c r="G257" s="51">
        <v>1</v>
      </c>
      <c r="H257" s="51">
        <v>1</v>
      </c>
      <c r="I257" s="51">
        <v>2</v>
      </c>
      <c r="M257">
        <f t="shared" ref="M257:M285" si="4">IF(A258=A257, 0, 1)</f>
        <v>1</v>
      </c>
    </row>
    <row r="258" spans="1:13">
      <c r="A258" s="51" t="s">
        <v>627</v>
      </c>
      <c r="B258" s="51" t="s">
        <v>934</v>
      </c>
      <c r="C258" s="51">
        <v>1</v>
      </c>
      <c r="D258" s="51">
        <v>1</v>
      </c>
      <c r="E258" s="51">
        <v>1</v>
      </c>
      <c r="F258" s="51">
        <v>1</v>
      </c>
      <c r="G258" s="51">
        <v>1</v>
      </c>
      <c r="H258" s="51">
        <v>1</v>
      </c>
      <c r="I258" s="51">
        <v>2</v>
      </c>
      <c r="M258">
        <f t="shared" si="4"/>
        <v>0</v>
      </c>
    </row>
    <row r="259" spans="1:13">
      <c r="A259" s="51" t="s">
        <v>627</v>
      </c>
      <c r="B259" s="51" t="s">
        <v>935</v>
      </c>
      <c r="C259" s="51">
        <v>1</v>
      </c>
      <c r="D259" s="51">
        <v>1</v>
      </c>
      <c r="E259" s="51">
        <v>1</v>
      </c>
      <c r="F259" s="51">
        <v>1</v>
      </c>
      <c r="G259" s="51">
        <v>1</v>
      </c>
      <c r="H259" s="51">
        <v>1</v>
      </c>
      <c r="I259" s="51">
        <v>2</v>
      </c>
      <c r="M259">
        <f t="shared" si="4"/>
        <v>1</v>
      </c>
    </row>
    <row r="260" spans="1:13">
      <c r="A260" s="51" t="s">
        <v>629</v>
      </c>
      <c r="B260" s="51" t="s">
        <v>936</v>
      </c>
      <c r="C260" s="51">
        <v>1</v>
      </c>
      <c r="D260" s="51">
        <v>1</v>
      </c>
      <c r="E260" s="51">
        <v>1</v>
      </c>
      <c r="F260" s="51">
        <v>1</v>
      </c>
      <c r="G260" s="51">
        <v>1</v>
      </c>
      <c r="H260" s="51">
        <v>1</v>
      </c>
      <c r="I260" s="51">
        <v>2</v>
      </c>
      <c r="M260">
        <f t="shared" si="4"/>
        <v>1</v>
      </c>
    </row>
    <row r="261" spans="1:13">
      <c r="A261" s="51" t="s">
        <v>631</v>
      </c>
      <c r="B261" s="51" t="s">
        <v>937</v>
      </c>
      <c r="C261" s="51">
        <v>1</v>
      </c>
      <c r="D261" s="51">
        <v>1</v>
      </c>
      <c r="E261" s="51">
        <v>1</v>
      </c>
      <c r="F261" s="51">
        <v>1</v>
      </c>
      <c r="G261" s="51">
        <v>1</v>
      </c>
      <c r="H261" s="51">
        <v>1</v>
      </c>
      <c r="I261" s="51">
        <v>2</v>
      </c>
      <c r="M261">
        <f t="shared" si="4"/>
        <v>1</v>
      </c>
    </row>
    <row r="262" spans="1:13">
      <c r="A262" s="51" t="s">
        <v>633</v>
      </c>
      <c r="B262" s="51" t="s">
        <v>938</v>
      </c>
      <c r="C262" s="51">
        <v>1</v>
      </c>
      <c r="D262" s="51">
        <v>1</v>
      </c>
      <c r="E262" s="51">
        <v>1</v>
      </c>
      <c r="F262" s="51">
        <v>1</v>
      </c>
      <c r="G262" s="51">
        <v>1</v>
      </c>
      <c r="H262" s="51">
        <v>1</v>
      </c>
      <c r="I262" s="51">
        <v>2</v>
      </c>
      <c r="M262">
        <f t="shared" si="4"/>
        <v>0</v>
      </c>
    </row>
    <row r="263" spans="1:13">
      <c r="A263" s="51" t="s">
        <v>633</v>
      </c>
      <c r="B263" s="51" t="s">
        <v>939</v>
      </c>
      <c r="C263" s="51">
        <v>1</v>
      </c>
      <c r="D263" s="51">
        <v>1</v>
      </c>
      <c r="E263" s="51">
        <v>1</v>
      </c>
      <c r="F263" s="51">
        <v>1</v>
      </c>
      <c r="G263" s="51">
        <v>1</v>
      </c>
      <c r="H263" s="51">
        <v>1</v>
      </c>
      <c r="I263" s="51">
        <v>2</v>
      </c>
      <c r="M263">
        <f t="shared" si="4"/>
        <v>1</v>
      </c>
    </row>
    <row r="264" spans="1:13">
      <c r="A264" s="51" t="s">
        <v>635</v>
      </c>
      <c r="B264" s="51" t="s">
        <v>940</v>
      </c>
      <c r="C264" s="51">
        <v>1</v>
      </c>
      <c r="D264" s="51">
        <v>1</v>
      </c>
      <c r="E264" s="51">
        <v>1</v>
      </c>
      <c r="F264" s="51">
        <v>1</v>
      </c>
      <c r="G264" s="51">
        <v>1</v>
      </c>
      <c r="H264" s="51">
        <v>1</v>
      </c>
      <c r="I264" s="51">
        <v>2</v>
      </c>
      <c r="M264">
        <f t="shared" si="4"/>
        <v>1</v>
      </c>
    </row>
    <row r="265" spans="1:13">
      <c r="A265" s="51" t="s">
        <v>637</v>
      </c>
      <c r="B265" s="51" t="s">
        <v>941</v>
      </c>
      <c r="C265" s="51">
        <v>1</v>
      </c>
      <c r="D265" s="51">
        <v>1</v>
      </c>
      <c r="E265" s="51">
        <v>1</v>
      </c>
      <c r="F265" s="51">
        <v>1</v>
      </c>
      <c r="G265" s="51">
        <v>1</v>
      </c>
      <c r="H265" s="51">
        <v>1</v>
      </c>
      <c r="I265" s="51">
        <v>2</v>
      </c>
      <c r="M265">
        <f t="shared" si="4"/>
        <v>1</v>
      </c>
    </row>
    <row r="266" spans="1:13">
      <c r="A266" s="51" t="s">
        <v>639</v>
      </c>
      <c r="B266" s="51" t="s">
        <v>942</v>
      </c>
      <c r="C266" s="51">
        <v>1</v>
      </c>
      <c r="D266" s="51">
        <v>1</v>
      </c>
      <c r="E266" s="51">
        <v>1</v>
      </c>
      <c r="F266" s="51">
        <v>1</v>
      </c>
      <c r="G266" s="51">
        <v>1</v>
      </c>
      <c r="H266" s="51">
        <v>1</v>
      </c>
      <c r="I266" s="51">
        <v>2</v>
      </c>
      <c r="M266">
        <f t="shared" si="4"/>
        <v>1</v>
      </c>
    </row>
    <row r="267" spans="1:13">
      <c r="A267" s="51" t="s">
        <v>641</v>
      </c>
      <c r="B267" s="51" t="s">
        <v>943</v>
      </c>
      <c r="C267" s="51">
        <v>1</v>
      </c>
      <c r="D267" s="51">
        <v>1</v>
      </c>
      <c r="E267" s="51">
        <v>1</v>
      </c>
      <c r="F267" s="51">
        <v>1</v>
      </c>
      <c r="G267" s="51">
        <v>1</v>
      </c>
      <c r="H267" s="51">
        <v>1</v>
      </c>
      <c r="I267" s="51">
        <v>2</v>
      </c>
      <c r="M267">
        <f t="shared" si="4"/>
        <v>1</v>
      </c>
    </row>
    <row r="268" spans="1:13">
      <c r="A268" s="51" t="s">
        <v>643</v>
      </c>
      <c r="B268" s="51" t="s">
        <v>944</v>
      </c>
      <c r="C268" s="51">
        <v>1</v>
      </c>
      <c r="D268" s="51">
        <v>1</v>
      </c>
      <c r="E268" s="51">
        <v>1</v>
      </c>
      <c r="F268" s="51">
        <v>1</v>
      </c>
      <c r="G268" s="51">
        <v>1</v>
      </c>
      <c r="H268" s="51">
        <v>1</v>
      </c>
      <c r="I268" s="51">
        <v>2</v>
      </c>
      <c r="M268">
        <f t="shared" si="4"/>
        <v>1</v>
      </c>
    </row>
    <row r="269" spans="1:13">
      <c r="A269" s="51" t="s">
        <v>645</v>
      </c>
      <c r="B269" s="51" t="s">
        <v>945</v>
      </c>
      <c r="C269" s="51">
        <v>1</v>
      </c>
      <c r="D269" s="51">
        <v>1</v>
      </c>
      <c r="E269" s="51">
        <v>1</v>
      </c>
      <c r="F269" s="51">
        <v>1</v>
      </c>
      <c r="G269" s="51">
        <v>1</v>
      </c>
      <c r="H269" s="51">
        <v>1</v>
      </c>
      <c r="I269" s="51">
        <v>2</v>
      </c>
      <c r="M269">
        <f t="shared" si="4"/>
        <v>1</v>
      </c>
    </row>
    <row r="270" spans="1:13">
      <c r="A270" s="51" t="s">
        <v>647</v>
      </c>
      <c r="B270" s="51" t="s">
        <v>946</v>
      </c>
      <c r="C270" s="51">
        <v>1</v>
      </c>
      <c r="D270" s="51">
        <v>1</v>
      </c>
      <c r="E270" s="51">
        <v>1</v>
      </c>
      <c r="F270" s="51">
        <v>1</v>
      </c>
      <c r="G270" s="51">
        <v>1</v>
      </c>
      <c r="H270" s="51">
        <v>1</v>
      </c>
      <c r="I270" s="51">
        <v>2</v>
      </c>
      <c r="M270">
        <f t="shared" si="4"/>
        <v>1</v>
      </c>
    </row>
    <row r="271" spans="1:13">
      <c r="A271" s="51" t="s">
        <v>649</v>
      </c>
      <c r="B271" s="51" t="s">
        <v>947</v>
      </c>
      <c r="C271" s="51">
        <v>1</v>
      </c>
      <c r="D271" s="51">
        <v>1</v>
      </c>
      <c r="E271" s="51">
        <v>1</v>
      </c>
      <c r="F271" s="51">
        <v>1</v>
      </c>
      <c r="G271" s="51">
        <v>1</v>
      </c>
      <c r="H271" s="51">
        <v>1</v>
      </c>
      <c r="I271" s="51">
        <v>2</v>
      </c>
      <c r="M271">
        <f t="shared" si="4"/>
        <v>1</v>
      </c>
    </row>
    <row r="272" spans="1:13">
      <c r="A272" s="51" t="s">
        <v>651</v>
      </c>
      <c r="B272" s="51" t="s">
        <v>948</v>
      </c>
      <c r="C272" s="51">
        <v>0</v>
      </c>
      <c r="D272" s="51">
        <v>0</v>
      </c>
      <c r="E272" s="51">
        <v>1</v>
      </c>
      <c r="F272" s="51">
        <v>1</v>
      </c>
      <c r="G272" s="51">
        <v>1</v>
      </c>
      <c r="H272" s="51">
        <v>1</v>
      </c>
      <c r="I272" s="51">
        <v>2</v>
      </c>
      <c r="M272">
        <f t="shared" si="4"/>
        <v>1</v>
      </c>
    </row>
    <row r="273" spans="1:13">
      <c r="A273" s="51" t="s">
        <v>653</v>
      </c>
      <c r="B273" s="51" t="s">
        <v>949</v>
      </c>
      <c r="C273" s="51">
        <v>1</v>
      </c>
      <c r="D273" s="51">
        <v>1</v>
      </c>
      <c r="E273" s="51">
        <v>1</v>
      </c>
      <c r="F273" s="51">
        <v>1</v>
      </c>
      <c r="G273" s="51">
        <v>1</v>
      </c>
      <c r="H273" s="51">
        <v>1</v>
      </c>
      <c r="I273" s="51">
        <v>2</v>
      </c>
      <c r="M273">
        <f t="shared" si="4"/>
        <v>1</v>
      </c>
    </row>
    <row r="274" spans="1:13">
      <c r="A274" s="51" t="s">
        <v>655</v>
      </c>
      <c r="B274" s="51" t="s">
        <v>950</v>
      </c>
      <c r="C274" s="51">
        <v>1</v>
      </c>
      <c r="D274" s="51">
        <v>1</v>
      </c>
      <c r="E274" s="51">
        <v>1</v>
      </c>
      <c r="F274" s="51">
        <v>1</v>
      </c>
      <c r="G274" s="51">
        <v>1</v>
      </c>
      <c r="H274" s="51">
        <v>1</v>
      </c>
      <c r="I274" s="51">
        <v>2</v>
      </c>
      <c r="M274">
        <f t="shared" si="4"/>
        <v>1</v>
      </c>
    </row>
    <row r="275" spans="1:13">
      <c r="A275" s="51" t="s">
        <v>657</v>
      </c>
      <c r="B275" s="51" t="s">
        <v>951</v>
      </c>
      <c r="C275" s="51">
        <v>1</v>
      </c>
      <c r="D275" s="51">
        <v>1</v>
      </c>
      <c r="E275" s="51">
        <v>1</v>
      </c>
      <c r="F275" s="51">
        <v>1</v>
      </c>
      <c r="G275" s="51">
        <v>1</v>
      </c>
      <c r="H275" s="51">
        <v>1</v>
      </c>
      <c r="I275" s="51">
        <v>2</v>
      </c>
      <c r="M275">
        <f t="shared" si="4"/>
        <v>1</v>
      </c>
    </row>
    <row r="276" spans="1:13">
      <c r="A276" s="51" t="s">
        <v>659</v>
      </c>
      <c r="B276" s="51" t="s">
        <v>952</v>
      </c>
      <c r="C276" s="51">
        <v>1</v>
      </c>
      <c r="D276" s="51">
        <v>1</v>
      </c>
      <c r="E276" s="51">
        <v>1</v>
      </c>
      <c r="F276" s="51">
        <v>1</v>
      </c>
      <c r="G276" s="51">
        <v>1</v>
      </c>
      <c r="H276" s="51">
        <v>1</v>
      </c>
      <c r="I276" s="51">
        <v>2</v>
      </c>
      <c r="M276">
        <f t="shared" si="4"/>
        <v>1</v>
      </c>
    </row>
    <row r="277" spans="1:13">
      <c r="A277" s="51" t="s">
        <v>661</v>
      </c>
      <c r="B277" s="51" t="s">
        <v>953</v>
      </c>
      <c r="C277" s="51">
        <v>1</v>
      </c>
      <c r="D277" s="51">
        <v>1</v>
      </c>
      <c r="E277" s="51">
        <v>1</v>
      </c>
      <c r="F277" s="51">
        <v>1</v>
      </c>
      <c r="G277" s="51">
        <v>1</v>
      </c>
      <c r="H277" s="51">
        <v>1</v>
      </c>
      <c r="I277" s="51">
        <v>2</v>
      </c>
      <c r="M277">
        <f t="shared" si="4"/>
        <v>1</v>
      </c>
    </row>
    <row r="278" spans="1:13">
      <c r="A278" s="51" t="s">
        <v>663</v>
      </c>
      <c r="B278" s="51" t="s">
        <v>954</v>
      </c>
      <c r="C278" s="51">
        <v>1</v>
      </c>
      <c r="D278" s="51">
        <v>1</v>
      </c>
      <c r="E278" s="51">
        <v>1</v>
      </c>
      <c r="F278" s="51">
        <v>1</v>
      </c>
      <c r="G278" s="51">
        <v>1</v>
      </c>
      <c r="H278" s="51">
        <v>1</v>
      </c>
      <c r="I278" s="51">
        <v>2</v>
      </c>
      <c r="M278">
        <f t="shared" si="4"/>
        <v>1</v>
      </c>
    </row>
    <row r="279" spans="1:13">
      <c r="A279" s="51" t="s">
        <v>665</v>
      </c>
      <c r="B279" s="51" t="s">
        <v>955</v>
      </c>
      <c r="C279" s="51">
        <v>1</v>
      </c>
      <c r="D279" s="51">
        <v>1</v>
      </c>
      <c r="E279" s="51">
        <v>1</v>
      </c>
      <c r="F279" s="51">
        <v>1</v>
      </c>
      <c r="G279" s="51">
        <v>1</v>
      </c>
      <c r="H279" s="51">
        <v>1</v>
      </c>
      <c r="I279" s="51">
        <v>2</v>
      </c>
      <c r="M279">
        <f t="shared" si="4"/>
        <v>0</v>
      </c>
    </row>
    <row r="280" spans="1:13">
      <c r="A280" s="51" t="s">
        <v>665</v>
      </c>
      <c r="B280" s="51" t="s">
        <v>956</v>
      </c>
      <c r="C280" s="51">
        <v>1</v>
      </c>
      <c r="D280" s="51">
        <v>1</v>
      </c>
      <c r="E280" s="51">
        <v>1</v>
      </c>
      <c r="F280" s="51">
        <v>1</v>
      </c>
      <c r="G280" s="51">
        <v>1</v>
      </c>
      <c r="H280" s="51">
        <v>1</v>
      </c>
      <c r="I280" s="51">
        <v>2</v>
      </c>
      <c r="M280">
        <f t="shared" si="4"/>
        <v>1</v>
      </c>
    </row>
    <row r="281" spans="1:13">
      <c r="A281" s="51" t="s">
        <v>667</v>
      </c>
      <c r="B281" s="51" t="s">
        <v>957</v>
      </c>
      <c r="C281" s="51">
        <v>1</v>
      </c>
      <c r="D281" s="51">
        <v>1</v>
      </c>
      <c r="E281" s="51">
        <v>1</v>
      </c>
      <c r="F281" s="51">
        <v>1</v>
      </c>
      <c r="G281" s="51">
        <v>1</v>
      </c>
      <c r="H281" s="51">
        <v>1</v>
      </c>
      <c r="I281" s="51">
        <v>2</v>
      </c>
      <c r="M281">
        <f t="shared" si="4"/>
        <v>1</v>
      </c>
    </row>
    <row r="282" spans="1:13">
      <c r="A282" s="51" t="s">
        <v>669</v>
      </c>
      <c r="B282" s="51" t="s">
        <v>958</v>
      </c>
      <c r="C282" s="51">
        <v>1</v>
      </c>
      <c r="D282" s="51">
        <v>1</v>
      </c>
      <c r="E282" s="51">
        <v>1</v>
      </c>
      <c r="F282" s="51">
        <v>1</v>
      </c>
      <c r="G282" s="51">
        <v>1</v>
      </c>
      <c r="H282" s="51">
        <v>1</v>
      </c>
      <c r="I282" s="51">
        <v>2</v>
      </c>
      <c r="M282">
        <f t="shared" si="4"/>
        <v>1</v>
      </c>
    </row>
    <row r="283" spans="1:13">
      <c r="A283" s="51" t="s">
        <v>671</v>
      </c>
      <c r="B283" s="51" t="s">
        <v>959</v>
      </c>
      <c r="C283" s="51">
        <v>1</v>
      </c>
      <c r="D283" s="51">
        <v>1</v>
      </c>
      <c r="E283" s="51">
        <v>1</v>
      </c>
      <c r="F283" s="51">
        <v>1</v>
      </c>
      <c r="G283" s="51">
        <v>1</v>
      </c>
      <c r="H283" s="51">
        <v>1</v>
      </c>
      <c r="I283" s="51">
        <v>2</v>
      </c>
      <c r="M283">
        <f t="shared" si="4"/>
        <v>1</v>
      </c>
    </row>
    <row r="284" spans="1:13">
      <c r="A284" s="51" t="s">
        <v>673</v>
      </c>
      <c r="B284" s="51" t="s">
        <v>960</v>
      </c>
      <c r="C284" s="51">
        <v>1</v>
      </c>
      <c r="D284" s="51">
        <v>1</v>
      </c>
      <c r="E284" s="51">
        <v>1</v>
      </c>
      <c r="F284" s="51">
        <v>1</v>
      </c>
      <c r="G284" s="51">
        <v>1</v>
      </c>
      <c r="H284" s="51">
        <v>1</v>
      </c>
      <c r="I284" s="51">
        <v>2</v>
      </c>
      <c r="M284">
        <f t="shared" si="4"/>
        <v>1</v>
      </c>
    </row>
    <row r="285" spans="1:13">
      <c r="A285" s="51" t="s">
        <v>675</v>
      </c>
      <c r="B285" s="51" t="s">
        <v>961</v>
      </c>
      <c r="C285" s="51">
        <v>1</v>
      </c>
      <c r="D285" s="51">
        <v>1</v>
      </c>
      <c r="E285" s="51">
        <v>1</v>
      </c>
      <c r="F285" s="51">
        <v>1</v>
      </c>
      <c r="G285" s="51">
        <v>1</v>
      </c>
      <c r="H285" s="51">
        <v>1</v>
      </c>
      <c r="I285" s="51">
        <v>2</v>
      </c>
      <c r="M285">
        <f t="shared" si="4"/>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4ADE-4A4C-455F-8D63-E71B243D9FBB}">
  <dimension ref="A1:M2"/>
  <sheetViews>
    <sheetView workbookViewId="0">
      <selection activeCell="M2" sqref="M2"/>
    </sheetView>
  </sheetViews>
  <sheetFormatPr baseColWidth="10" defaultColWidth="8.83203125" defaultRowHeight="15"/>
  <cols>
    <col min="2" max="2" width="30.83203125" customWidth="1"/>
  </cols>
  <sheetData>
    <row r="1" spans="1:13">
      <c r="A1" s="51" t="s">
        <v>577</v>
      </c>
      <c r="B1" s="51" t="s">
        <v>898</v>
      </c>
      <c r="C1" s="51">
        <v>0</v>
      </c>
      <c r="D1" s="51">
        <v>0</v>
      </c>
      <c r="E1" s="51">
        <v>0</v>
      </c>
      <c r="F1" s="51">
        <v>0</v>
      </c>
      <c r="G1" s="51">
        <v>0</v>
      </c>
      <c r="H1" s="51">
        <v>0</v>
      </c>
      <c r="I1" s="51">
        <v>1</v>
      </c>
      <c r="M1">
        <f>IF(A2=A1, 0, 1)</f>
        <v>0</v>
      </c>
    </row>
    <row r="2" spans="1:13">
      <c r="A2" s="51" t="s">
        <v>577</v>
      </c>
      <c r="B2" s="51" t="s">
        <v>899</v>
      </c>
      <c r="C2" s="51">
        <v>0</v>
      </c>
      <c r="D2" s="51">
        <v>0</v>
      </c>
      <c r="E2" s="51">
        <v>0</v>
      </c>
      <c r="F2" s="51">
        <v>0</v>
      </c>
      <c r="G2" s="51">
        <v>0</v>
      </c>
      <c r="H2" s="51">
        <v>0</v>
      </c>
      <c r="I2" s="51">
        <v>1</v>
      </c>
      <c r="M2">
        <f>IF(A3=A2, 0, 1)</f>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67E85-49B9-44E9-93B3-44BAADC08273}">
  <dimension ref="A1:X285"/>
  <sheetViews>
    <sheetView topLeftCell="B1" workbookViewId="0">
      <selection activeCell="B114" sqref="B114"/>
    </sheetView>
  </sheetViews>
  <sheetFormatPr baseColWidth="10" defaultColWidth="8.83203125" defaultRowHeight="15"/>
  <cols>
    <col min="1" max="1" width="19.1640625" bestFit="1" customWidth="1"/>
  </cols>
  <sheetData>
    <row r="1" spans="1:12">
      <c r="A1" s="51" t="s">
        <v>183</v>
      </c>
      <c r="B1" s="51" t="s">
        <v>184</v>
      </c>
      <c r="C1" s="51">
        <v>1</v>
      </c>
      <c r="D1" s="51">
        <v>1</v>
      </c>
      <c r="E1" s="51">
        <v>1</v>
      </c>
      <c r="F1" s="51">
        <v>1</v>
      </c>
      <c r="G1" s="51">
        <v>1</v>
      </c>
      <c r="H1" s="51">
        <v>1</v>
      </c>
      <c r="I1" s="51">
        <v>2</v>
      </c>
      <c r="L1">
        <v>1</v>
      </c>
    </row>
    <row r="2" spans="1:12">
      <c r="A2" s="51" t="s">
        <v>686</v>
      </c>
      <c r="B2" s="51" t="s">
        <v>281</v>
      </c>
      <c r="C2" s="51">
        <v>1</v>
      </c>
      <c r="D2" s="51">
        <v>1</v>
      </c>
      <c r="E2" s="51">
        <v>1</v>
      </c>
      <c r="F2" s="51">
        <v>1</v>
      </c>
      <c r="G2" s="51">
        <v>1</v>
      </c>
      <c r="H2" s="51">
        <v>1</v>
      </c>
      <c r="I2" s="51">
        <v>2</v>
      </c>
      <c r="L2">
        <v>1</v>
      </c>
    </row>
    <row r="3" spans="1:12">
      <c r="A3" s="51" t="s">
        <v>687</v>
      </c>
      <c r="B3" s="51" t="s">
        <v>283</v>
      </c>
      <c r="C3" s="51">
        <v>0</v>
      </c>
      <c r="D3" s="51">
        <v>0</v>
      </c>
      <c r="E3" s="51">
        <v>0</v>
      </c>
      <c r="F3" s="51">
        <v>0</v>
      </c>
      <c r="G3" s="51">
        <v>0</v>
      </c>
      <c r="H3" s="51">
        <v>0</v>
      </c>
      <c r="I3" s="51">
        <v>1</v>
      </c>
      <c r="L3">
        <v>1</v>
      </c>
    </row>
    <row r="4" spans="1:12">
      <c r="A4" s="51" t="s">
        <v>688</v>
      </c>
      <c r="B4" s="51" t="s">
        <v>285</v>
      </c>
      <c r="C4" s="51">
        <v>1</v>
      </c>
      <c r="D4" s="51">
        <v>1</v>
      </c>
      <c r="E4" s="51">
        <v>1</v>
      </c>
      <c r="F4" s="51">
        <v>1</v>
      </c>
      <c r="G4" s="51">
        <v>1</v>
      </c>
      <c r="H4" s="51">
        <v>1</v>
      </c>
      <c r="I4" s="51">
        <v>2</v>
      </c>
      <c r="L4">
        <v>1</v>
      </c>
    </row>
    <row r="5" spans="1:12">
      <c r="A5" s="51" t="s">
        <v>185</v>
      </c>
      <c r="B5" s="51" t="s">
        <v>186</v>
      </c>
      <c r="C5" s="51">
        <v>1</v>
      </c>
      <c r="D5" s="51">
        <v>1</v>
      </c>
      <c r="E5" s="51">
        <v>1</v>
      </c>
      <c r="F5" s="51">
        <v>1</v>
      </c>
      <c r="G5" s="51">
        <v>1</v>
      </c>
      <c r="H5" s="51">
        <v>1</v>
      </c>
      <c r="I5" s="51">
        <v>2</v>
      </c>
      <c r="L5">
        <v>1</v>
      </c>
    </row>
    <row r="6" spans="1:12">
      <c r="A6" s="51" t="s">
        <v>689</v>
      </c>
      <c r="B6" s="51" t="s">
        <v>287</v>
      </c>
      <c r="C6" s="51">
        <v>1</v>
      </c>
      <c r="D6" s="51">
        <v>1</v>
      </c>
      <c r="E6" s="51">
        <v>1</v>
      </c>
      <c r="F6" s="51">
        <v>1</v>
      </c>
      <c r="G6" s="51">
        <v>1</v>
      </c>
      <c r="H6" s="51">
        <v>1</v>
      </c>
      <c r="I6" s="51">
        <v>2</v>
      </c>
      <c r="L6">
        <v>1</v>
      </c>
    </row>
    <row r="7" spans="1:12">
      <c r="A7" s="51" t="s">
        <v>690</v>
      </c>
      <c r="B7" s="51" t="s">
        <v>289</v>
      </c>
      <c r="C7" s="51">
        <v>1</v>
      </c>
      <c r="D7" s="51">
        <v>1</v>
      </c>
      <c r="E7" s="51">
        <v>1</v>
      </c>
      <c r="F7" s="51">
        <v>1</v>
      </c>
      <c r="G7" s="51">
        <v>1</v>
      </c>
      <c r="H7" s="51">
        <v>1</v>
      </c>
      <c r="I7" s="51">
        <v>2</v>
      </c>
      <c r="L7">
        <v>1</v>
      </c>
    </row>
    <row r="8" spans="1:12">
      <c r="A8" s="51" t="s">
        <v>691</v>
      </c>
      <c r="B8" s="51" t="s">
        <v>291</v>
      </c>
      <c r="C8" s="51">
        <v>1</v>
      </c>
      <c r="D8" s="51">
        <v>1</v>
      </c>
      <c r="E8" s="51">
        <v>1</v>
      </c>
      <c r="F8" s="51">
        <v>1</v>
      </c>
      <c r="G8" s="51">
        <v>1</v>
      </c>
      <c r="H8" s="51">
        <v>1</v>
      </c>
      <c r="I8" s="51">
        <v>2</v>
      </c>
      <c r="L8">
        <v>1</v>
      </c>
    </row>
    <row r="9" spans="1:12">
      <c r="A9" s="51" t="s">
        <v>692</v>
      </c>
      <c r="B9" s="51" t="s">
        <v>293</v>
      </c>
      <c r="C9" s="51">
        <v>1</v>
      </c>
      <c r="D9" s="51">
        <v>1</v>
      </c>
      <c r="E9" s="51">
        <v>1</v>
      </c>
      <c r="F9" s="51">
        <v>1</v>
      </c>
      <c r="G9" s="51">
        <v>1</v>
      </c>
      <c r="H9" s="51">
        <v>1</v>
      </c>
      <c r="I9" s="51">
        <v>2</v>
      </c>
      <c r="L9">
        <v>1</v>
      </c>
    </row>
    <row r="10" spans="1:12">
      <c r="A10" s="51" t="s">
        <v>693</v>
      </c>
      <c r="B10" s="51" t="s">
        <v>295</v>
      </c>
      <c r="C10" s="51">
        <v>1</v>
      </c>
      <c r="D10" s="51">
        <v>1</v>
      </c>
      <c r="E10" s="51">
        <v>1</v>
      </c>
      <c r="F10" s="51">
        <v>1</v>
      </c>
      <c r="G10" s="51">
        <v>1</v>
      </c>
      <c r="H10" s="51">
        <v>1</v>
      </c>
      <c r="I10" s="51">
        <v>2</v>
      </c>
      <c r="L10">
        <v>1</v>
      </c>
    </row>
    <row r="11" spans="1:12">
      <c r="A11" s="51" t="s">
        <v>694</v>
      </c>
      <c r="B11" s="51" t="s">
        <v>297</v>
      </c>
      <c r="C11" s="51">
        <v>1</v>
      </c>
      <c r="D11" s="51">
        <v>1</v>
      </c>
      <c r="E11" s="51">
        <v>1</v>
      </c>
      <c r="F11" s="51">
        <v>1</v>
      </c>
      <c r="G11" s="51">
        <v>1</v>
      </c>
      <c r="H11" s="51">
        <v>1</v>
      </c>
      <c r="I11" s="51">
        <v>2</v>
      </c>
      <c r="L11">
        <v>1</v>
      </c>
    </row>
    <row r="12" spans="1:12">
      <c r="A12" s="51" t="s">
        <v>696</v>
      </c>
      <c r="B12" s="51" t="s">
        <v>299</v>
      </c>
      <c r="C12" s="51">
        <v>1</v>
      </c>
      <c r="D12" s="51">
        <v>1</v>
      </c>
      <c r="E12" s="51">
        <v>1</v>
      </c>
      <c r="F12" s="51">
        <v>1</v>
      </c>
      <c r="G12" s="51">
        <v>1</v>
      </c>
      <c r="H12" s="51">
        <v>1</v>
      </c>
      <c r="I12" s="51">
        <v>2</v>
      </c>
      <c r="L12">
        <v>1</v>
      </c>
    </row>
    <row r="13" spans="1:12">
      <c r="A13" s="51" t="s">
        <v>697</v>
      </c>
      <c r="B13" s="51" t="s">
        <v>301</v>
      </c>
      <c r="C13" s="51">
        <v>0</v>
      </c>
      <c r="D13" s="51">
        <v>0</v>
      </c>
      <c r="E13" s="51">
        <v>0</v>
      </c>
      <c r="F13" s="51">
        <v>0</v>
      </c>
      <c r="G13" s="51">
        <v>0</v>
      </c>
      <c r="H13" s="51">
        <v>0</v>
      </c>
      <c r="I13" s="51">
        <v>1</v>
      </c>
      <c r="L13">
        <v>1</v>
      </c>
    </row>
    <row r="14" spans="1:12">
      <c r="A14" s="51" t="s">
        <v>698</v>
      </c>
      <c r="B14" s="51" t="s">
        <v>303</v>
      </c>
      <c r="C14" s="51">
        <v>1</v>
      </c>
      <c r="D14" s="51">
        <v>1</v>
      </c>
      <c r="E14" s="51">
        <v>1</v>
      </c>
      <c r="F14" s="51">
        <v>1</v>
      </c>
      <c r="G14" s="51">
        <v>1</v>
      </c>
      <c r="H14" s="51">
        <v>1</v>
      </c>
      <c r="I14" s="51">
        <v>2</v>
      </c>
      <c r="L14">
        <v>1</v>
      </c>
    </row>
    <row r="15" spans="1:12">
      <c r="A15" s="51" t="s">
        <v>700</v>
      </c>
      <c r="B15" s="51" t="s">
        <v>305</v>
      </c>
      <c r="C15" s="51">
        <v>1</v>
      </c>
      <c r="D15" s="51">
        <v>1</v>
      </c>
      <c r="E15" s="51">
        <v>1</v>
      </c>
      <c r="F15" s="51">
        <v>1</v>
      </c>
      <c r="G15" s="51">
        <v>1</v>
      </c>
      <c r="H15" s="51">
        <v>1</v>
      </c>
      <c r="I15" s="51">
        <v>2</v>
      </c>
      <c r="L15">
        <v>1</v>
      </c>
    </row>
    <row r="16" spans="1:12">
      <c r="A16" s="51" t="s">
        <v>701</v>
      </c>
      <c r="B16" s="51" t="s">
        <v>307</v>
      </c>
      <c r="C16" s="51">
        <v>1</v>
      </c>
      <c r="D16" s="51">
        <v>1</v>
      </c>
      <c r="E16" s="51">
        <v>1</v>
      </c>
      <c r="F16" s="51">
        <v>1</v>
      </c>
      <c r="G16" s="51">
        <v>1</v>
      </c>
      <c r="H16" s="51">
        <v>1</v>
      </c>
      <c r="I16" s="51">
        <v>2</v>
      </c>
      <c r="L16">
        <v>1</v>
      </c>
    </row>
    <row r="17" spans="1:12">
      <c r="A17" s="51" t="s">
        <v>704</v>
      </c>
      <c r="B17" s="51" t="s">
        <v>309</v>
      </c>
      <c r="C17" s="51">
        <v>1</v>
      </c>
      <c r="D17" s="51">
        <v>1</v>
      </c>
      <c r="E17" s="51">
        <v>1</v>
      </c>
      <c r="F17" s="51">
        <v>1</v>
      </c>
      <c r="G17" s="51">
        <v>1</v>
      </c>
      <c r="H17" s="51">
        <v>1</v>
      </c>
      <c r="I17" s="51">
        <v>2</v>
      </c>
      <c r="L17">
        <v>1</v>
      </c>
    </row>
    <row r="18" spans="1:12">
      <c r="A18" s="51" t="s">
        <v>706</v>
      </c>
      <c r="B18" s="51" t="s">
        <v>311</v>
      </c>
      <c r="C18" s="51">
        <v>1</v>
      </c>
      <c r="D18" s="51">
        <v>1</v>
      </c>
      <c r="E18" s="51">
        <v>1</v>
      </c>
      <c r="F18" s="51">
        <v>1</v>
      </c>
      <c r="G18" s="51">
        <v>1</v>
      </c>
      <c r="H18" s="51">
        <v>1</v>
      </c>
      <c r="I18" s="51">
        <v>2</v>
      </c>
      <c r="L18">
        <v>1</v>
      </c>
    </row>
    <row r="19" spans="1:12">
      <c r="A19" s="51" t="s">
        <v>707</v>
      </c>
      <c r="B19" s="51" t="s">
        <v>313</v>
      </c>
      <c r="C19" s="51">
        <v>1</v>
      </c>
      <c r="D19" s="51">
        <v>1</v>
      </c>
      <c r="E19" s="51">
        <v>1</v>
      </c>
      <c r="F19" s="51">
        <v>1</v>
      </c>
      <c r="G19" s="51">
        <v>1</v>
      </c>
      <c r="H19" s="51">
        <v>1</v>
      </c>
      <c r="I19" s="51">
        <v>2</v>
      </c>
      <c r="L19">
        <v>1</v>
      </c>
    </row>
    <row r="20" spans="1:12">
      <c r="A20" s="51" t="s">
        <v>708</v>
      </c>
      <c r="B20" s="51" t="s">
        <v>315</v>
      </c>
      <c r="C20" s="51">
        <v>1</v>
      </c>
      <c r="D20" s="51">
        <v>1</v>
      </c>
      <c r="E20" s="51">
        <v>1</v>
      </c>
      <c r="F20" s="51">
        <v>1</v>
      </c>
      <c r="G20" s="51">
        <v>1</v>
      </c>
      <c r="H20" s="51">
        <v>1</v>
      </c>
      <c r="I20" s="51">
        <v>2</v>
      </c>
      <c r="L20">
        <v>1</v>
      </c>
    </row>
    <row r="21" spans="1:12">
      <c r="A21" s="51" t="s">
        <v>709</v>
      </c>
      <c r="B21" s="51" t="s">
        <v>317</v>
      </c>
      <c r="C21" s="51">
        <v>1</v>
      </c>
      <c r="D21" s="51">
        <v>1</v>
      </c>
      <c r="E21" s="51">
        <v>1</v>
      </c>
      <c r="F21" s="51">
        <v>1</v>
      </c>
      <c r="G21" s="51">
        <v>1</v>
      </c>
      <c r="H21" s="51">
        <v>1</v>
      </c>
      <c r="I21" s="51">
        <v>2</v>
      </c>
      <c r="L21">
        <v>1</v>
      </c>
    </row>
    <row r="22" spans="1:12">
      <c r="A22" s="51" t="s">
        <v>710</v>
      </c>
      <c r="B22" s="51" t="s">
        <v>319</v>
      </c>
      <c r="C22" s="51">
        <v>0</v>
      </c>
      <c r="D22" s="51">
        <v>0</v>
      </c>
      <c r="E22" s="51">
        <v>0</v>
      </c>
      <c r="F22" s="51">
        <v>0</v>
      </c>
      <c r="G22" s="51">
        <v>0</v>
      </c>
      <c r="H22" s="51">
        <v>0</v>
      </c>
      <c r="I22" s="51">
        <v>1</v>
      </c>
      <c r="L22">
        <v>1</v>
      </c>
    </row>
    <row r="23" spans="1:12">
      <c r="A23" s="51" t="s">
        <v>187</v>
      </c>
      <c r="B23" s="51" t="s">
        <v>188</v>
      </c>
      <c r="C23" s="51">
        <v>1</v>
      </c>
      <c r="D23" s="51">
        <v>1</v>
      </c>
      <c r="E23" s="51">
        <v>1</v>
      </c>
      <c r="F23" s="51">
        <v>1</v>
      </c>
      <c r="G23" s="51">
        <v>1</v>
      </c>
      <c r="H23" s="51">
        <v>1</v>
      </c>
      <c r="I23" s="51">
        <v>2</v>
      </c>
      <c r="L23">
        <v>1</v>
      </c>
    </row>
    <row r="24" spans="1:12">
      <c r="A24" s="51" t="s">
        <v>713</v>
      </c>
      <c r="B24" s="51" t="s">
        <v>321</v>
      </c>
      <c r="C24" s="51">
        <v>1</v>
      </c>
      <c r="D24" s="51">
        <v>1</v>
      </c>
      <c r="E24" s="51">
        <v>1</v>
      </c>
      <c r="F24" s="51">
        <v>1</v>
      </c>
      <c r="G24" s="51">
        <v>1</v>
      </c>
      <c r="H24" s="51">
        <v>1</v>
      </c>
      <c r="I24" s="51">
        <v>2</v>
      </c>
      <c r="L24">
        <v>1</v>
      </c>
    </row>
    <row r="25" spans="1:12">
      <c r="A25" s="51" t="s">
        <v>714</v>
      </c>
      <c r="B25" s="51" t="s">
        <v>323</v>
      </c>
      <c r="C25" s="51">
        <v>1</v>
      </c>
      <c r="D25" s="51">
        <v>1</v>
      </c>
      <c r="E25" s="51">
        <v>1</v>
      </c>
      <c r="F25" s="51">
        <v>1</v>
      </c>
      <c r="G25" s="51">
        <v>1</v>
      </c>
      <c r="H25" s="51">
        <v>1</v>
      </c>
      <c r="I25" s="51">
        <v>2</v>
      </c>
      <c r="L25">
        <v>1</v>
      </c>
    </row>
    <row r="26" spans="1:12">
      <c r="A26" s="51" t="s">
        <v>715</v>
      </c>
      <c r="B26" s="51" t="s">
        <v>325</v>
      </c>
      <c r="C26" s="51">
        <v>1</v>
      </c>
      <c r="D26" s="51">
        <v>1</v>
      </c>
      <c r="E26" s="51">
        <v>1</v>
      </c>
      <c r="F26" s="51">
        <v>1</v>
      </c>
      <c r="G26" s="51">
        <v>1</v>
      </c>
      <c r="H26" s="51">
        <v>1</v>
      </c>
      <c r="I26" s="51">
        <v>2</v>
      </c>
      <c r="L26">
        <v>1</v>
      </c>
    </row>
    <row r="27" spans="1:12">
      <c r="A27" s="51" t="s">
        <v>716</v>
      </c>
      <c r="B27" s="51" t="s">
        <v>327</v>
      </c>
      <c r="C27" s="51">
        <v>1</v>
      </c>
      <c r="D27" s="51">
        <v>1</v>
      </c>
      <c r="E27" s="51">
        <v>1</v>
      </c>
      <c r="F27" s="51">
        <v>1</v>
      </c>
      <c r="G27" s="51">
        <v>1</v>
      </c>
      <c r="H27" s="51">
        <v>1</v>
      </c>
      <c r="I27" s="51">
        <v>2</v>
      </c>
      <c r="L27">
        <v>1</v>
      </c>
    </row>
    <row r="28" spans="1:12">
      <c r="A28" s="51" t="s">
        <v>717</v>
      </c>
      <c r="B28" s="51" t="s">
        <v>329</v>
      </c>
      <c r="C28" s="51">
        <v>1</v>
      </c>
      <c r="D28" s="51">
        <v>1</v>
      </c>
      <c r="E28" s="51">
        <v>1</v>
      </c>
      <c r="F28" s="51">
        <v>1</v>
      </c>
      <c r="G28" s="51">
        <v>1</v>
      </c>
      <c r="H28" s="51">
        <v>1</v>
      </c>
      <c r="I28" s="51">
        <v>2</v>
      </c>
      <c r="L28">
        <v>1</v>
      </c>
    </row>
    <row r="29" spans="1:12">
      <c r="A29" s="51" t="s">
        <v>718</v>
      </c>
      <c r="B29" s="51" t="s">
        <v>331</v>
      </c>
      <c r="C29" s="51">
        <v>1</v>
      </c>
      <c r="D29" s="51">
        <v>1</v>
      </c>
      <c r="E29" s="51">
        <v>1</v>
      </c>
      <c r="F29" s="51">
        <v>1</v>
      </c>
      <c r="G29" s="51">
        <v>1</v>
      </c>
      <c r="H29" s="51">
        <v>1</v>
      </c>
      <c r="I29" s="51">
        <v>2</v>
      </c>
      <c r="L29">
        <v>1</v>
      </c>
    </row>
    <row r="30" spans="1:12">
      <c r="A30" s="51" t="s">
        <v>189</v>
      </c>
      <c r="B30" s="51" t="s">
        <v>190</v>
      </c>
      <c r="C30" s="51">
        <v>1</v>
      </c>
      <c r="D30" s="51">
        <v>1</v>
      </c>
      <c r="E30" s="51">
        <v>1</v>
      </c>
      <c r="F30" s="51">
        <v>1</v>
      </c>
      <c r="G30" s="51">
        <v>1</v>
      </c>
      <c r="H30" s="51">
        <v>1</v>
      </c>
      <c r="I30" s="51">
        <v>2</v>
      </c>
      <c r="L30">
        <v>1</v>
      </c>
    </row>
    <row r="31" spans="1:12">
      <c r="A31" s="51" t="s">
        <v>720</v>
      </c>
      <c r="B31" s="51" t="s">
        <v>333</v>
      </c>
      <c r="C31" s="51">
        <v>1</v>
      </c>
      <c r="D31" s="51">
        <v>1</v>
      </c>
      <c r="E31" s="51">
        <v>1</v>
      </c>
      <c r="F31" s="51">
        <v>1</v>
      </c>
      <c r="G31" s="51">
        <v>1</v>
      </c>
      <c r="H31" s="51">
        <v>1</v>
      </c>
      <c r="I31" s="51">
        <v>2</v>
      </c>
      <c r="L31">
        <v>1</v>
      </c>
    </row>
    <row r="32" spans="1:12">
      <c r="A32" s="51" t="s">
        <v>722</v>
      </c>
      <c r="B32" s="51" t="s">
        <v>335</v>
      </c>
      <c r="C32" s="51">
        <v>1</v>
      </c>
      <c r="D32" s="51">
        <v>1</v>
      </c>
      <c r="E32" s="51">
        <v>1</v>
      </c>
      <c r="F32" s="51">
        <v>1</v>
      </c>
      <c r="G32" s="51">
        <v>1</v>
      </c>
      <c r="H32" s="51">
        <v>1</v>
      </c>
      <c r="I32" s="51">
        <v>2</v>
      </c>
      <c r="L32">
        <v>1</v>
      </c>
    </row>
    <row r="33" spans="1:12">
      <c r="A33" s="51" t="s">
        <v>723</v>
      </c>
      <c r="B33" s="51" t="s">
        <v>337</v>
      </c>
      <c r="C33" s="51">
        <v>1</v>
      </c>
      <c r="D33" s="51">
        <v>1</v>
      </c>
      <c r="E33" s="51">
        <v>1</v>
      </c>
      <c r="F33" s="51">
        <v>1</v>
      </c>
      <c r="G33" s="51">
        <v>1</v>
      </c>
      <c r="H33" s="51">
        <v>1</v>
      </c>
      <c r="I33" s="51">
        <v>2</v>
      </c>
      <c r="L33">
        <v>1</v>
      </c>
    </row>
    <row r="34" spans="1:12">
      <c r="A34" s="51" t="s">
        <v>724</v>
      </c>
      <c r="B34" s="51" t="s">
        <v>339</v>
      </c>
      <c r="C34" s="51">
        <v>1</v>
      </c>
      <c r="D34" s="51">
        <v>1</v>
      </c>
      <c r="E34" s="51">
        <v>1</v>
      </c>
      <c r="F34" s="51">
        <v>1</v>
      </c>
      <c r="G34" s="51">
        <v>1</v>
      </c>
      <c r="H34" s="51">
        <v>1</v>
      </c>
      <c r="I34" s="51">
        <v>2</v>
      </c>
      <c r="L34">
        <v>1</v>
      </c>
    </row>
    <row r="35" spans="1:12">
      <c r="A35" s="51" t="s">
        <v>725</v>
      </c>
      <c r="B35" s="51" t="s">
        <v>341</v>
      </c>
      <c r="C35" s="51">
        <v>1</v>
      </c>
      <c r="D35" s="51">
        <v>1</v>
      </c>
      <c r="E35" s="51">
        <v>1</v>
      </c>
      <c r="F35" s="51">
        <v>1</v>
      </c>
      <c r="G35" s="51">
        <v>1</v>
      </c>
      <c r="H35" s="51">
        <v>1</v>
      </c>
      <c r="I35" s="51">
        <v>2</v>
      </c>
      <c r="L35">
        <v>1</v>
      </c>
    </row>
    <row r="36" spans="1:12">
      <c r="A36" s="51" t="s">
        <v>726</v>
      </c>
      <c r="B36" s="51" t="s">
        <v>343</v>
      </c>
      <c r="C36" s="51">
        <v>1</v>
      </c>
      <c r="D36" s="51">
        <v>1</v>
      </c>
      <c r="E36" s="51">
        <v>1</v>
      </c>
      <c r="F36" s="51">
        <v>1</v>
      </c>
      <c r="G36" s="51">
        <v>1</v>
      </c>
      <c r="H36" s="51">
        <v>1</v>
      </c>
      <c r="I36" s="51">
        <v>2</v>
      </c>
      <c r="L36">
        <v>1</v>
      </c>
    </row>
    <row r="37" spans="1:12">
      <c r="A37" s="51" t="s">
        <v>191</v>
      </c>
      <c r="B37" s="51" t="s">
        <v>192</v>
      </c>
      <c r="C37" s="51">
        <v>1</v>
      </c>
      <c r="D37" s="51">
        <v>1</v>
      </c>
      <c r="E37" s="51">
        <v>1</v>
      </c>
      <c r="F37" s="51">
        <v>1</v>
      </c>
      <c r="G37" s="51">
        <v>1</v>
      </c>
      <c r="H37" s="51">
        <v>1</v>
      </c>
      <c r="I37" s="51">
        <v>2</v>
      </c>
      <c r="L37">
        <v>1</v>
      </c>
    </row>
    <row r="38" spans="1:12">
      <c r="A38" s="51" t="s">
        <v>728</v>
      </c>
      <c r="B38" s="51" t="s">
        <v>345</v>
      </c>
      <c r="C38" s="51">
        <v>1</v>
      </c>
      <c r="D38" s="51">
        <v>1</v>
      </c>
      <c r="E38" s="51">
        <v>1</v>
      </c>
      <c r="F38" s="51">
        <v>1</v>
      </c>
      <c r="G38" s="51">
        <v>1</v>
      </c>
      <c r="H38" s="51">
        <v>1</v>
      </c>
      <c r="I38" s="51">
        <v>2</v>
      </c>
      <c r="L38">
        <v>1</v>
      </c>
    </row>
    <row r="39" spans="1:12">
      <c r="A39" s="51" t="s">
        <v>729</v>
      </c>
      <c r="B39" s="51" t="s">
        <v>347</v>
      </c>
      <c r="C39" s="51">
        <v>1</v>
      </c>
      <c r="D39" s="51">
        <v>1</v>
      </c>
      <c r="E39" s="51">
        <v>1</v>
      </c>
      <c r="F39" s="51">
        <v>1</v>
      </c>
      <c r="G39" s="51">
        <v>1</v>
      </c>
      <c r="H39" s="51">
        <v>1</v>
      </c>
      <c r="I39" s="51">
        <v>2</v>
      </c>
      <c r="L39">
        <v>1</v>
      </c>
    </row>
    <row r="40" spans="1:12">
      <c r="A40" s="51" t="s">
        <v>731</v>
      </c>
      <c r="B40" s="51" t="s">
        <v>349</v>
      </c>
      <c r="C40" s="51">
        <v>1</v>
      </c>
      <c r="D40" s="51">
        <v>1</v>
      </c>
      <c r="E40" s="51">
        <v>1</v>
      </c>
      <c r="F40" s="51">
        <v>1</v>
      </c>
      <c r="G40" s="51">
        <v>1</v>
      </c>
      <c r="H40" s="51">
        <v>1</v>
      </c>
      <c r="I40" s="51">
        <v>2</v>
      </c>
      <c r="L40">
        <v>1</v>
      </c>
    </row>
    <row r="41" spans="1:12">
      <c r="A41" s="51" t="s">
        <v>732</v>
      </c>
      <c r="B41" s="51" t="s">
        <v>351</v>
      </c>
      <c r="C41" s="51">
        <v>1</v>
      </c>
      <c r="D41" s="51">
        <v>1</v>
      </c>
      <c r="E41" s="51">
        <v>1</v>
      </c>
      <c r="F41" s="51">
        <v>1</v>
      </c>
      <c r="G41" s="51">
        <v>1</v>
      </c>
      <c r="H41" s="51">
        <v>1</v>
      </c>
      <c r="I41" s="51">
        <v>2</v>
      </c>
      <c r="L41">
        <v>1</v>
      </c>
    </row>
    <row r="42" spans="1:12">
      <c r="A42" s="51" t="s">
        <v>733</v>
      </c>
      <c r="B42" s="51" t="s">
        <v>353</v>
      </c>
      <c r="C42" s="51">
        <v>1</v>
      </c>
      <c r="D42" s="51">
        <v>1</v>
      </c>
      <c r="E42" s="51">
        <v>1</v>
      </c>
      <c r="F42" s="51">
        <v>1</v>
      </c>
      <c r="G42" s="51">
        <v>1</v>
      </c>
      <c r="H42" s="51">
        <v>1</v>
      </c>
      <c r="I42" s="51">
        <v>2</v>
      </c>
      <c r="L42">
        <v>1</v>
      </c>
    </row>
    <row r="43" spans="1:12">
      <c r="A43" s="51" t="s">
        <v>734</v>
      </c>
      <c r="B43" s="51" t="s">
        <v>355</v>
      </c>
      <c r="C43" s="51">
        <v>1</v>
      </c>
      <c r="D43" s="51">
        <v>1</v>
      </c>
      <c r="E43" s="51">
        <v>1</v>
      </c>
      <c r="F43" s="51">
        <v>1</v>
      </c>
      <c r="G43" s="51">
        <v>1</v>
      </c>
      <c r="H43" s="51">
        <v>1</v>
      </c>
      <c r="I43" s="51">
        <v>2</v>
      </c>
      <c r="L43">
        <v>1</v>
      </c>
    </row>
    <row r="44" spans="1:12">
      <c r="A44" s="51" t="s">
        <v>735</v>
      </c>
      <c r="B44" s="51" t="s">
        <v>357</v>
      </c>
      <c r="C44" s="51">
        <v>1</v>
      </c>
      <c r="D44" s="51">
        <v>1</v>
      </c>
      <c r="E44" s="51">
        <v>1</v>
      </c>
      <c r="F44" s="51">
        <v>1</v>
      </c>
      <c r="G44" s="51">
        <v>1</v>
      </c>
      <c r="H44" s="51">
        <v>1</v>
      </c>
      <c r="I44" s="51">
        <v>2</v>
      </c>
      <c r="L44">
        <v>1</v>
      </c>
    </row>
    <row r="45" spans="1:12">
      <c r="A45" s="51" t="s">
        <v>737</v>
      </c>
      <c r="B45" s="51" t="s">
        <v>359</v>
      </c>
      <c r="C45" s="51">
        <v>1</v>
      </c>
      <c r="D45" s="51">
        <v>1</v>
      </c>
      <c r="E45" s="51">
        <v>1</v>
      </c>
      <c r="F45" s="51">
        <v>1</v>
      </c>
      <c r="G45" s="51">
        <v>1</v>
      </c>
      <c r="H45" s="51">
        <v>1</v>
      </c>
      <c r="I45" s="51">
        <v>2</v>
      </c>
      <c r="L45">
        <v>1</v>
      </c>
    </row>
    <row r="46" spans="1:12">
      <c r="A46" s="51" t="s">
        <v>738</v>
      </c>
      <c r="B46" s="51" t="s">
        <v>361</v>
      </c>
      <c r="C46" s="51">
        <v>1</v>
      </c>
      <c r="D46" s="51">
        <v>1</v>
      </c>
      <c r="E46" s="51">
        <v>1</v>
      </c>
      <c r="F46" s="51">
        <v>1</v>
      </c>
      <c r="G46" s="51">
        <v>1</v>
      </c>
      <c r="H46" s="51">
        <v>1</v>
      </c>
      <c r="I46" s="51">
        <v>2</v>
      </c>
      <c r="L46">
        <v>1</v>
      </c>
    </row>
    <row r="47" spans="1:12">
      <c r="A47" s="51" t="s">
        <v>739</v>
      </c>
      <c r="B47" s="51" t="s">
        <v>363</v>
      </c>
      <c r="C47" s="51">
        <v>1</v>
      </c>
      <c r="D47" s="51">
        <v>1</v>
      </c>
      <c r="E47" s="51">
        <v>1</v>
      </c>
      <c r="F47" s="51">
        <v>1</v>
      </c>
      <c r="G47" s="51">
        <v>1</v>
      </c>
      <c r="H47" s="51">
        <v>1</v>
      </c>
      <c r="I47" s="51">
        <v>2</v>
      </c>
      <c r="L47">
        <v>1</v>
      </c>
    </row>
    <row r="48" spans="1:12">
      <c r="A48" s="51" t="s">
        <v>740</v>
      </c>
      <c r="B48" s="51" t="s">
        <v>365</v>
      </c>
      <c r="C48" s="51">
        <v>1</v>
      </c>
      <c r="D48" s="51">
        <v>1</v>
      </c>
      <c r="E48" s="51">
        <v>1</v>
      </c>
      <c r="F48" s="51">
        <v>1</v>
      </c>
      <c r="G48" s="51">
        <v>1</v>
      </c>
      <c r="H48" s="51">
        <v>1</v>
      </c>
      <c r="I48" s="51">
        <v>2</v>
      </c>
      <c r="L48">
        <v>1</v>
      </c>
    </row>
    <row r="49" spans="1:12">
      <c r="A49" s="51" t="s">
        <v>741</v>
      </c>
      <c r="B49" s="51" t="s">
        <v>367</v>
      </c>
      <c r="C49" s="51">
        <v>1</v>
      </c>
      <c r="D49" s="51">
        <v>1</v>
      </c>
      <c r="E49" s="51">
        <v>1</v>
      </c>
      <c r="F49" s="51">
        <v>1</v>
      </c>
      <c r="G49" s="51">
        <v>1</v>
      </c>
      <c r="H49" s="51">
        <v>1</v>
      </c>
      <c r="I49" s="51">
        <v>2</v>
      </c>
      <c r="L49">
        <v>1</v>
      </c>
    </row>
    <row r="50" spans="1:12">
      <c r="A50" s="51" t="s">
        <v>742</v>
      </c>
      <c r="B50" s="51" t="s">
        <v>369</v>
      </c>
      <c r="C50" s="51">
        <v>1</v>
      </c>
      <c r="D50" s="51">
        <v>1</v>
      </c>
      <c r="E50" s="51">
        <v>1</v>
      </c>
      <c r="F50" s="51">
        <v>1</v>
      </c>
      <c r="G50" s="51">
        <v>1</v>
      </c>
      <c r="H50" s="51">
        <v>1</v>
      </c>
      <c r="I50" s="51">
        <v>2</v>
      </c>
      <c r="L50">
        <v>1</v>
      </c>
    </row>
    <row r="51" spans="1:12">
      <c r="A51" s="51" t="s">
        <v>743</v>
      </c>
      <c r="B51" s="51" t="s">
        <v>371</v>
      </c>
      <c r="C51" s="51">
        <v>1</v>
      </c>
      <c r="D51" s="51">
        <v>1</v>
      </c>
      <c r="E51" s="51">
        <v>1</v>
      </c>
      <c r="F51" s="51">
        <v>1</v>
      </c>
      <c r="G51" s="51">
        <v>1</v>
      </c>
      <c r="H51" s="51">
        <v>1</v>
      </c>
      <c r="I51" s="51">
        <v>2</v>
      </c>
      <c r="L51">
        <v>1</v>
      </c>
    </row>
    <row r="52" spans="1:12">
      <c r="A52" s="51" t="s">
        <v>744</v>
      </c>
      <c r="B52" s="51" t="s">
        <v>373</v>
      </c>
      <c r="C52" s="51">
        <v>1</v>
      </c>
      <c r="D52" s="51">
        <v>1</v>
      </c>
      <c r="E52" s="51">
        <v>1</v>
      </c>
      <c r="F52" s="51">
        <v>1</v>
      </c>
      <c r="G52" s="51">
        <v>1</v>
      </c>
      <c r="H52" s="51">
        <v>1</v>
      </c>
      <c r="I52" s="51">
        <v>2</v>
      </c>
      <c r="L52">
        <v>1</v>
      </c>
    </row>
    <row r="53" spans="1:12">
      <c r="A53" s="51" t="s">
        <v>745</v>
      </c>
      <c r="B53" s="51" t="s">
        <v>375</v>
      </c>
      <c r="C53" s="51">
        <v>1</v>
      </c>
      <c r="D53" s="51">
        <v>1</v>
      </c>
      <c r="E53" s="51">
        <v>1</v>
      </c>
      <c r="F53" s="51">
        <v>1</v>
      </c>
      <c r="G53" s="51">
        <v>1</v>
      </c>
      <c r="H53" s="51">
        <v>1</v>
      </c>
      <c r="I53" s="51">
        <v>2</v>
      </c>
      <c r="L53">
        <v>1</v>
      </c>
    </row>
    <row r="54" spans="1:12">
      <c r="A54" s="51" t="s">
        <v>746</v>
      </c>
      <c r="B54" s="51" t="s">
        <v>377</v>
      </c>
      <c r="C54" s="51">
        <v>1</v>
      </c>
      <c r="D54" s="51">
        <v>1</v>
      </c>
      <c r="E54" s="51">
        <v>1</v>
      </c>
      <c r="F54" s="51">
        <v>1</v>
      </c>
      <c r="G54" s="51">
        <v>1</v>
      </c>
      <c r="H54" s="51">
        <v>1</v>
      </c>
      <c r="I54" s="51">
        <v>2</v>
      </c>
      <c r="L54">
        <v>1</v>
      </c>
    </row>
    <row r="55" spans="1:12">
      <c r="A55" s="51" t="s">
        <v>756</v>
      </c>
      <c r="B55" s="51" t="s">
        <v>379</v>
      </c>
      <c r="C55" s="51">
        <v>1</v>
      </c>
      <c r="D55" s="51">
        <v>1</v>
      </c>
      <c r="E55" s="51">
        <v>1</v>
      </c>
      <c r="F55" s="51">
        <v>1</v>
      </c>
      <c r="G55" s="51">
        <v>1</v>
      </c>
      <c r="H55" s="51">
        <v>1</v>
      </c>
      <c r="I55" s="51">
        <v>2</v>
      </c>
      <c r="L55">
        <v>1</v>
      </c>
    </row>
    <row r="56" spans="1:12">
      <c r="A56" s="51" t="s">
        <v>757</v>
      </c>
      <c r="B56" s="51" t="s">
        <v>381</v>
      </c>
      <c r="C56" s="51">
        <v>1</v>
      </c>
      <c r="D56" s="51">
        <v>1</v>
      </c>
      <c r="E56" s="51">
        <v>1</v>
      </c>
      <c r="F56" s="51">
        <v>1</v>
      </c>
      <c r="G56" s="51">
        <v>1</v>
      </c>
      <c r="H56" s="51">
        <v>1</v>
      </c>
      <c r="I56" s="51">
        <v>2</v>
      </c>
      <c r="L56">
        <v>1</v>
      </c>
    </row>
    <row r="57" spans="1:12">
      <c r="A57" s="51" t="s">
        <v>758</v>
      </c>
      <c r="B57" s="51" t="s">
        <v>383</v>
      </c>
      <c r="C57" s="51">
        <v>1</v>
      </c>
      <c r="D57" s="51">
        <v>1</v>
      </c>
      <c r="E57" s="51">
        <v>1</v>
      </c>
      <c r="F57" s="51">
        <v>1</v>
      </c>
      <c r="G57" s="51">
        <v>1</v>
      </c>
      <c r="H57" s="51">
        <v>1</v>
      </c>
      <c r="I57" s="51">
        <v>2</v>
      </c>
      <c r="L57">
        <v>1</v>
      </c>
    </row>
    <row r="58" spans="1:12">
      <c r="A58" s="51" t="s">
        <v>759</v>
      </c>
      <c r="B58" s="51" t="s">
        <v>385</v>
      </c>
      <c r="C58" s="51">
        <v>1</v>
      </c>
      <c r="D58" s="51">
        <v>1</v>
      </c>
      <c r="E58" s="51">
        <v>1</v>
      </c>
      <c r="F58" s="51">
        <v>1</v>
      </c>
      <c r="G58" s="51">
        <v>1</v>
      </c>
      <c r="H58" s="51">
        <v>1</v>
      </c>
      <c r="I58" s="51">
        <v>2</v>
      </c>
      <c r="L58">
        <v>1</v>
      </c>
    </row>
    <row r="59" spans="1:12">
      <c r="A59" s="51" t="s">
        <v>761</v>
      </c>
      <c r="B59" s="51" t="s">
        <v>387</v>
      </c>
      <c r="C59" s="51">
        <v>1</v>
      </c>
      <c r="D59" s="51">
        <v>1</v>
      </c>
      <c r="E59" s="51">
        <v>1</v>
      </c>
      <c r="F59" s="51">
        <v>1</v>
      </c>
      <c r="G59" s="51">
        <v>1</v>
      </c>
      <c r="H59" s="51">
        <v>1</v>
      </c>
      <c r="I59" s="51">
        <v>2</v>
      </c>
      <c r="L59">
        <v>1</v>
      </c>
    </row>
    <row r="60" spans="1:12">
      <c r="A60" s="51" t="s">
        <v>762</v>
      </c>
      <c r="B60" s="51" t="s">
        <v>389</v>
      </c>
      <c r="C60" s="51">
        <v>1</v>
      </c>
      <c r="D60" s="51">
        <v>1</v>
      </c>
      <c r="E60" s="51">
        <v>1</v>
      </c>
      <c r="F60" s="51">
        <v>1</v>
      </c>
      <c r="G60" s="51">
        <v>1</v>
      </c>
      <c r="H60" s="51">
        <v>1</v>
      </c>
      <c r="I60" s="51">
        <v>2</v>
      </c>
      <c r="L60">
        <v>1</v>
      </c>
    </row>
    <row r="61" spans="1:12">
      <c r="A61" s="51" t="s">
        <v>763</v>
      </c>
      <c r="B61" s="51" t="s">
        <v>391</v>
      </c>
      <c r="C61" s="51">
        <v>1</v>
      </c>
      <c r="D61" s="51">
        <v>1</v>
      </c>
      <c r="E61" s="51">
        <v>1</v>
      </c>
      <c r="F61" s="51">
        <v>1</v>
      </c>
      <c r="G61" s="51">
        <v>1</v>
      </c>
      <c r="H61" s="51">
        <v>1</v>
      </c>
      <c r="I61" s="51">
        <v>2</v>
      </c>
      <c r="L61">
        <v>1</v>
      </c>
    </row>
    <row r="62" spans="1:12">
      <c r="A62" s="51" t="s">
        <v>765</v>
      </c>
      <c r="B62" s="51" t="s">
        <v>393</v>
      </c>
      <c r="C62" s="51">
        <v>1</v>
      </c>
      <c r="D62" s="51">
        <v>1</v>
      </c>
      <c r="E62" s="51">
        <v>1</v>
      </c>
      <c r="F62" s="51">
        <v>1</v>
      </c>
      <c r="G62" s="51">
        <v>1</v>
      </c>
      <c r="H62" s="51">
        <v>1</v>
      </c>
      <c r="I62" s="51">
        <v>2</v>
      </c>
      <c r="L62">
        <v>1</v>
      </c>
    </row>
    <row r="63" spans="1:12">
      <c r="A63" s="51" t="s">
        <v>766</v>
      </c>
      <c r="B63" s="51" t="s">
        <v>395</v>
      </c>
      <c r="C63" s="51">
        <v>1</v>
      </c>
      <c r="D63" s="51">
        <v>1</v>
      </c>
      <c r="E63" s="51">
        <v>1</v>
      </c>
      <c r="F63" s="51">
        <v>1</v>
      </c>
      <c r="G63" s="51">
        <v>1</v>
      </c>
      <c r="H63" s="51">
        <v>1</v>
      </c>
      <c r="I63" s="51">
        <v>2</v>
      </c>
      <c r="L63">
        <v>1</v>
      </c>
    </row>
    <row r="64" spans="1:12">
      <c r="A64" s="51" t="s">
        <v>768</v>
      </c>
      <c r="B64" s="51" t="s">
        <v>397</v>
      </c>
      <c r="C64" s="51">
        <v>1</v>
      </c>
      <c r="D64" s="51">
        <v>1</v>
      </c>
      <c r="E64" s="51">
        <v>1</v>
      </c>
      <c r="F64" s="51">
        <v>1</v>
      </c>
      <c r="G64" s="51">
        <v>1</v>
      </c>
      <c r="H64" s="51">
        <v>1</v>
      </c>
      <c r="I64" s="51">
        <v>2</v>
      </c>
      <c r="L64">
        <v>1</v>
      </c>
    </row>
    <row r="65" spans="1:12">
      <c r="A65" s="51" t="s">
        <v>769</v>
      </c>
      <c r="B65" s="51" t="s">
        <v>399</v>
      </c>
      <c r="C65" s="51">
        <v>1</v>
      </c>
      <c r="D65" s="51">
        <v>0</v>
      </c>
      <c r="E65" s="51">
        <v>1</v>
      </c>
      <c r="F65" s="51">
        <v>1</v>
      </c>
      <c r="G65" s="51">
        <v>1</v>
      </c>
      <c r="H65" s="51">
        <v>1</v>
      </c>
      <c r="I65" s="51">
        <v>2</v>
      </c>
      <c r="L65">
        <v>1</v>
      </c>
    </row>
    <row r="66" spans="1:12">
      <c r="A66" s="51" t="s">
        <v>770</v>
      </c>
      <c r="B66" s="51" t="s">
        <v>401</v>
      </c>
      <c r="C66" s="51">
        <v>1</v>
      </c>
      <c r="D66" s="51">
        <v>1</v>
      </c>
      <c r="E66" s="51">
        <v>1</v>
      </c>
      <c r="F66" s="51">
        <v>1</v>
      </c>
      <c r="G66" s="51">
        <v>1</v>
      </c>
      <c r="H66" s="51">
        <v>1</v>
      </c>
      <c r="I66" s="51">
        <v>2</v>
      </c>
      <c r="L66">
        <v>1</v>
      </c>
    </row>
    <row r="67" spans="1:12">
      <c r="A67" s="51" t="s">
        <v>771</v>
      </c>
      <c r="B67" s="51" t="s">
        <v>403</v>
      </c>
      <c r="C67" s="51">
        <v>1</v>
      </c>
      <c r="D67" s="51">
        <v>1</v>
      </c>
      <c r="E67" s="51">
        <v>1</v>
      </c>
      <c r="F67" s="51">
        <v>1</v>
      </c>
      <c r="G67" s="51">
        <v>1</v>
      </c>
      <c r="H67" s="51">
        <v>1</v>
      </c>
      <c r="I67" s="51">
        <v>2</v>
      </c>
      <c r="L67">
        <v>1</v>
      </c>
    </row>
    <row r="68" spans="1:12">
      <c r="A68" s="51" t="s">
        <v>773</v>
      </c>
      <c r="B68" s="51" t="s">
        <v>405</v>
      </c>
      <c r="C68" s="51">
        <v>1</v>
      </c>
      <c r="D68" s="51">
        <v>1</v>
      </c>
      <c r="E68" s="51">
        <v>1</v>
      </c>
      <c r="F68" s="51">
        <v>1</v>
      </c>
      <c r="G68" s="51">
        <v>1</v>
      </c>
      <c r="H68" s="51">
        <v>1</v>
      </c>
      <c r="I68" s="51">
        <v>2</v>
      </c>
      <c r="L68">
        <v>1</v>
      </c>
    </row>
    <row r="69" spans="1:12">
      <c r="A69" s="51" t="s">
        <v>774</v>
      </c>
      <c r="B69" s="51" t="s">
        <v>407</v>
      </c>
      <c r="C69" s="51">
        <v>1</v>
      </c>
      <c r="D69" s="51">
        <v>1</v>
      </c>
      <c r="E69" s="51">
        <v>1</v>
      </c>
      <c r="F69" s="51">
        <v>1</v>
      </c>
      <c r="G69" s="51">
        <v>1</v>
      </c>
      <c r="H69" s="51">
        <v>1</v>
      </c>
      <c r="I69" s="51">
        <v>2</v>
      </c>
      <c r="L69">
        <v>1</v>
      </c>
    </row>
    <row r="70" spans="1:12">
      <c r="A70" s="51" t="s">
        <v>775</v>
      </c>
      <c r="B70" s="51" t="s">
        <v>409</v>
      </c>
      <c r="C70" s="51">
        <v>1</v>
      </c>
      <c r="D70" s="51">
        <v>1</v>
      </c>
      <c r="E70" s="51">
        <v>1</v>
      </c>
      <c r="F70" s="51">
        <v>1</v>
      </c>
      <c r="G70" s="51">
        <v>1</v>
      </c>
      <c r="H70" s="51">
        <v>1</v>
      </c>
      <c r="I70" s="51">
        <v>2</v>
      </c>
      <c r="L70">
        <v>1</v>
      </c>
    </row>
    <row r="71" spans="1:12">
      <c r="A71" s="51" t="s">
        <v>776</v>
      </c>
      <c r="B71" s="51" t="s">
        <v>411</v>
      </c>
      <c r="C71" s="51">
        <v>1</v>
      </c>
      <c r="D71" s="51">
        <v>1</v>
      </c>
      <c r="E71" s="51">
        <v>1</v>
      </c>
      <c r="F71" s="51">
        <v>1</v>
      </c>
      <c r="G71" s="51">
        <v>1</v>
      </c>
      <c r="H71" s="51">
        <v>1</v>
      </c>
      <c r="I71" s="51">
        <v>2</v>
      </c>
      <c r="L71">
        <v>1</v>
      </c>
    </row>
    <row r="72" spans="1:12">
      <c r="A72" s="51" t="s">
        <v>777</v>
      </c>
      <c r="B72" s="51" t="s">
        <v>413</v>
      </c>
      <c r="C72" s="51">
        <v>1</v>
      </c>
      <c r="D72" s="51">
        <v>1</v>
      </c>
      <c r="E72" s="51">
        <v>1</v>
      </c>
      <c r="F72" s="51">
        <v>1</v>
      </c>
      <c r="G72" s="51">
        <v>1</v>
      </c>
      <c r="H72" s="51">
        <v>1</v>
      </c>
      <c r="I72" s="51">
        <v>2</v>
      </c>
      <c r="L72">
        <v>1</v>
      </c>
    </row>
    <row r="73" spans="1:12">
      <c r="A73" s="51" t="s">
        <v>779</v>
      </c>
      <c r="B73" s="51" t="s">
        <v>415</v>
      </c>
      <c r="C73" s="51">
        <v>1</v>
      </c>
      <c r="D73" s="51">
        <v>1</v>
      </c>
      <c r="E73" s="51">
        <v>1</v>
      </c>
      <c r="F73" s="51">
        <v>1</v>
      </c>
      <c r="G73" s="51">
        <v>1</v>
      </c>
      <c r="H73" s="51">
        <v>1</v>
      </c>
      <c r="I73" s="51">
        <v>2</v>
      </c>
      <c r="L73">
        <v>1</v>
      </c>
    </row>
    <row r="74" spans="1:12">
      <c r="A74" s="51" t="s">
        <v>780</v>
      </c>
      <c r="B74" s="51" t="s">
        <v>417</v>
      </c>
      <c r="C74" s="51">
        <v>1</v>
      </c>
      <c r="D74" s="51">
        <v>1</v>
      </c>
      <c r="E74" s="51">
        <v>1</v>
      </c>
      <c r="F74" s="51">
        <v>1</v>
      </c>
      <c r="G74" s="51">
        <v>1</v>
      </c>
      <c r="H74" s="51">
        <v>1</v>
      </c>
      <c r="I74" s="51">
        <v>2</v>
      </c>
      <c r="L74">
        <v>1</v>
      </c>
    </row>
    <row r="75" spans="1:12">
      <c r="A75" s="51" t="s">
        <v>781</v>
      </c>
      <c r="B75" s="51" t="s">
        <v>419</v>
      </c>
      <c r="C75" s="51">
        <v>1</v>
      </c>
      <c r="D75" s="51">
        <v>1</v>
      </c>
      <c r="E75" s="51">
        <v>1</v>
      </c>
      <c r="F75" s="51">
        <v>1</v>
      </c>
      <c r="G75" s="51">
        <v>1</v>
      </c>
      <c r="H75" s="51">
        <v>1</v>
      </c>
      <c r="I75" s="51">
        <v>2</v>
      </c>
      <c r="L75">
        <v>1</v>
      </c>
    </row>
    <row r="76" spans="1:12">
      <c r="A76" s="51" t="s">
        <v>783</v>
      </c>
      <c r="B76" s="51" t="s">
        <v>421</v>
      </c>
      <c r="C76" s="51">
        <v>1</v>
      </c>
      <c r="D76" s="51">
        <v>1</v>
      </c>
      <c r="E76" s="51">
        <v>1</v>
      </c>
      <c r="F76" s="51">
        <v>1</v>
      </c>
      <c r="G76" s="51">
        <v>1</v>
      </c>
      <c r="H76" s="51">
        <v>1</v>
      </c>
      <c r="I76" s="51">
        <v>2</v>
      </c>
      <c r="L76">
        <v>1</v>
      </c>
    </row>
    <row r="77" spans="1:12">
      <c r="A77" s="51" t="s">
        <v>785</v>
      </c>
      <c r="B77" s="51" t="s">
        <v>423</v>
      </c>
      <c r="C77" s="51">
        <v>0</v>
      </c>
      <c r="D77" s="51">
        <v>0</v>
      </c>
      <c r="E77" s="51">
        <v>0</v>
      </c>
      <c r="F77" s="51">
        <v>0</v>
      </c>
      <c r="G77" s="51">
        <v>0</v>
      </c>
      <c r="H77" s="51">
        <v>0</v>
      </c>
      <c r="I77" s="51">
        <v>1</v>
      </c>
      <c r="L77">
        <v>1</v>
      </c>
    </row>
    <row r="78" spans="1:12">
      <c r="A78" s="51" t="s">
        <v>786</v>
      </c>
      <c r="B78" s="51" t="s">
        <v>425</v>
      </c>
      <c r="C78" s="51">
        <v>1</v>
      </c>
      <c r="D78" s="51">
        <v>1</v>
      </c>
      <c r="E78" s="51">
        <v>1</v>
      </c>
      <c r="F78" s="51">
        <v>1</v>
      </c>
      <c r="G78" s="51">
        <v>1</v>
      </c>
      <c r="H78" s="51">
        <v>1</v>
      </c>
      <c r="I78" s="51">
        <v>2</v>
      </c>
      <c r="L78">
        <v>1</v>
      </c>
    </row>
    <row r="79" spans="1:12">
      <c r="A79" s="51" t="s">
        <v>193</v>
      </c>
      <c r="B79" s="51" t="s">
        <v>194</v>
      </c>
      <c r="C79" s="51">
        <v>1</v>
      </c>
      <c r="D79" s="51">
        <v>1</v>
      </c>
      <c r="E79" s="51">
        <v>1</v>
      </c>
      <c r="F79" s="51">
        <v>1</v>
      </c>
      <c r="G79" s="51">
        <v>1</v>
      </c>
      <c r="H79" s="51">
        <v>1</v>
      </c>
      <c r="I79" s="51">
        <v>2</v>
      </c>
      <c r="L79">
        <v>1</v>
      </c>
    </row>
    <row r="80" spans="1:12">
      <c r="A80" s="51" t="s">
        <v>788</v>
      </c>
      <c r="B80" s="51" t="s">
        <v>427</v>
      </c>
      <c r="C80" s="51">
        <v>0</v>
      </c>
      <c r="D80" s="51">
        <v>0</v>
      </c>
      <c r="E80" s="51">
        <v>0</v>
      </c>
      <c r="F80" s="51">
        <v>0</v>
      </c>
      <c r="G80" s="51">
        <v>0</v>
      </c>
      <c r="H80" s="51">
        <v>0</v>
      </c>
      <c r="I80" s="51">
        <v>1</v>
      </c>
      <c r="L80">
        <v>1</v>
      </c>
    </row>
    <row r="81" spans="1:12">
      <c r="A81" s="51" t="s">
        <v>789</v>
      </c>
      <c r="B81" s="51" t="s">
        <v>429</v>
      </c>
      <c r="C81" s="51">
        <v>1</v>
      </c>
      <c r="D81" s="51">
        <v>1</v>
      </c>
      <c r="E81" s="51">
        <v>1</v>
      </c>
      <c r="F81" s="51">
        <v>1</v>
      </c>
      <c r="G81" s="51">
        <v>1</v>
      </c>
      <c r="H81" s="51">
        <v>1</v>
      </c>
      <c r="I81" s="51">
        <v>2</v>
      </c>
      <c r="L81">
        <v>1</v>
      </c>
    </row>
    <row r="82" spans="1:12">
      <c r="A82" s="51" t="s">
        <v>790</v>
      </c>
      <c r="B82" s="51" t="s">
        <v>431</v>
      </c>
      <c r="C82" s="51">
        <v>1</v>
      </c>
      <c r="D82" s="51">
        <v>1</v>
      </c>
      <c r="E82" s="51">
        <v>1</v>
      </c>
      <c r="F82" s="51">
        <v>1</v>
      </c>
      <c r="G82" s="51">
        <v>1</v>
      </c>
      <c r="H82" s="51">
        <v>1</v>
      </c>
      <c r="I82" s="51">
        <v>2</v>
      </c>
      <c r="L82">
        <v>1</v>
      </c>
    </row>
    <row r="83" spans="1:12">
      <c r="A83" s="51" t="s">
        <v>794</v>
      </c>
      <c r="B83" s="51" t="s">
        <v>433</v>
      </c>
      <c r="C83" s="51">
        <v>0</v>
      </c>
      <c r="D83" s="51">
        <v>1</v>
      </c>
      <c r="E83" s="51">
        <v>0</v>
      </c>
      <c r="F83" s="51">
        <v>1</v>
      </c>
      <c r="G83" s="51">
        <v>1</v>
      </c>
      <c r="H83" s="51">
        <v>1</v>
      </c>
      <c r="I83" s="51">
        <v>2</v>
      </c>
      <c r="L83">
        <v>1</v>
      </c>
    </row>
    <row r="84" spans="1:12">
      <c r="A84" s="51" t="s">
        <v>795</v>
      </c>
      <c r="B84" s="51" t="s">
        <v>435</v>
      </c>
      <c r="C84" s="51">
        <v>1</v>
      </c>
      <c r="D84" s="51">
        <v>1</v>
      </c>
      <c r="E84" s="51">
        <v>1</v>
      </c>
      <c r="F84" s="51">
        <v>1</v>
      </c>
      <c r="G84" s="51">
        <v>1</v>
      </c>
      <c r="H84" s="51">
        <v>1</v>
      </c>
      <c r="I84" s="51">
        <v>2</v>
      </c>
      <c r="L84">
        <v>1</v>
      </c>
    </row>
    <row r="85" spans="1:12">
      <c r="A85" s="51" t="s">
        <v>796</v>
      </c>
      <c r="B85" s="51" t="s">
        <v>437</v>
      </c>
      <c r="C85" s="51">
        <v>1</v>
      </c>
      <c r="D85" s="51">
        <v>1</v>
      </c>
      <c r="E85" s="51">
        <v>1</v>
      </c>
      <c r="F85" s="51">
        <v>1</v>
      </c>
      <c r="G85" s="51">
        <v>1</v>
      </c>
      <c r="H85" s="51">
        <v>1</v>
      </c>
      <c r="I85" s="51">
        <v>2</v>
      </c>
      <c r="L85">
        <v>1</v>
      </c>
    </row>
    <row r="86" spans="1:12">
      <c r="A86" s="51" t="s">
        <v>797</v>
      </c>
      <c r="B86" s="51" t="s">
        <v>439</v>
      </c>
      <c r="C86" s="51">
        <v>1</v>
      </c>
      <c r="D86" s="51">
        <v>1</v>
      </c>
      <c r="E86" s="51">
        <v>1</v>
      </c>
      <c r="F86" s="51">
        <v>1</v>
      </c>
      <c r="G86" s="51">
        <v>1</v>
      </c>
      <c r="H86" s="51">
        <v>1</v>
      </c>
      <c r="I86" s="51">
        <v>2</v>
      </c>
      <c r="L86">
        <v>1</v>
      </c>
    </row>
    <row r="87" spans="1:12">
      <c r="A87" s="51" t="s">
        <v>801</v>
      </c>
      <c r="B87" s="51" t="s">
        <v>441</v>
      </c>
      <c r="C87" s="51">
        <v>0</v>
      </c>
      <c r="D87" s="51">
        <v>0</v>
      </c>
      <c r="E87" s="51">
        <v>0</v>
      </c>
      <c r="F87" s="51">
        <v>0</v>
      </c>
      <c r="G87" s="51">
        <v>0</v>
      </c>
      <c r="H87" s="51">
        <v>0</v>
      </c>
      <c r="I87" s="51">
        <v>1</v>
      </c>
      <c r="L87">
        <v>1</v>
      </c>
    </row>
    <row r="88" spans="1:12">
      <c r="A88" s="51" t="s">
        <v>802</v>
      </c>
      <c r="B88" s="51" t="s">
        <v>443</v>
      </c>
      <c r="C88" s="51">
        <v>1</v>
      </c>
      <c r="D88" s="51">
        <v>1</v>
      </c>
      <c r="E88" s="51">
        <v>1</v>
      </c>
      <c r="F88" s="51">
        <v>1</v>
      </c>
      <c r="G88" s="51">
        <v>1</v>
      </c>
      <c r="H88" s="51">
        <v>1</v>
      </c>
      <c r="I88" s="51">
        <v>2</v>
      </c>
      <c r="L88">
        <v>1</v>
      </c>
    </row>
    <row r="89" spans="1:12">
      <c r="A89" s="51" t="s">
        <v>803</v>
      </c>
      <c r="B89" s="51" t="s">
        <v>445</v>
      </c>
      <c r="C89" s="51">
        <v>1</v>
      </c>
      <c r="D89" s="51">
        <v>1</v>
      </c>
      <c r="E89" s="51">
        <v>1</v>
      </c>
      <c r="F89" s="51">
        <v>1</v>
      </c>
      <c r="G89" s="51">
        <v>1</v>
      </c>
      <c r="H89" s="51">
        <v>1</v>
      </c>
      <c r="I89" s="51">
        <v>2</v>
      </c>
      <c r="L89">
        <v>1</v>
      </c>
    </row>
    <row r="90" spans="1:12">
      <c r="A90" s="51" t="s">
        <v>804</v>
      </c>
      <c r="B90" s="51" t="s">
        <v>447</v>
      </c>
      <c r="C90" s="51">
        <v>1</v>
      </c>
      <c r="D90" s="51">
        <v>1</v>
      </c>
      <c r="E90" s="51">
        <v>1</v>
      </c>
      <c r="F90" s="51">
        <v>1</v>
      </c>
      <c r="G90" s="51">
        <v>1</v>
      </c>
      <c r="H90" s="51">
        <v>1</v>
      </c>
      <c r="I90" s="51">
        <v>2</v>
      </c>
      <c r="L90">
        <v>1</v>
      </c>
    </row>
    <row r="91" spans="1:12">
      <c r="A91" s="51" t="s">
        <v>805</v>
      </c>
      <c r="B91" s="51" t="s">
        <v>449</v>
      </c>
      <c r="C91" s="51">
        <v>0</v>
      </c>
      <c r="D91" s="51">
        <v>1</v>
      </c>
      <c r="E91" s="51">
        <v>0</v>
      </c>
      <c r="F91" s="51">
        <v>1</v>
      </c>
      <c r="G91" s="51">
        <v>1</v>
      </c>
      <c r="H91" s="51">
        <v>1</v>
      </c>
      <c r="I91" s="51">
        <v>2</v>
      </c>
      <c r="L91">
        <v>1</v>
      </c>
    </row>
    <row r="92" spans="1:12">
      <c r="A92" s="51" t="s">
        <v>806</v>
      </c>
      <c r="B92" s="51" t="s">
        <v>451</v>
      </c>
      <c r="C92" s="51">
        <v>1</v>
      </c>
      <c r="D92" s="51">
        <v>1</v>
      </c>
      <c r="E92" s="51">
        <v>1</v>
      </c>
      <c r="F92" s="51">
        <v>1</v>
      </c>
      <c r="G92" s="51">
        <v>1</v>
      </c>
      <c r="H92" s="51">
        <v>1</v>
      </c>
      <c r="I92" s="51">
        <v>2</v>
      </c>
      <c r="L92">
        <v>1</v>
      </c>
    </row>
    <row r="93" spans="1:12">
      <c r="A93" s="51" t="s">
        <v>809</v>
      </c>
      <c r="B93" s="51" t="s">
        <v>453</v>
      </c>
      <c r="C93" s="51">
        <v>1</v>
      </c>
      <c r="D93" s="51">
        <v>1</v>
      </c>
      <c r="E93" s="51">
        <v>1</v>
      </c>
      <c r="F93" s="51">
        <v>1</v>
      </c>
      <c r="G93" s="51">
        <v>1</v>
      </c>
      <c r="H93" s="51">
        <v>1</v>
      </c>
      <c r="I93" s="51">
        <v>2</v>
      </c>
      <c r="L93">
        <v>1</v>
      </c>
    </row>
    <row r="94" spans="1:12">
      <c r="A94" s="51" t="s">
        <v>811</v>
      </c>
      <c r="B94" s="51" t="s">
        <v>455</v>
      </c>
      <c r="C94" s="51">
        <v>1</v>
      </c>
      <c r="D94" s="51">
        <v>1</v>
      </c>
      <c r="E94" s="51">
        <v>1</v>
      </c>
      <c r="F94" s="51">
        <v>1</v>
      </c>
      <c r="G94" s="51">
        <v>1</v>
      </c>
      <c r="H94" s="51">
        <v>1</v>
      </c>
      <c r="I94" s="51">
        <v>2</v>
      </c>
      <c r="L94">
        <v>1</v>
      </c>
    </row>
    <row r="95" spans="1:12">
      <c r="A95" s="51" t="s">
        <v>812</v>
      </c>
      <c r="B95" s="51" t="s">
        <v>457</v>
      </c>
      <c r="C95" s="51">
        <v>1</v>
      </c>
      <c r="D95" s="51">
        <v>1</v>
      </c>
      <c r="E95" s="51">
        <v>1</v>
      </c>
      <c r="F95" s="51">
        <v>1</v>
      </c>
      <c r="G95" s="51">
        <v>1</v>
      </c>
      <c r="H95" s="51">
        <v>1</v>
      </c>
      <c r="I95" s="51">
        <v>2</v>
      </c>
      <c r="L95">
        <v>1</v>
      </c>
    </row>
    <row r="96" spans="1:12">
      <c r="A96" s="51" t="s">
        <v>195</v>
      </c>
      <c r="B96" s="51" t="s">
        <v>196</v>
      </c>
      <c r="C96" s="51">
        <v>0</v>
      </c>
      <c r="D96" s="51">
        <v>0</v>
      </c>
      <c r="E96" s="51">
        <v>1</v>
      </c>
      <c r="F96" s="51">
        <v>1</v>
      </c>
      <c r="G96" s="51">
        <v>1</v>
      </c>
      <c r="H96" s="51">
        <v>1</v>
      </c>
      <c r="I96" s="51">
        <v>2</v>
      </c>
      <c r="L96">
        <v>1</v>
      </c>
    </row>
    <row r="97" spans="1:12">
      <c r="A97" s="51" t="s">
        <v>814</v>
      </c>
      <c r="B97" s="51" t="s">
        <v>459</v>
      </c>
      <c r="C97" s="51">
        <v>1</v>
      </c>
      <c r="D97" s="51">
        <v>1</v>
      </c>
      <c r="E97" s="51">
        <v>1</v>
      </c>
      <c r="F97" s="51">
        <v>1</v>
      </c>
      <c r="G97" s="51">
        <v>1</v>
      </c>
      <c r="H97" s="51">
        <v>1</v>
      </c>
      <c r="I97" s="51">
        <v>2</v>
      </c>
      <c r="L97">
        <v>1</v>
      </c>
    </row>
    <row r="98" spans="1:12">
      <c r="A98" s="51" t="s">
        <v>816</v>
      </c>
      <c r="B98" s="51" t="s">
        <v>461</v>
      </c>
      <c r="C98" s="51">
        <v>1</v>
      </c>
      <c r="D98" s="51">
        <v>1</v>
      </c>
      <c r="E98" s="51">
        <v>1</v>
      </c>
      <c r="F98" s="51">
        <v>1</v>
      </c>
      <c r="G98" s="51">
        <v>1</v>
      </c>
      <c r="H98" s="51">
        <v>1</v>
      </c>
      <c r="I98" s="51">
        <v>2</v>
      </c>
      <c r="L98">
        <v>1</v>
      </c>
    </row>
    <row r="99" spans="1:12">
      <c r="A99" s="51" t="s">
        <v>818</v>
      </c>
      <c r="B99" s="51" t="s">
        <v>463</v>
      </c>
      <c r="C99" s="51">
        <v>1</v>
      </c>
      <c r="D99" s="51">
        <v>1</v>
      </c>
      <c r="E99" s="51">
        <v>1</v>
      </c>
      <c r="F99" s="51">
        <v>1</v>
      </c>
      <c r="G99" s="51">
        <v>1</v>
      </c>
      <c r="H99" s="51">
        <v>1</v>
      </c>
      <c r="I99" s="51">
        <v>2</v>
      </c>
      <c r="L99">
        <v>1</v>
      </c>
    </row>
    <row r="100" spans="1:12">
      <c r="A100" s="51" t="s">
        <v>819</v>
      </c>
      <c r="B100" s="51" t="s">
        <v>465</v>
      </c>
      <c r="C100" s="51">
        <v>1</v>
      </c>
      <c r="D100" s="51">
        <v>1</v>
      </c>
      <c r="E100" s="51">
        <v>1</v>
      </c>
      <c r="F100" s="51">
        <v>1</v>
      </c>
      <c r="G100" s="51">
        <v>1</v>
      </c>
      <c r="H100" s="51">
        <v>1</v>
      </c>
      <c r="I100" s="51">
        <v>2</v>
      </c>
      <c r="L100">
        <v>1</v>
      </c>
    </row>
    <row r="101" spans="1:12">
      <c r="A101" s="51" t="s">
        <v>820</v>
      </c>
      <c r="B101" s="51" t="s">
        <v>467</v>
      </c>
      <c r="C101" s="51">
        <v>1</v>
      </c>
      <c r="D101" s="51">
        <v>1</v>
      </c>
      <c r="E101" s="51">
        <v>1</v>
      </c>
      <c r="F101" s="51">
        <v>1</v>
      </c>
      <c r="G101" s="51">
        <v>1</v>
      </c>
      <c r="H101" s="51">
        <v>1</v>
      </c>
      <c r="I101" s="51">
        <v>2</v>
      </c>
      <c r="L101">
        <v>1</v>
      </c>
    </row>
    <row r="102" spans="1:12">
      <c r="A102" s="51" t="s">
        <v>822</v>
      </c>
      <c r="B102" s="51" t="s">
        <v>469</v>
      </c>
      <c r="C102" s="51">
        <v>1</v>
      </c>
      <c r="D102" s="51">
        <v>1</v>
      </c>
      <c r="E102" s="51">
        <v>1</v>
      </c>
      <c r="F102" s="51">
        <v>1</v>
      </c>
      <c r="G102" s="51">
        <v>1</v>
      </c>
      <c r="H102" s="51">
        <v>1</v>
      </c>
      <c r="I102" s="51">
        <v>2</v>
      </c>
      <c r="L102">
        <v>1</v>
      </c>
    </row>
    <row r="103" spans="1:12">
      <c r="A103" s="51" t="s">
        <v>823</v>
      </c>
      <c r="B103" s="51" t="s">
        <v>471</v>
      </c>
      <c r="C103" s="51">
        <v>1</v>
      </c>
      <c r="D103" s="51">
        <v>1</v>
      </c>
      <c r="E103" s="51">
        <v>1</v>
      </c>
      <c r="F103" s="51">
        <v>1</v>
      </c>
      <c r="G103" s="51">
        <v>1</v>
      </c>
      <c r="H103" s="51">
        <v>1</v>
      </c>
      <c r="I103" s="51">
        <v>2</v>
      </c>
      <c r="L103">
        <v>1</v>
      </c>
    </row>
    <row r="104" spans="1:12">
      <c r="A104" s="51" t="s">
        <v>825</v>
      </c>
      <c r="B104" s="51" t="s">
        <v>473</v>
      </c>
      <c r="C104" s="51">
        <v>1</v>
      </c>
      <c r="D104" s="51">
        <v>1</v>
      </c>
      <c r="E104" s="51">
        <v>1</v>
      </c>
      <c r="F104" s="51">
        <v>1</v>
      </c>
      <c r="G104" s="51">
        <v>1</v>
      </c>
      <c r="H104" s="51">
        <v>1</v>
      </c>
      <c r="I104" s="51">
        <v>2</v>
      </c>
      <c r="L104">
        <v>1</v>
      </c>
    </row>
    <row r="105" spans="1:12">
      <c r="A105" s="51" t="s">
        <v>826</v>
      </c>
      <c r="B105" s="51" t="s">
        <v>475</v>
      </c>
      <c r="C105" s="51">
        <v>1</v>
      </c>
      <c r="D105" s="51">
        <v>1</v>
      </c>
      <c r="E105" s="51">
        <v>1</v>
      </c>
      <c r="F105" s="51">
        <v>1</v>
      </c>
      <c r="G105" s="51">
        <v>1</v>
      </c>
      <c r="H105" s="51">
        <v>1</v>
      </c>
      <c r="I105" s="51">
        <v>2</v>
      </c>
      <c r="L105">
        <v>1</v>
      </c>
    </row>
    <row r="106" spans="1:12">
      <c r="A106" s="51" t="s">
        <v>827</v>
      </c>
      <c r="B106" s="51" t="s">
        <v>477</v>
      </c>
      <c r="C106" s="51">
        <v>1</v>
      </c>
      <c r="D106" s="51">
        <v>1</v>
      </c>
      <c r="E106" s="51">
        <v>1</v>
      </c>
      <c r="F106" s="51">
        <v>1</v>
      </c>
      <c r="G106" s="51">
        <v>1</v>
      </c>
      <c r="H106" s="51">
        <v>1</v>
      </c>
      <c r="I106" s="51">
        <v>2</v>
      </c>
      <c r="L106">
        <v>1</v>
      </c>
    </row>
    <row r="107" spans="1:12">
      <c r="A107" s="51" t="s">
        <v>197</v>
      </c>
      <c r="B107" s="51" t="s">
        <v>198</v>
      </c>
      <c r="C107" s="51">
        <v>1</v>
      </c>
      <c r="D107" s="51">
        <v>0</v>
      </c>
      <c r="E107" s="51">
        <v>1</v>
      </c>
      <c r="F107" s="51">
        <v>1</v>
      </c>
      <c r="G107" s="51">
        <v>1</v>
      </c>
      <c r="H107" s="51">
        <v>1</v>
      </c>
      <c r="I107" s="51">
        <v>2</v>
      </c>
      <c r="L107">
        <v>1</v>
      </c>
    </row>
    <row r="108" spans="1:12">
      <c r="A108" s="51" t="s">
        <v>828</v>
      </c>
      <c r="B108" s="51" t="s">
        <v>479</v>
      </c>
      <c r="C108" s="51">
        <v>1</v>
      </c>
      <c r="D108" s="51">
        <v>1</v>
      </c>
      <c r="E108" s="51">
        <v>1</v>
      </c>
      <c r="F108" s="51">
        <v>1</v>
      </c>
      <c r="G108" s="51">
        <v>1</v>
      </c>
      <c r="H108" s="51">
        <v>1</v>
      </c>
      <c r="I108" s="51">
        <v>2</v>
      </c>
      <c r="L108">
        <v>1</v>
      </c>
    </row>
    <row r="109" spans="1:12">
      <c r="A109" s="51" t="s">
        <v>829</v>
      </c>
      <c r="B109" s="51" t="s">
        <v>481</v>
      </c>
      <c r="C109" s="51">
        <v>1</v>
      </c>
      <c r="D109" s="51">
        <v>1</v>
      </c>
      <c r="E109" s="51">
        <v>1</v>
      </c>
      <c r="F109" s="51">
        <v>1</v>
      </c>
      <c r="G109" s="51">
        <v>1</v>
      </c>
      <c r="H109" s="51">
        <v>1</v>
      </c>
      <c r="I109" s="51">
        <v>2</v>
      </c>
      <c r="L109">
        <v>1</v>
      </c>
    </row>
    <row r="110" spans="1:12">
      <c r="A110" s="51" t="s">
        <v>830</v>
      </c>
      <c r="B110" s="51" t="s">
        <v>483</v>
      </c>
      <c r="C110" s="51">
        <v>1</v>
      </c>
      <c r="D110" s="51">
        <v>1</v>
      </c>
      <c r="E110" s="51">
        <v>1</v>
      </c>
      <c r="F110" s="51">
        <v>1</v>
      </c>
      <c r="G110" s="51">
        <v>1</v>
      </c>
      <c r="H110" s="51">
        <v>1</v>
      </c>
      <c r="I110" s="51">
        <v>2</v>
      </c>
      <c r="L110">
        <v>1</v>
      </c>
    </row>
    <row r="111" spans="1:12">
      <c r="A111" s="51" t="s">
        <v>831</v>
      </c>
      <c r="B111" s="51" t="s">
        <v>485</v>
      </c>
      <c r="C111" s="51">
        <v>1</v>
      </c>
      <c r="D111" s="51">
        <v>1</v>
      </c>
      <c r="E111" s="51">
        <v>1</v>
      </c>
      <c r="F111" s="51">
        <v>1</v>
      </c>
      <c r="G111" s="51">
        <v>1</v>
      </c>
      <c r="H111" s="51">
        <v>1</v>
      </c>
      <c r="I111" s="51">
        <v>2</v>
      </c>
      <c r="L111">
        <v>1</v>
      </c>
    </row>
    <row r="112" spans="1:12">
      <c r="A112" s="51" t="s">
        <v>832</v>
      </c>
      <c r="B112" s="51" t="s">
        <v>487</v>
      </c>
      <c r="C112" s="51">
        <v>1</v>
      </c>
      <c r="D112" s="51">
        <v>1</v>
      </c>
      <c r="E112" s="51">
        <v>1</v>
      </c>
      <c r="F112" s="51">
        <v>1</v>
      </c>
      <c r="G112" s="51">
        <v>1</v>
      </c>
      <c r="H112" s="51">
        <v>1</v>
      </c>
      <c r="I112" s="51">
        <v>2</v>
      </c>
      <c r="L112">
        <v>1</v>
      </c>
    </row>
    <row r="113" spans="1:12">
      <c r="A113" s="51" t="s">
        <v>833</v>
      </c>
      <c r="B113" s="51" t="s">
        <v>489</v>
      </c>
      <c r="C113" s="51">
        <v>1</v>
      </c>
      <c r="D113" s="51">
        <v>1</v>
      </c>
      <c r="E113" s="51">
        <v>1</v>
      </c>
      <c r="F113" s="51">
        <v>1</v>
      </c>
      <c r="G113" s="51">
        <v>1</v>
      </c>
      <c r="H113" s="51">
        <v>1</v>
      </c>
      <c r="I113" s="51">
        <v>2</v>
      </c>
      <c r="L113">
        <v>1</v>
      </c>
    </row>
    <row r="114" spans="1:12">
      <c r="A114" s="51" t="s">
        <v>199</v>
      </c>
      <c r="B114" s="51" t="s">
        <v>200</v>
      </c>
      <c r="C114" s="51">
        <v>0</v>
      </c>
      <c r="D114" s="51">
        <v>0</v>
      </c>
      <c r="E114" s="51">
        <v>0</v>
      </c>
      <c r="F114" s="51">
        <v>0</v>
      </c>
      <c r="G114" s="51">
        <v>0</v>
      </c>
      <c r="H114" s="51">
        <v>0</v>
      </c>
      <c r="I114" s="51">
        <v>0</v>
      </c>
      <c r="L114">
        <v>1</v>
      </c>
    </row>
    <row r="115" spans="1:12">
      <c r="A115" s="51" t="s">
        <v>837</v>
      </c>
      <c r="B115" s="51" t="s">
        <v>491</v>
      </c>
      <c r="C115" s="51">
        <v>1</v>
      </c>
      <c r="D115" s="51">
        <v>1</v>
      </c>
      <c r="E115" s="51">
        <v>1</v>
      </c>
      <c r="F115" s="51">
        <v>1</v>
      </c>
      <c r="G115" s="51">
        <v>1</v>
      </c>
      <c r="H115" s="51">
        <v>1</v>
      </c>
      <c r="I115" s="51">
        <v>2</v>
      </c>
      <c r="L115">
        <v>1</v>
      </c>
    </row>
    <row r="116" spans="1:12">
      <c r="A116" s="51" t="s">
        <v>838</v>
      </c>
      <c r="B116" s="51" t="s">
        <v>493</v>
      </c>
      <c r="C116" s="51">
        <v>1</v>
      </c>
      <c r="D116" s="51">
        <v>1</v>
      </c>
      <c r="E116" s="51">
        <v>1</v>
      </c>
      <c r="F116" s="51">
        <v>1</v>
      </c>
      <c r="G116" s="51">
        <v>1</v>
      </c>
      <c r="H116" s="51">
        <v>1</v>
      </c>
      <c r="I116" s="51">
        <v>2</v>
      </c>
      <c r="L116">
        <v>1</v>
      </c>
    </row>
    <row r="117" spans="1:12">
      <c r="A117" s="51" t="s">
        <v>839</v>
      </c>
      <c r="B117" s="51" t="s">
        <v>495</v>
      </c>
      <c r="C117" s="51">
        <v>1</v>
      </c>
      <c r="D117" s="51">
        <v>1</v>
      </c>
      <c r="E117" s="51">
        <v>1</v>
      </c>
      <c r="F117" s="51">
        <v>1</v>
      </c>
      <c r="G117" s="51">
        <v>1</v>
      </c>
      <c r="H117" s="51">
        <v>1</v>
      </c>
      <c r="I117" s="51">
        <v>2</v>
      </c>
      <c r="L117">
        <v>1</v>
      </c>
    </row>
    <row r="118" spans="1:12">
      <c r="A118" s="51" t="s">
        <v>840</v>
      </c>
      <c r="B118" s="51" t="s">
        <v>497</v>
      </c>
      <c r="C118" s="51">
        <v>1</v>
      </c>
      <c r="D118" s="51">
        <v>1</v>
      </c>
      <c r="E118" s="51">
        <v>1</v>
      </c>
      <c r="F118" s="51">
        <v>1</v>
      </c>
      <c r="G118" s="51">
        <v>1</v>
      </c>
      <c r="H118" s="51">
        <v>1</v>
      </c>
      <c r="I118" s="51">
        <v>2</v>
      </c>
      <c r="L118">
        <v>1</v>
      </c>
    </row>
    <row r="119" spans="1:12">
      <c r="A119" s="51" t="s">
        <v>841</v>
      </c>
      <c r="B119" s="51" t="s">
        <v>499</v>
      </c>
      <c r="C119" s="51">
        <v>1</v>
      </c>
      <c r="D119" s="51">
        <v>1</v>
      </c>
      <c r="E119" s="51">
        <v>1</v>
      </c>
      <c r="F119" s="51">
        <v>1</v>
      </c>
      <c r="G119" s="51">
        <v>1</v>
      </c>
      <c r="H119" s="51">
        <v>1</v>
      </c>
      <c r="I119" s="51">
        <v>2</v>
      </c>
      <c r="L119">
        <v>1</v>
      </c>
    </row>
    <row r="120" spans="1:12">
      <c r="A120" s="51" t="s">
        <v>842</v>
      </c>
      <c r="B120" s="51" t="s">
        <v>501</v>
      </c>
      <c r="C120" s="51">
        <v>1</v>
      </c>
      <c r="D120" s="51">
        <v>1</v>
      </c>
      <c r="E120" s="51">
        <v>1</v>
      </c>
      <c r="F120" s="51">
        <v>1</v>
      </c>
      <c r="G120" s="51">
        <v>1</v>
      </c>
      <c r="H120" s="51">
        <v>1</v>
      </c>
      <c r="I120" s="51">
        <v>2</v>
      </c>
      <c r="L120">
        <v>1</v>
      </c>
    </row>
    <row r="121" spans="1:12">
      <c r="A121" s="51" t="s">
        <v>843</v>
      </c>
      <c r="B121" s="51" t="s">
        <v>503</v>
      </c>
      <c r="C121" s="51">
        <v>1</v>
      </c>
      <c r="D121" s="51">
        <v>1</v>
      </c>
      <c r="E121" s="51">
        <v>1</v>
      </c>
      <c r="F121" s="51">
        <v>1</v>
      </c>
      <c r="G121" s="51">
        <v>1</v>
      </c>
      <c r="H121" s="51">
        <v>1</v>
      </c>
      <c r="I121" s="51">
        <v>2</v>
      </c>
      <c r="L121">
        <v>1</v>
      </c>
    </row>
    <row r="122" spans="1:12">
      <c r="A122" s="51" t="s">
        <v>844</v>
      </c>
      <c r="B122" s="51" t="s">
        <v>505</v>
      </c>
      <c r="C122" s="51">
        <v>1</v>
      </c>
      <c r="D122" s="51">
        <v>1</v>
      </c>
      <c r="E122" s="51">
        <v>1</v>
      </c>
      <c r="F122" s="51">
        <v>1</v>
      </c>
      <c r="G122" s="51">
        <v>1</v>
      </c>
      <c r="H122" s="51">
        <v>1</v>
      </c>
      <c r="I122" s="51">
        <v>2</v>
      </c>
      <c r="L122">
        <v>1</v>
      </c>
    </row>
    <row r="123" spans="1:12">
      <c r="A123" s="51" t="s">
        <v>846</v>
      </c>
      <c r="B123" s="51" t="s">
        <v>507</v>
      </c>
      <c r="C123" s="51">
        <v>1</v>
      </c>
      <c r="D123" s="51">
        <v>1</v>
      </c>
      <c r="E123" s="51">
        <v>1</v>
      </c>
      <c r="F123" s="51">
        <v>1</v>
      </c>
      <c r="G123" s="51">
        <v>1</v>
      </c>
      <c r="H123" s="51">
        <v>1</v>
      </c>
      <c r="I123" s="51">
        <v>2</v>
      </c>
      <c r="L123">
        <v>1</v>
      </c>
    </row>
    <row r="124" spans="1:12">
      <c r="A124" s="51" t="s">
        <v>847</v>
      </c>
      <c r="B124" s="51" t="s">
        <v>509</v>
      </c>
      <c r="C124" s="51">
        <v>1</v>
      </c>
      <c r="D124" s="51">
        <v>1</v>
      </c>
      <c r="E124" s="51">
        <v>1</v>
      </c>
      <c r="F124" s="51">
        <v>1</v>
      </c>
      <c r="G124" s="51">
        <v>1</v>
      </c>
      <c r="H124" s="51">
        <v>1</v>
      </c>
      <c r="I124" s="51">
        <v>2</v>
      </c>
      <c r="L124">
        <v>1</v>
      </c>
    </row>
    <row r="125" spans="1:12">
      <c r="A125" s="51" t="s">
        <v>848</v>
      </c>
      <c r="B125" s="51" t="s">
        <v>511</v>
      </c>
      <c r="C125" s="51">
        <v>1</v>
      </c>
      <c r="D125" s="51">
        <v>1</v>
      </c>
      <c r="E125" s="51">
        <v>1</v>
      </c>
      <c r="F125" s="51">
        <v>1</v>
      </c>
      <c r="G125" s="51">
        <v>1</v>
      </c>
      <c r="H125" s="51">
        <v>1</v>
      </c>
      <c r="I125" s="51">
        <v>2</v>
      </c>
      <c r="L125">
        <v>1</v>
      </c>
    </row>
    <row r="126" spans="1:12">
      <c r="A126" s="51" t="s">
        <v>850</v>
      </c>
      <c r="B126" s="51" t="s">
        <v>513</v>
      </c>
      <c r="C126" s="51">
        <v>1</v>
      </c>
      <c r="D126" s="51">
        <v>1</v>
      </c>
      <c r="E126" s="51">
        <v>1</v>
      </c>
      <c r="F126" s="51">
        <v>1</v>
      </c>
      <c r="G126" s="51">
        <v>1</v>
      </c>
      <c r="H126" s="51">
        <v>1</v>
      </c>
      <c r="I126" s="51">
        <v>2</v>
      </c>
      <c r="L126">
        <v>1</v>
      </c>
    </row>
    <row r="127" spans="1:12">
      <c r="A127" s="51" t="s">
        <v>851</v>
      </c>
      <c r="B127" s="51" t="s">
        <v>515</v>
      </c>
      <c r="C127" s="51">
        <v>1</v>
      </c>
      <c r="D127" s="51">
        <v>1</v>
      </c>
      <c r="E127" s="51">
        <v>1</v>
      </c>
      <c r="F127" s="51">
        <v>1</v>
      </c>
      <c r="G127" s="51">
        <v>1</v>
      </c>
      <c r="H127" s="51">
        <v>1</v>
      </c>
      <c r="I127" s="51">
        <v>2</v>
      </c>
      <c r="L127">
        <v>1</v>
      </c>
    </row>
    <row r="128" spans="1:12">
      <c r="A128" s="51" t="s">
        <v>852</v>
      </c>
      <c r="B128" s="51" t="s">
        <v>517</v>
      </c>
      <c r="C128" s="51">
        <v>1</v>
      </c>
      <c r="D128" s="51">
        <v>1</v>
      </c>
      <c r="E128" s="51">
        <v>1</v>
      </c>
      <c r="F128" s="51">
        <v>1</v>
      </c>
      <c r="G128" s="51">
        <v>1</v>
      </c>
      <c r="H128" s="51">
        <v>1</v>
      </c>
      <c r="I128" s="51">
        <v>2</v>
      </c>
      <c r="L128">
        <v>1</v>
      </c>
    </row>
    <row r="129" spans="1:12">
      <c r="A129" s="51" t="s">
        <v>853</v>
      </c>
      <c r="B129" s="51" t="s">
        <v>519</v>
      </c>
      <c r="C129" s="51">
        <v>1</v>
      </c>
      <c r="D129" s="51">
        <v>1</v>
      </c>
      <c r="E129" s="51">
        <v>1</v>
      </c>
      <c r="F129" s="51">
        <v>1</v>
      </c>
      <c r="G129" s="51">
        <v>1</v>
      </c>
      <c r="H129" s="51">
        <v>1</v>
      </c>
      <c r="I129" s="51">
        <v>2</v>
      </c>
      <c r="L129">
        <v>1</v>
      </c>
    </row>
    <row r="130" spans="1:12">
      <c r="A130" s="51" t="s">
        <v>856</v>
      </c>
      <c r="B130" s="51" t="s">
        <v>521</v>
      </c>
      <c r="C130" s="51">
        <v>1</v>
      </c>
      <c r="D130" s="51">
        <v>1</v>
      </c>
      <c r="E130" s="51">
        <v>1</v>
      </c>
      <c r="F130" s="51">
        <v>1</v>
      </c>
      <c r="G130" s="51">
        <v>1</v>
      </c>
      <c r="H130" s="51">
        <v>1</v>
      </c>
      <c r="I130" s="51">
        <v>2</v>
      </c>
      <c r="L130">
        <v>1</v>
      </c>
    </row>
    <row r="131" spans="1:12">
      <c r="A131" s="51" t="s">
        <v>857</v>
      </c>
      <c r="B131" s="51" t="s">
        <v>523</v>
      </c>
      <c r="C131" s="51">
        <v>1</v>
      </c>
      <c r="D131" s="51">
        <v>1</v>
      </c>
      <c r="E131" s="51">
        <v>1</v>
      </c>
      <c r="F131" s="51">
        <v>1</v>
      </c>
      <c r="G131" s="51">
        <v>1</v>
      </c>
      <c r="H131" s="51">
        <v>1</v>
      </c>
      <c r="I131" s="51">
        <v>2</v>
      </c>
      <c r="L131">
        <v>1</v>
      </c>
    </row>
    <row r="132" spans="1:12">
      <c r="A132" s="51" t="s">
        <v>858</v>
      </c>
      <c r="B132" s="51" t="s">
        <v>525</v>
      </c>
      <c r="C132" s="51">
        <v>1</v>
      </c>
      <c r="D132" s="51">
        <v>1</v>
      </c>
      <c r="E132" s="51">
        <v>1</v>
      </c>
      <c r="F132" s="51">
        <v>1</v>
      </c>
      <c r="G132" s="51">
        <v>1</v>
      </c>
      <c r="H132" s="51">
        <v>1</v>
      </c>
      <c r="I132" s="51">
        <v>2</v>
      </c>
      <c r="L132">
        <v>1</v>
      </c>
    </row>
    <row r="133" spans="1:12">
      <c r="A133" s="51" t="s">
        <v>864</v>
      </c>
      <c r="B133" s="51" t="s">
        <v>527</v>
      </c>
      <c r="C133" s="51">
        <v>1</v>
      </c>
      <c r="D133" s="51">
        <v>1</v>
      </c>
      <c r="E133" s="51">
        <v>1</v>
      </c>
      <c r="F133" s="51">
        <v>1</v>
      </c>
      <c r="G133" s="51">
        <v>1</v>
      </c>
      <c r="H133" s="51">
        <v>1</v>
      </c>
      <c r="I133" s="51">
        <v>2</v>
      </c>
      <c r="L133">
        <v>1</v>
      </c>
    </row>
    <row r="134" spans="1:12">
      <c r="A134" s="51" t="s">
        <v>865</v>
      </c>
      <c r="B134" s="51" t="s">
        <v>529</v>
      </c>
      <c r="C134" s="51">
        <v>1</v>
      </c>
      <c r="D134" s="51">
        <v>1</v>
      </c>
      <c r="E134" s="51">
        <v>1</v>
      </c>
      <c r="F134" s="51">
        <v>1</v>
      </c>
      <c r="G134" s="51">
        <v>1</v>
      </c>
      <c r="H134" s="51">
        <v>1</v>
      </c>
      <c r="I134" s="51">
        <v>2</v>
      </c>
      <c r="L134">
        <v>1</v>
      </c>
    </row>
    <row r="135" spans="1:12">
      <c r="A135" s="51" t="s">
        <v>868</v>
      </c>
      <c r="B135" s="51" t="s">
        <v>531</v>
      </c>
      <c r="C135" s="51">
        <v>1</v>
      </c>
      <c r="D135" s="51">
        <v>1</v>
      </c>
      <c r="E135" s="51">
        <v>1</v>
      </c>
      <c r="F135" s="51">
        <v>1</v>
      </c>
      <c r="G135" s="51">
        <v>1</v>
      </c>
      <c r="H135" s="51">
        <v>1</v>
      </c>
      <c r="I135" s="51">
        <v>2</v>
      </c>
      <c r="L135">
        <v>1</v>
      </c>
    </row>
    <row r="136" spans="1:12">
      <c r="A136" s="51" t="s">
        <v>869</v>
      </c>
      <c r="B136" s="51" t="s">
        <v>533</v>
      </c>
      <c r="C136" s="51">
        <v>1</v>
      </c>
      <c r="D136" s="51">
        <v>1</v>
      </c>
      <c r="E136" s="51">
        <v>1</v>
      </c>
      <c r="F136" s="51">
        <v>1</v>
      </c>
      <c r="G136" s="51">
        <v>1</v>
      </c>
      <c r="H136" s="51">
        <v>1</v>
      </c>
      <c r="I136" s="51">
        <v>2</v>
      </c>
      <c r="L136">
        <v>1</v>
      </c>
    </row>
    <row r="137" spans="1:12">
      <c r="A137" s="51" t="s">
        <v>870</v>
      </c>
      <c r="B137" s="51" t="s">
        <v>535</v>
      </c>
      <c r="C137" s="51">
        <v>1</v>
      </c>
      <c r="D137" s="51">
        <v>1</v>
      </c>
      <c r="E137" s="51">
        <v>1</v>
      </c>
      <c r="F137" s="51">
        <v>1</v>
      </c>
      <c r="G137" s="51">
        <v>1</v>
      </c>
      <c r="H137" s="51">
        <v>1</v>
      </c>
      <c r="I137" s="51">
        <v>2</v>
      </c>
      <c r="L137">
        <v>1</v>
      </c>
    </row>
    <row r="138" spans="1:12">
      <c r="A138" s="51" t="s">
        <v>871</v>
      </c>
      <c r="B138" s="51" t="s">
        <v>537</v>
      </c>
      <c r="C138" s="51">
        <v>1</v>
      </c>
      <c r="D138" s="51">
        <v>1</v>
      </c>
      <c r="E138" s="51">
        <v>1</v>
      </c>
      <c r="F138" s="51">
        <v>1</v>
      </c>
      <c r="G138" s="51">
        <v>1</v>
      </c>
      <c r="H138" s="51">
        <v>1</v>
      </c>
      <c r="I138" s="51">
        <v>2</v>
      </c>
      <c r="L138">
        <v>1</v>
      </c>
    </row>
    <row r="139" spans="1:12">
      <c r="A139" s="51" t="s">
        <v>872</v>
      </c>
      <c r="B139" s="51" t="s">
        <v>539</v>
      </c>
      <c r="C139" s="51">
        <v>1</v>
      </c>
      <c r="D139" s="51">
        <v>1</v>
      </c>
      <c r="E139" s="51">
        <v>1</v>
      </c>
      <c r="F139" s="51">
        <v>1</v>
      </c>
      <c r="G139" s="51">
        <v>1</v>
      </c>
      <c r="H139" s="51">
        <v>1</v>
      </c>
      <c r="I139" s="51">
        <v>2</v>
      </c>
      <c r="L139">
        <v>1</v>
      </c>
    </row>
    <row r="140" spans="1:12">
      <c r="A140" s="51" t="s">
        <v>873</v>
      </c>
      <c r="B140" s="51" t="s">
        <v>541</v>
      </c>
      <c r="C140" s="51">
        <v>0</v>
      </c>
      <c r="D140" s="51">
        <v>0</v>
      </c>
      <c r="E140" s="51">
        <v>0</v>
      </c>
      <c r="F140" s="51">
        <v>0</v>
      </c>
      <c r="G140" s="51">
        <v>0</v>
      </c>
      <c r="H140" s="51">
        <v>0</v>
      </c>
      <c r="I140" s="51">
        <v>2</v>
      </c>
      <c r="L140">
        <v>1</v>
      </c>
    </row>
    <row r="141" spans="1:12">
      <c r="A141" s="51" t="s">
        <v>874</v>
      </c>
      <c r="B141" s="51" t="s">
        <v>543</v>
      </c>
      <c r="C141" s="51">
        <v>1</v>
      </c>
      <c r="D141" s="51">
        <v>1</v>
      </c>
      <c r="E141" s="51">
        <v>1</v>
      </c>
      <c r="F141" s="51">
        <v>1</v>
      </c>
      <c r="G141" s="51">
        <v>1</v>
      </c>
      <c r="H141" s="51">
        <v>1</v>
      </c>
      <c r="I141" s="51">
        <v>2</v>
      </c>
      <c r="L141">
        <v>1</v>
      </c>
    </row>
    <row r="142" spans="1:12">
      <c r="A142" s="51" t="s">
        <v>875</v>
      </c>
      <c r="B142" s="51" t="s">
        <v>545</v>
      </c>
      <c r="C142" s="51">
        <v>0</v>
      </c>
      <c r="D142" s="51">
        <v>0</v>
      </c>
      <c r="E142" s="51">
        <v>0</v>
      </c>
      <c r="F142" s="51">
        <v>0</v>
      </c>
      <c r="G142" s="51">
        <v>0</v>
      </c>
      <c r="H142" s="51">
        <v>0</v>
      </c>
      <c r="I142" s="51">
        <v>0</v>
      </c>
      <c r="L142">
        <v>1</v>
      </c>
    </row>
    <row r="143" spans="1:12">
      <c r="A143" s="51" t="s">
        <v>877</v>
      </c>
      <c r="B143" s="51" t="s">
        <v>547</v>
      </c>
      <c r="C143" s="51">
        <v>1</v>
      </c>
      <c r="D143" s="51">
        <v>1</v>
      </c>
      <c r="E143" s="51">
        <v>1</v>
      </c>
      <c r="F143" s="51">
        <v>1</v>
      </c>
      <c r="G143" s="51">
        <v>1</v>
      </c>
      <c r="H143" s="51">
        <v>1</v>
      </c>
      <c r="I143" s="51">
        <v>2</v>
      </c>
      <c r="L143">
        <v>1</v>
      </c>
    </row>
    <row r="144" spans="1:12">
      <c r="A144" s="51" t="s">
        <v>878</v>
      </c>
      <c r="B144" s="51" t="s">
        <v>549</v>
      </c>
      <c r="C144" s="51">
        <v>1</v>
      </c>
      <c r="D144" s="51">
        <v>1</v>
      </c>
      <c r="E144" s="51">
        <v>1</v>
      </c>
      <c r="F144" s="51">
        <v>1</v>
      </c>
      <c r="G144" s="51">
        <v>1</v>
      </c>
      <c r="H144" s="51">
        <v>1</v>
      </c>
      <c r="I144" s="51">
        <v>2</v>
      </c>
      <c r="L144">
        <v>1</v>
      </c>
    </row>
    <row r="145" spans="1:12">
      <c r="A145" s="51" t="s">
        <v>881</v>
      </c>
      <c r="B145" s="51" t="s">
        <v>551</v>
      </c>
      <c r="C145" s="51">
        <v>1</v>
      </c>
      <c r="D145" s="51">
        <v>1</v>
      </c>
      <c r="E145" s="51">
        <v>1</v>
      </c>
      <c r="F145" s="51">
        <v>1</v>
      </c>
      <c r="G145" s="51">
        <v>1</v>
      </c>
      <c r="H145" s="51">
        <v>1</v>
      </c>
      <c r="I145" s="51">
        <v>2</v>
      </c>
      <c r="L145">
        <v>1</v>
      </c>
    </row>
    <row r="146" spans="1:12">
      <c r="A146" s="51" t="s">
        <v>882</v>
      </c>
      <c r="B146" s="51" t="s">
        <v>553</v>
      </c>
      <c r="C146" s="51">
        <v>1</v>
      </c>
      <c r="D146" s="51">
        <v>1</v>
      </c>
      <c r="E146" s="51">
        <v>1</v>
      </c>
      <c r="F146" s="51">
        <v>1</v>
      </c>
      <c r="G146" s="51">
        <v>1</v>
      </c>
      <c r="H146" s="51">
        <v>1</v>
      </c>
      <c r="I146" s="51">
        <v>2</v>
      </c>
      <c r="L146">
        <v>1</v>
      </c>
    </row>
    <row r="147" spans="1:12">
      <c r="A147" s="51" t="s">
        <v>883</v>
      </c>
      <c r="B147" s="51" t="s">
        <v>555</v>
      </c>
      <c r="C147" s="51">
        <v>1</v>
      </c>
      <c r="D147" s="51">
        <v>1</v>
      </c>
      <c r="E147" s="51">
        <v>1</v>
      </c>
      <c r="F147" s="51">
        <v>1</v>
      </c>
      <c r="G147" s="51">
        <v>1</v>
      </c>
      <c r="H147" s="51">
        <v>1</v>
      </c>
      <c r="I147" s="51">
        <v>2</v>
      </c>
      <c r="L147">
        <v>1</v>
      </c>
    </row>
    <row r="148" spans="1:12">
      <c r="A148" s="51" t="s">
        <v>884</v>
      </c>
      <c r="B148" s="51" t="s">
        <v>557</v>
      </c>
      <c r="C148" s="51">
        <v>1</v>
      </c>
      <c r="D148" s="51">
        <v>1</v>
      </c>
      <c r="E148" s="51">
        <v>1</v>
      </c>
      <c r="F148" s="51">
        <v>1</v>
      </c>
      <c r="G148" s="51">
        <v>1</v>
      </c>
      <c r="H148" s="51">
        <v>1</v>
      </c>
      <c r="I148" s="51">
        <v>2</v>
      </c>
      <c r="L148">
        <v>1</v>
      </c>
    </row>
    <row r="149" spans="1:12">
      <c r="A149" s="51" t="s">
        <v>885</v>
      </c>
      <c r="B149" s="51" t="s">
        <v>559</v>
      </c>
      <c r="C149" s="51">
        <v>0</v>
      </c>
      <c r="D149" s="51">
        <v>0</v>
      </c>
      <c r="E149" s="51">
        <v>1</v>
      </c>
      <c r="F149" s="51">
        <v>1</v>
      </c>
      <c r="G149" s="51">
        <v>1</v>
      </c>
      <c r="H149" s="51">
        <v>1</v>
      </c>
      <c r="I149" s="51">
        <v>2</v>
      </c>
      <c r="L149">
        <v>1</v>
      </c>
    </row>
    <row r="150" spans="1:12">
      <c r="A150" s="51" t="s">
        <v>887</v>
      </c>
      <c r="B150" s="51" t="s">
        <v>561</v>
      </c>
      <c r="C150" s="51">
        <v>1</v>
      </c>
      <c r="D150" s="51">
        <v>1</v>
      </c>
      <c r="E150" s="51">
        <v>1</v>
      </c>
      <c r="F150" s="51">
        <v>1</v>
      </c>
      <c r="G150" s="51">
        <v>1</v>
      </c>
      <c r="H150" s="51">
        <v>1</v>
      </c>
      <c r="I150" s="51">
        <v>2</v>
      </c>
      <c r="L150">
        <v>1</v>
      </c>
    </row>
    <row r="151" spans="1:12">
      <c r="A151" s="51" t="s">
        <v>888</v>
      </c>
      <c r="B151" s="51" t="s">
        <v>563</v>
      </c>
      <c r="C151" s="51">
        <v>0</v>
      </c>
      <c r="D151" s="51">
        <v>0</v>
      </c>
      <c r="E151" s="51">
        <v>1</v>
      </c>
      <c r="F151" s="51">
        <v>1</v>
      </c>
      <c r="G151" s="51">
        <v>1</v>
      </c>
      <c r="H151" s="51">
        <v>1</v>
      </c>
      <c r="I151" s="51">
        <v>2</v>
      </c>
      <c r="L151">
        <v>1</v>
      </c>
    </row>
    <row r="152" spans="1:12">
      <c r="A152" s="51" t="s">
        <v>889</v>
      </c>
      <c r="B152" s="51" t="s">
        <v>565</v>
      </c>
      <c r="C152" s="51">
        <v>1</v>
      </c>
      <c r="D152" s="51">
        <v>1</v>
      </c>
      <c r="E152" s="51">
        <v>1</v>
      </c>
      <c r="F152" s="51">
        <v>1</v>
      </c>
      <c r="G152" s="51">
        <v>1</v>
      </c>
      <c r="H152" s="51">
        <v>1</v>
      </c>
      <c r="I152" s="51">
        <v>2</v>
      </c>
      <c r="L152">
        <v>1</v>
      </c>
    </row>
    <row r="153" spans="1:12">
      <c r="A153" s="51" t="s">
        <v>890</v>
      </c>
      <c r="B153" s="51" t="s">
        <v>567</v>
      </c>
      <c r="C153" s="51">
        <v>1</v>
      </c>
      <c r="D153" s="51">
        <v>1</v>
      </c>
      <c r="E153" s="51">
        <v>1</v>
      </c>
      <c r="F153" s="51">
        <v>1</v>
      </c>
      <c r="G153" s="51">
        <v>1</v>
      </c>
      <c r="H153" s="51">
        <v>1</v>
      </c>
      <c r="I153" s="51">
        <v>2</v>
      </c>
      <c r="L153">
        <v>1</v>
      </c>
    </row>
    <row r="154" spans="1:12">
      <c r="A154" s="51" t="s">
        <v>891</v>
      </c>
      <c r="B154" s="51" t="s">
        <v>569</v>
      </c>
      <c r="C154" s="51">
        <v>1</v>
      </c>
      <c r="D154" s="51">
        <v>1</v>
      </c>
      <c r="E154" s="51">
        <v>1</v>
      </c>
      <c r="F154" s="51">
        <v>1</v>
      </c>
      <c r="G154" s="51">
        <v>1</v>
      </c>
      <c r="H154" s="51">
        <v>1</v>
      </c>
      <c r="I154" s="51">
        <v>2</v>
      </c>
      <c r="L154">
        <v>1</v>
      </c>
    </row>
    <row r="155" spans="1:12">
      <c r="A155" s="51" t="s">
        <v>892</v>
      </c>
      <c r="B155" s="51" t="s">
        <v>571</v>
      </c>
      <c r="C155" s="51">
        <v>1</v>
      </c>
      <c r="D155" s="51">
        <v>1</v>
      </c>
      <c r="E155" s="51">
        <v>1</v>
      </c>
      <c r="F155" s="51">
        <v>1</v>
      </c>
      <c r="G155" s="51">
        <v>1</v>
      </c>
      <c r="H155" s="51">
        <v>1</v>
      </c>
      <c r="I155" s="51">
        <v>2</v>
      </c>
      <c r="L155">
        <v>1</v>
      </c>
    </row>
    <row r="156" spans="1:12">
      <c r="A156" s="51" t="s">
        <v>893</v>
      </c>
      <c r="B156" s="51" t="s">
        <v>573</v>
      </c>
      <c r="C156" s="51">
        <v>1</v>
      </c>
      <c r="D156" s="51">
        <v>1</v>
      </c>
      <c r="E156" s="51">
        <v>1</v>
      </c>
      <c r="F156" s="51">
        <v>1</v>
      </c>
      <c r="G156" s="51">
        <v>1</v>
      </c>
      <c r="H156" s="51">
        <v>1</v>
      </c>
      <c r="I156" s="51">
        <v>2</v>
      </c>
      <c r="L156">
        <v>1</v>
      </c>
    </row>
    <row r="157" spans="1:12">
      <c r="A157" s="51" t="s">
        <v>897</v>
      </c>
      <c r="B157" s="51" t="s">
        <v>575</v>
      </c>
      <c r="C157" s="51">
        <v>1</v>
      </c>
      <c r="D157" s="51">
        <v>1</v>
      </c>
      <c r="E157" s="51">
        <v>1</v>
      </c>
      <c r="F157" s="51">
        <v>1</v>
      </c>
      <c r="G157" s="51">
        <v>1</v>
      </c>
      <c r="H157" s="51">
        <v>1</v>
      </c>
      <c r="I157" s="51">
        <v>2</v>
      </c>
      <c r="L157">
        <v>1</v>
      </c>
    </row>
    <row r="158" spans="1:12">
      <c r="A158" s="51" t="s">
        <v>899</v>
      </c>
      <c r="B158" s="51" t="s">
        <v>577</v>
      </c>
      <c r="C158" s="51">
        <v>0</v>
      </c>
      <c r="D158" s="51">
        <v>0</v>
      </c>
      <c r="E158" s="51">
        <v>0</v>
      </c>
      <c r="F158" s="51">
        <v>0</v>
      </c>
      <c r="G158" s="51">
        <v>0</v>
      </c>
      <c r="H158" s="51">
        <v>0</v>
      </c>
      <c r="I158" s="51">
        <v>1</v>
      </c>
      <c r="L158">
        <v>1</v>
      </c>
    </row>
    <row r="159" spans="1:12">
      <c r="A159" s="51" t="s">
        <v>902</v>
      </c>
      <c r="B159" s="51" t="s">
        <v>579</v>
      </c>
      <c r="C159" s="51">
        <v>1</v>
      </c>
      <c r="D159" s="51">
        <v>1</v>
      </c>
      <c r="E159" s="51">
        <v>1</v>
      </c>
      <c r="F159" s="51">
        <v>1</v>
      </c>
      <c r="G159" s="51">
        <v>1</v>
      </c>
      <c r="H159" s="51">
        <v>1</v>
      </c>
      <c r="I159" s="51">
        <v>2</v>
      </c>
      <c r="L159">
        <v>1</v>
      </c>
    </row>
    <row r="160" spans="1:12">
      <c r="A160" s="51" t="s">
        <v>905</v>
      </c>
      <c r="B160" s="51" t="s">
        <v>581</v>
      </c>
      <c r="C160" s="51">
        <v>1</v>
      </c>
      <c r="D160" s="51">
        <v>1</v>
      </c>
      <c r="E160" s="51">
        <v>1</v>
      </c>
      <c r="F160" s="51">
        <v>1</v>
      </c>
      <c r="G160" s="51">
        <v>1</v>
      </c>
      <c r="H160" s="51">
        <v>1</v>
      </c>
      <c r="I160" s="51">
        <v>2</v>
      </c>
      <c r="L160">
        <v>1</v>
      </c>
    </row>
    <row r="161" spans="1:12">
      <c r="A161" s="51" t="s">
        <v>907</v>
      </c>
      <c r="B161" s="51" t="s">
        <v>583</v>
      </c>
      <c r="C161" s="51">
        <v>0</v>
      </c>
      <c r="D161" s="51">
        <v>0</v>
      </c>
      <c r="E161" s="51">
        <v>0</v>
      </c>
      <c r="F161" s="51">
        <v>0</v>
      </c>
      <c r="G161" s="51">
        <v>0</v>
      </c>
      <c r="H161" s="51">
        <v>0</v>
      </c>
      <c r="I161" s="51">
        <v>1</v>
      </c>
      <c r="L161">
        <v>1</v>
      </c>
    </row>
    <row r="162" spans="1:12">
      <c r="A162" s="51" t="s">
        <v>909</v>
      </c>
      <c r="B162" s="51" t="s">
        <v>585</v>
      </c>
      <c r="C162" s="51">
        <v>1</v>
      </c>
      <c r="D162" s="51">
        <v>1</v>
      </c>
      <c r="E162" s="51">
        <v>1</v>
      </c>
      <c r="F162" s="51">
        <v>1</v>
      </c>
      <c r="G162" s="51">
        <v>1</v>
      </c>
      <c r="H162" s="51">
        <v>1</v>
      </c>
      <c r="I162" s="51">
        <v>2</v>
      </c>
      <c r="L162">
        <v>1</v>
      </c>
    </row>
    <row r="163" spans="1:12">
      <c r="A163" s="51" t="s">
        <v>911</v>
      </c>
      <c r="B163" s="51" t="s">
        <v>587</v>
      </c>
      <c r="C163" s="51">
        <v>1</v>
      </c>
      <c r="D163" s="51">
        <v>1</v>
      </c>
      <c r="E163" s="51">
        <v>1</v>
      </c>
      <c r="F163" s="51">
        <v>1</v>
      </c>
      <c r="G163" s="51">
        <v>1</v>
      </c>
      <c r="H163" s="51">
        <v>1</v>
      </c>
      <c r="I163" s="51">
        <v>2</v>
      </c>
      <c r="L163">
        <v>1</v>
      </c>
    </row>
    <row r="164" spans="1:12">
      <c r="A164" s="51" t="s">
        <v>912</v>
      </c>
      <c r="B164" s="51" t="s">
        <v>589</v>
      </c>
      <c r="C164" s="51">
        <v>1</v>
      </c>
      <c r="D164" s="51">
        <v>1</v>
      </c>
      <c r="E164" s="51">
        <v>1</v>
      </c>
      <c r="F164" s="51">
        <v>1</v>
      </c>
      <c r="G164" s="51">
        <v>1</v>
      </c>
      <c r="H164" s="51">
        <v>1</v>
      </c>
      <c r="I164" s="51">
        <v>2</v>
      </c>
      <c r="L164">
        <v>1</v>
      </c>
    </row>
    <row r="165" spans="1:12">
      <c r="A165" s="51" t="s">
        <v>913</v>
      </c>
      <c r="B165" s="51" t="s">
        <v>591</v>
      </c>
      <c r="C165" s="51">
        <v>1</v>
      </c>
      <c r="D165" s="51">
        <v>1</v>
      </c>
      <c r="E165" s="51">
        <v>1</v>
      </c>
      <c r="F165" s="51">
        <v>1</v>
      </c>
      <c r="G165" s="51">
        <v>1</v>
      </c>
      <c r="H165" s="51">
        <v>1</v>
      </c>
      <c r="I165" s="51">
        <v>2</v>
      </c>
      <c r="L165">
        <v>1</v>
      </c>
    </row>
    <row r="166" spans="1:12">
      <c r="A166" s="51" t="s">
        <v>914</v>
      </c>
      <c r="B166" s="51" t="s">
        <v>593</v>
      </c>
      <c r="C166" s="51">
        <v>1</v>
      </c>
      <c r="D166" s="51">
        <v>1</v>
      </c>
      <c r="E166" s="51">
        <v>1</v>
      </c>
      <c r="F166" s="51">
        <v>1</v>
      </c>
      <c r="G166" s="51">
        <v>1</v>
      </c>
      <c r="H166" s="51">
        <v>1</v>
      </c>
      <c r="I166" s="51">
        <v>2</v>
      </c>
      <c r="L166">
        <v>1</v>
      </c>
    </row>
    <row r="167" spans="1:12">
      <c r="A167" s="51" t="s">
        <v>915</v>
      </c>
      <c r="B167" s="51" t="s">
        <v>595</v>
      </c>
      <c r="C167" s="51">
        <v>1</v>
      </c>
      <c r="D167" s="51">
        <v>1</v>
      </c>
      <c r="E167" s="51">
        <v>1</v>
      </c>
      <c r="F167" s="51">
        <v>1</v>
      </c>
      <c r="G167" s="51">
        <v>1</v>
      </c>
      <c r="H167" s="51">
        <v>1</v>
      </c>
      <c r="I167" s="51">
        <v>2</v>
      </c>
      <c r="L167">
        <v>1</v>
      </c>
    </row>
    <row r="168" spans="1:12">
      <c r="A168" s="51" t="s">
        <v>917</v>
      </c>
      <c r="B168" s="51" t="s">
        <v>597</v>
      </c>
      <c r="C168" s="51">
        <v>0</v>
      </c>
      <c r="D168" s="51">
        <v>0</v>
      </c>
      <c r="E168" s="51">
        <v>0</v>
      </c>
      <c r="F168" s="51">
        <v>0</v>
      </c>
      <c r="G168" s="51">
        <v>0</v>
      </c>
      <c r="H168" s="51">
        <v>0</v>
      </c>
      <c r="I168" s="51">
        <v>1</v>
      </c>
      <c r="L168">
        <v>1</v>
      </c>
    </row>
    <row r="169" spans="1:12">
      <c r="A169" s="51" t="s">
        <v>918</v>
      </c>
      <c r="B169" s="51" t="s">
        <v>599</v>
      </c>
      <c r="C169" s="51">
        <v>1</v>
      </c>
      <c r="D169" s="51">
        <v>1</v>
      </c>
      <c r="E169" s="51">
        <v>1</v>
      </c>
      <c r="F169" s="51">
        <v>1</v>
      </c>
      <c r="G169" s="51">
        <v>1</v>
      </c>
      <c r="H169" s="51">
        <v>1</v>
      </c>
      <c r="I169" s="51">
        <v>2</v>
      </c>
      <c r="L169">
        <v>1</v>
      </c>
    </row>
    <row r="170" spans="1:12">
      <c r="A170" s="51" t="s">
        <v>919</v>
      </c>
      <c r="B170" s="51" t="s">
        <v>601</v>
      </c>
      <c r="C170" s="51">
        <v>1</v>
      </c>
      <c r="D170" s="51">
        <v>1</v>
      </c>
      <c r="E170" s="51">
        <v>1</v>
      </c>
      <c r="F170" s="51">
        <v>1</v>
      </c>
      <c r="G170" s="51">
        <v>1</v>
      </c>
      <c r="H170" s="51">
        <v>1</v>
      </c>
      <c r="I170" s="51">
        <v>2</v>
      </c>
      <c r="L170">
        <v>1</v>
      </c>
    </row>
    <row r="171" spans="1:12">
      <c r="A171" s="51" t="s">
        <v>920</v>
      </c>
      <c r="B171" s="51" t="s">
        <v>603</v>
      </c>
      <c r="C171" s="51">
        <v>1</v>
      </c>
      <c r="D171" s="51">
        <v>1</v>
      </c>
      <c r="E171" s="51">
        <v>1</v>
      </c>
      <c r="F171" s="51">
        <v>1</v>
      </c>
      <c r="G171" s="51">
        <v>1</v>
      </c>
      <c r="H171" s="51">
        <v>1</v>
      </c>
      <c r="I171" s="51">
        <v>2</v>
      </c>
      <c r="L171">
        <v>1</v>
      </c>
    </row>
    <row r="172" spans="1:12">
      <c r="A172" s="51" t="s">
        <v>921</v>
      </c>
      <c r="B172" s="51" t="s">
        <v>605</v>
      </c>
      <c r="C172" s="51">
        <v>1</v>
      </c>
      <c r="D172" s="51">
        <v>1</v>
      </c>
      <c r="E172" s="51">
        <v>1</v>
      </c>
      <c r="F172" s="51">
        <v>1</v>
      </c>
      <c r="G172" s="51">
        <v>1</v>
      </c>
      <c r="H172" s="51">
        <v>1</v>
      </c>
      <c r="I172" s="51">
        <v>2</v>
      </c>
      <c r="L172">
        <v>1</v>
      </c>
    </row>
    <row r="173" spans="1:12">
      <c r="A173" s="51" t="s">
        <v>922</v>
      </c>
      <c r="B173" s="51" t="s">
        <v>607</v>
      </c>
      <c r="C173" s="51">
        <v>1</v>
      </c>
      <c r="D173" s="51">
        <v>1</v>
      </c>
      <c r="E173" s="51">
        <v>1</v>
      </c>
      <c r="F173" s="51">
        <v>1</v>
      </c>
      <c r="G173" s="51">
        <v>1</v>
      </c>
      <c r="H173" s="51">
        <v>1</v>
      </c>
      <c r="I173" s="51">
        <v>2</v>
      </c>
      <c r="L173">
        <v>1</v>
      </c>
    </row>
    <row r="174" spans="1:12">
      <c r="A174" s="51" t="s">
        <v>923</v>
      </c>
      <c r="B174" s="51" t="s">
        <v>609</v>
      </c>
      <c r="C174" s="51">
        <v>1</v>
      </c>
      <c r="D174" s="51">
        <v>1</v>
      </c>
      <c r="E174" s="51">
        <v>1</v>
      </c>
      <c r="F174" s="51">
        <v>1</v>
      </c>
      <c r="G174" s="51">
        <v>1</v>
      </c>
      <c r="H174" s="51">
        <v>1</v>
      </c>
      <c r="I174" s="51">
        <v>2</v>
      </c>
      <c r="L174">
        <v>1</v>
      </c>
    </row>
    <row r="175" spans="1:12">
      <c r="A175" s="51" t="s">
        <v>925</v>
      </c>
      <c r="B175" s="51" t="s">
        <v>611</v>
      </c>
      <c r="C175" s="51">
        <v>1</v>
      </c>
      <c r="D175" s="51">
        <v>1</v>
      </c>
      <c r="E175" s="51">
        <v>1</v>
      </c>
      <c r="F175" s="51">
        <v>1</v>
      </c>
      <c r="G175" s="51">
        <v>1</v>
      </c>
      <c r="H175" s="51">
        <v>1</v>
      </c>
      <c r="I175" s="51">
        <v>2</v>
      </c>
      <c r="L175">
        <v>1</v>
      </c>
    </row>
    <row r="176" spans="1:12">
      <c r="A176" s="51" t="s">
        <v>926</v>
      </c>
      <c r="B176" s="51" t="s">
        <v>613</v>
      </c>
      <c r="C176" s="51">
        <v>1</v>
      </c>
      <c r="D176" s="51">
        <v>1</v>
      </c>
      <c r="E176" s="51">
        <v>1</v>
      </c>
      <c r="F176" s="51">
        <v>1</v>
      </c>
      <c r="G176" s="51">
        <v>1</v>
      </c>
      <c r="H176" s="51">
        <v>1</v>
      </c>
      <c r="I176" s="51">
        <v>2</v>
      </c>
      <c r="L176">
        <v>1</v>
      </c>
    </row>
    <row r="177" spans="1:12">
      <c r="A177" s="51" t="s">
        <v>927</v>
      </c>
      <c r="B177" s="51" t="s">
        <v>615</v>
      </c>
      <c r="C177" s="51">
        <v>1</v>
      </c>
      <c r="D177" s="51">
        <v>1</v>
      </c>
      <c r="E177" s="51">
        <v>1</v>
      </c>
      <c r="F177" s="51">
        <v>1</v>
      </c>
      <c r="G177" s="51">
        <v>1</v>
      </c>
      <c r="H177" s="51">
        <v>1</v>
      </c>
      <c r="I177" s="51">
        <v>2</v>
      </c>
      <c r="L177">
        <v>1</v>
      </c>
    </row>
    <row r="178" spans="1:12">
      <c r="A178" s="51" t="s">
        <v>929</v>
      </c>
      <c r="B178" s="51" t="s">
        <v>617</v>
      </c>
      <c r="C178" s="51">
        <v>0</v>
      </c>
      <c r="D178" s="51">
        <v>0</v>
      </c>
      <c r="E178" s="51">
        <v>0</v>
      </c>
      <c r="F178" s="51">
        <v>0</v>
      </c>
      <c r="G178" s="51">
        <v>0</v>
      </c>
      <c r="H178" s="51">
        <v>0</v>
      </c>
      <c r="I178" s="51">
        <v>1</v>
      </c>
      <c r="L178">
        <v>1</v>
      </c>
    </row>
    <row r="179" spans="1:12">
      <c r="A179" s="51" t="s">
        <v>930</v>
      </c>
      <c r="B179" s="51" t="s">
        <v>619</v>
      </c>
      <c r="C179" s="51">
        <v>0</v>
      </c>
      <c r="D179" s="51">
        <v>1</v>
      </c>
      <c r="E179" s="51">
        <v>0</v>
      </c>
      <c r="F179" s="51">
        <v>1</v>
      </c>
      <c r="G179" s="51">
        <v>1</v>
      </c>
      <c r="H179" s="51">
        <v>1</v>
      </c>
      <c r="I179" s="51">
        <v>2</v>
      </c>
      <c r="L179">
        <v>1</v>
      </c>
    </row>
    <row r="180" spans="1:12">
      <c r="A180" s="51" t="s">
        <v>931</v>
      </c>
      <c r="B180" s="51" t="s">
        <v>621</v>
      </c>
      <c r="C180" s="51">
        <v>1</v>
      </c>
      <c r="D180" s="51">
        <v>1</v>
      </c>
      <c r="E180" s="51">
        <v>1</v>
      </c>
      <c r="F180" s="51">
        <v>1</v>
      </c>
      <c r="G180" s="51">
        <v>1</v>
      </c>
      <c r="H180" s="51">
        <v>1</v>
      </c>
      <c r="I180" s="51">
        <v>2</v>
      </c>
      <c r="L180">
        <v>1</v>
      </c>
    </row>
    <row r="181" spans="1:12">
      <c r="A181" s="51" t="s">
        <v>932</v>
      </c>
      <c r="B181" s="51" t="s">
        <v>623</v>
      </c>
      <c r="C181" s="51">
        <v>1</v>
      </c>
      <c r="D181" s="51">
        <v>1</v>
      </c>
      <c r="E181" s="51">
        <v>1</v>
      </c>
      <c r="F181" s="51">
        <v>1</v>
      </c>
      <c r="G181" s="51">
        <v>1</v>
      </c>
      <c r="H181" s="51">
        <v>1</v>
      </c>
      <c r="I181" s="51">
        <v>2</v>
      </c>
      <c r="L181">
        <v>1</v>
      </c>
    </row>
    <row r="182" spans="1:12">
      <c r="A182" s="51" t="s">
        <v>933</v>
      </c>
      <c r="B182" s="51" t="s">
        <v>625</v>
      </c>
      <c r="C182" s="51">
        <v>1</v>
      </c>
      <c r="D182" s="51">
        <v>1</v>
      </c>
      <c r="E182" s="51">
        <v>1</v>
      </c>
      <c r="F182" s="51">
        <v>1</v>
      </c>
      <c r="G182" s="51">
        <v>1</v>
      </c>
      <c r="H182" s="51">
        <v>1</v>
      </c>
      <c r="I182" s="51">
        <v>2</v>
      </c>
      <c r="L182">
        <v>1</v>
      </c>
    </row>
    <row r="183" spans="1:12">
      <c r="A183" s="51" t="s">
        <v>935</v>
      </c>
      <c r="B183" s="51" t="s">
        <v>627</v>
      </c>
      <c r="C183" s="51">
        <v>1</v>
      </c>
      <c r="D183" s="51">
        <v>1</v>
      </c>
      <c r="E183" s="51">
        <v>1</v>
      </c>
      <c r="F183" s="51">
        <v>1</v>
      </c>
      <c r="G183" s="51">
        <v>1</v>
      </c>
      <c r="H183" s="51">
        <v>1</v>
      </c>
      <c r="I183" s="51">
        <v>2</v>
      </c>
      <c r="L183">
        <v>1</v>
      </c>
    </row>
    <row r="184" spans="1:12">
      <c r="A184" s="51" t="s">
        <v>936</v>
      </c>
      <c r="B184" s="51" t="s">
        <v>629</v>
      </c>
      <c r="C184" s="51">
        <v>1</v>
      </c>
      <c r="D184" s="51">
        <v>1</v>
      </c>
      <c r="E184" s="51">
        <v>1</v>
      </c>
      <c r="F184" s="51">
        <v>1</v>
      </c>
      <c r="G184" s="51">
        <v>1</v>
      </c>
      <c r="H184" s="51">
        <v>1</v>
      </c>
      <c r="I184" s="51">
        <v>2</v>
      </c>
      <c r="L184">
        <v>1</v>
      </c>
    </row>
    <row r="185" spans="1:12">
      <c r="A185" s="51" t="s">
        <v>937</v>
      </c>
      <c r="B185" s="51" t="s">
        <v>631</v>
      </c>
      <c r="C185" s="51">
        <v>1</v>
      </c>
      <c r="D185" s="51">
        <v>1</v>
      </c>
      <c r="E185" s="51">
        <v>1</v>
      </c>
      <c r="F185" s="51">
        <v>1</v>
      </c>
      <c r="G185" s="51">
        <v>1</v>
      </c>
      <c r="H185" s="51">
        <v>1</v>
      </c>
      <c r="I185" s="51">
        <v>2</v>
      </c>
      <c r="L185">
        <v>1</v>
      </c>
    </row>
    <row r="186" spans="1:12">
      <c r="A186" s="51" t="s">
        <v>939</v>
      </c>
      <c r="B186" s="51" t="s">
        <v>633</v>
      </c>
      <c r="C186" s="51">
        <v>1</v>
      </c>
      <c r="D186" s="51">
        <v>1</v>
      </c>
      <c r="E186" s="51">
        <v>1</v>
      </c>
      <c r="F186" s="51">
        <v>1</v>
      </c>
      <c r="G186" s="51">
        <v>1</v>
      </c>
      <c r="H186" s="51">
        <v>1</v>
      </c>
      <c r="I186" s="51">
        <v>2</v>
      </c>
      <c r="L186">
        <v>1</v>
      </c>
    </row>
    <row r="187" spans="1:12">
      <c r="A187" s="51" t="s">
        <v>940</v>
      </c>
      <c r="B187" s="51" t="s">
        <v>635</v>
      </c>
      <c r="C187" s="51">
        <v>1</v>
      </c>
      <c r="D187" s="51">
        <v>1</v>
      </c>
      <c r="E187" s="51">
        <v>1</v>
      </c>
      <c r="F187" s="51">
        <v>1</v>
      </c>
      <c r="G187" s="51">
        <v>1</v>
      </c>
      <c r="H187" s="51">
        <v>1</v>
      </c>
      <c r="I187" s="51">
        <v>2</v>
      </c>
      <c r="L187">
        <v>1</v>
      </c>
    </row>
    <row r="188" spans="1:12">
      <c r="A188" s="51" t="s">
        <v>941</v>
      </c>
      <c r="B188" s="51" t="s">
        <v>637</v>
      </c>
      <c r="C188" s="51">
        <v>1</v>
      </c>
      <c r="D188" s="51">
        <v>1</v>
      </c>
      <c r="E188" s="51">
        <v>1</v>
      </c>
      <c r="F188" s="51">
        <v>1</v>
      </c>
      <c r="G188" s="51">
        <v>1</v>
      </c>
      <c r="H188" s="51">
        <v>1</v>
      </c>
      <c r="I188" s="51">
        <v>2</v>
      </c>
      <c r="L188">
        <v>1</v>
      </c>
    </row>
    <row r="189" spans="1:12">
      <c r="A189" s="51" t="s">
        <v>942</v>
      </c>
      <c r="B189" s="51" t="s">
        <v>639</v>
      </c>
      <c r="C189" s="51">
        <v>1</v>
      </c>
      <c r="D189" s="51">
        <v>1</v>
      </c>
      <c r="E189" s="51">
        <v>1</v>
      </c>
      <c r="F189" s="51">
        <v>1</v>
      </c>
      <c r="G189" s="51">
        <v>1</v>
      </c>
      <c r="H189" s="51">
        <v>1</v>
      </c>
      <c r="I189" s="51">
        <v>2</v>
      </c>
      <c r="L189">
        <v>1</v>
      </c>
    </row>
    <row r="190" spans="1:12">
      <c r="A190" s="51" t="s">
        <v>943</v>
      </c>
      <c r="B190" s="51" t="s">
        <v>641</v>
      </c>
      <c r="C190" s="51">
        <v>1</v>
      </c>
      <c r="D190" s="51">
        <v>1</v>
      </c>
      <c r="E190" s="51">
        <v>1</v>
      </c>
      <c r="F190" s="51">
        <v>1</v>
      </c>
      <c r="G190" s="51">
        <v>1</v>
      </c>
      <c r="H190" s="51">
        <v>1</v>
      </c>
      <c r="I190" s="51">
        <v>2</v>
      </c>
      <c r="L190">
        <v>1</v>
      </c>
    </row>
    <row r="191" spans="1:12">
      <c r="A191" s="51" t="s">
        <v>944</v>
      </c>
      <c r="B191" s="51" t="s">
        <v>643</v>
      </c>
      <c r="C191" s="51">
        <v>1</v>
      </c>
      <c r="D191" s="51">
        <v>1</v>
      </c>
      <c r="E191" s="51">
        <v>1</v>
      </c>
      <c r="F191" s="51">
        <v>1</v>
      </c>
      <c r="G191" s="51">
        <v>1</v>
      </c>
      <c r="H191" s="51">
        <v>1</v>
      </c>
      <c r="I191" s="51">
        <v>2</v>
      </c>
      <c r="L191">
        <v>1</v>
      </c>
    </row>
    <row r="192" spans="1:12">
      <c r="A192" s="51" t="s">
        <v>945</v>
      </c>
      <c r="B192" s="51" t="s">
        <v>645</v>
      </c>
      <c r="C192" s="51">
        <v>1</v>
      </c>
      <c r="D192" s="51">
        <v>1</v>
      </c>
      <c r="E192" s="51">
        <v>1</v>
      </c>
      <c r="F192" s="51">
        <v>1</v>
      </c>
      <c r="G192" s="51">
        <v>1</v>
      </c>
      <c r="H192" s="51">
        <v>1</v>
      </c>
      <c r="I192" s="51">
        <v>2</v>
      </c>
      <c r="L192">
        <v>1</v>
      </c>
    </row>
    <row r="193" spans="1:12">
      <c r="A193" s="51" t="s">
        <v>946</v>
      </c>
      <c r="B193" s="51" t="s">
        <v>647</v>
      </c>
      <c r="C193" s="51">
        <v>1</v>
      </c>
      <c r="D193" s="51">
        <v>1</v>
      </c>
      <c r="E193" s="51">
        <v>1</v>
      </c>
      <c r="F193" s="51">
        <v>1</v>
      </c>
      <c r="G193" s="51">
        <v>1</v>
      </c>
      <c r="H193" s="51">
        <v>1</v>
      </c>
      <c r="I193" s="51">
        <v>2</v>
      </c>
      <c r="L193">
        <v>1</v>
      </c>
    </row>
    <row r="194" spans="1:12">
      <c r="A194" s="51" t="s">
        <v>947</v>
      </c>
      <c r="B194" s="51" t="s">
        <v>649</v>
      </c>
      <c r="C194" s="51">
        <v>1</v>
      </c>
      <c r="D194" s="51">
        <v>1</v>
      </c>
      <c r="E194" s="51">
        <v>1</v>
      </c>
      <c r="F194" s="51">
        <v>1</v>
      </c>
      <c r="G194" s="51">
        <v>1</v>
      </c>
      <c r="H194" s="51">
        <v>1</v>
      </c>
      <c r="I194" s="51">
        <v>2</v>
      </c>
      <c r="L194">
        <v>1</v>
      </c>
    </row>
    <row r="195" spans="1:12">
      <c r="A195" s="51" t="s">
        <v>948</v>
      </c>
      <c r="B195" s="51" t="s">
        <v>651</v>
      </c>
      <c r="C195" s="51">
        <v>0</v>
      </c>
      <c r="D195" s="51">
        <v>0</v>
      </c>
      <c r="E195" s="51">
        <v>1</v>
      </c>
      <c r="F195" s="51">
        <v>1</v>
      </c>
      <c r="G195" s="51">
        <v>1</v>
      </c>
      <c r="H195" s="51">
        <v>1</v>
      </c>
      <c r="I195" s="51">
        <v>2</v>
      </c>
      <c r="L195">
        <v>1</v>
      </c>
    </row>
    <row r="196" spans="1:12">
      <c r="A196" s="51" t="s">
        <v>949</v>
      </c>
      <c r="B196" s="51" t="s">
        <v>653</v>
      </c>
      <c r="C196" s="51">
        <v>1</v>
      </c>
      <c r="D196" s="51">
        <v>1</v>
      </c>
      <c r="E196" s="51">
        <v>1</v>
      </c>
      <c r="F196" s="51">
        <v>1</v>
      </c>
      <c r="G196" s="51">
        <v>1</v>
      </c>
      <c r="H196" s="51">
        <v>1</v>
      </c>
      <c r="I196" s="51">
        <v>2</v>
      </c>
      <c r="L196">
        <v>1</v>
      </c>
    </row>
    <row r="197" spans="1:12">
      <c r="A197" s="51" t="s">
        <v>950</v>
      </c>
      <c r="B197" s="51" t="s">
        <v>655</v>
      </c>
      <c r="C197" s="51">
        <v>1</v>
      </c>
      <c r="D197" s="51">
        <v>1</v>
      </c>
      <c r="E197" s="51">
        <v>1</v>
      </c>
      <c r="F197" s="51">
        <v>1</v>
      </c>
      <c r="G197" s="51">
        <v>1</v>
      </c>
      <c r="H197" s="51">
        <v>1</v>
      </c>
      <c r="I197" s="51">
        <v>2</v>
      </c>
      <c r="L197">
        <v>1</v>
      </c>
    </row>
    <row r="198" spans="1:12">
      <c r="A198" s="51" t="s">
        <v>951</v>
      </c>
      <c r="B198" s="51" t="s">
        <v>657</v>
      </c>
      <c r="C198" s="51">
        <v>1</v>
      </c>
      <c r="D198" s="51">
        <v>1</v>
      </c>
      <c r="E198" s="51">
        <v>1</v>
      </c>
      <c r="F198" s="51">
        <v>1</v>
      </c>
      <c r="G198" s="51">
        <v>1</v>
      </c>
      <c r="H198" s="51">
        <v>1</v>
      </c>
      <c r="I198" s="51">
        <v>2</v>
      </c>
      <c r="L198">
        <v>1</v>
      </c>
    </row>
    <row r="199" spans="1:12">
      <c r="A199" s="51" t="s">
        <v>952</v>
      </c>
      <c r="B199" s="51" t="s">
        <v>659</v>
      </c>
      <c r="C199" s="51">
        <v>1</v>
      </c>
      <c r="D199" s="51">
        <v>1</v>
      </c>
      <c r="E199" s="51">
        <v>1</v>
      </c>
      <c r="F199" s="51">
        <v>1</v>
      </c>
      <c r="G199" s="51">
        <v>1</v>
      </c>
      <c r="H199" s="51">
        <v>1</v>
      </c>
      <c r="I199" s="51">
        <v>2</v>
      </c>
      <c r="L199">
        <v>1</v>
      </c>
    </row>
    <row r="200" spans="1:12">
      <c r="A200" s="51" t="s">
        <v>953</v>
      </c>
      <c r="B200" s="51" t="s">
        <v>661</v>
      </c>
      <c r="C200" s="51">
        <v>1</v>
      </c>
      <c r="D200" s="51">
        <v>1</v>
      </c>
      <c r="E200" s="51">
        <v>1</v>
      </c>
      <c r="F200" s="51">
        <v>1</v>
      </c>
      <c r="G200" s="51">
        <v>1</v>
      </c>
      <c r="H200" s="51">
        <v>1</v>
      </c>
      <c r="I200" s="51">
        <v>2</v>
      </c>
      <c r="L200">
        <v>1</v>
      </c>
    </row>
    <row r="201" spans="1:12">
      <c r="A201" s="51" t="s">
        <v>954</v>
      </c>
      <c r="B201" s="51" t="s">
        <v>663</v>
      </c>
      <c r="C201" s="51">
        <v>1</v>
      </c>
      <c r="D201" s="51">
        <v>1</v>
      </c>
      <c r="E201" s="51">
        <v>1</v>
      </c>
      <c r="F201" s="51">
        <v>1</v>
      </c>
      <c r="G201" s="51">
        <v>1</v>
      </c>
      <c r="H201" s="51">
        <v>1</v>
      </c>
      <c r="I201" s="51">
        <v>2</v>
      </c>
      <c r="L201">
        <v>1</v>
      </c>
    </row>
    <row r="202" spans="1:12">
      <c r="A202" s="51" t="s">
        <v>956</v>
      </c>
      <c r="B202" s="51" t="s">
        <v>665</v>
      </c>
      <c r="C202" s="51">
        <v>1</v>
      </c>
      <c r="D202" s="51">
        <v>1</v>
      </c>
      <c r="E202" s="51">
        <v>1</v>
      </c>
      <c r="F202" s="51">
        <v>1</v>
      </c>
      <c r="G202" s="51">
        <v>1</v>
      </c>
      <c r="H202" s="51">
        <v>1</v>
      </c>
      <c r="I202" s="51">
        <v>2</v>
      </c>
      <c r="L202">
        <v>1</v>
      </c>
    </row>
    <row r="203" spans="1:12">
      <c r="A203" s="51" t="s">
        <v>957</v>
      </c>
      <c r="B203" s="51" t="s">
        <v>667</v>
      </c>
      <c r="C203" s="51">
        <v>1</v>
      </c>
      <c r="D203" s="51">
        <v>1</v>
      </c>
      <c r="E203" s="51">
        <v>1</v>
      </c>
      <c r="F203" s="51">
        <v>1</v>
      </c>
      <c r="G203" s="51">
        <v>1</v>
      </c>
      <c r="H203" s="51">
        <v>1</v>
      </c>
      <c r="I203" s="51">
        <v>2</v>
      </c>
      <c r="L203">
        <v>1</v>
      </c>
    </row>
    <row r="204" spans="1:12">
      <c r="A204" s="51" t="s">
        <v>958</v>
      </c>
      <c r="B204" s="51" t="s">
        <v>669</v>
      </c>
      <c r="C204" s="51">
        <v>1</v>
      </c>
      <c r="D204" s="51">
        <v>1</v>
      </c>
      <c r="E204" s="51">
        <v>1</v>
      </c>
      <c r="F204" s="51">
        <v>1</v>
      </c>
      <c r="G204" s="51">
        <v>1</v>
      </c>
      <c r="H204" s="51">
        <v>1</v>
      </c>
      <c r="I204" s="51">
        <v>2</v>
      </c>
      <c r="L204">
        <v>1</v>
      </c>
    </row>
    <row r="205" spans="1:12">
      <c r="A205" s="51" t="s">
        <v>959</v>
      </c>
      <c r="B205" s="51" t="s">
        <v>671</v>
      </c>
      <c r="C205" s="51">
        <v>1</v>
      </c>
      <c r="D205" s="51">
        <v>1</v>
      </c>
      <c r="E205" s="51">
        <v>1</v>
      </c>
      <c r="F205" s="51">
        <v>1</v>
      </c>
      <c r="G205" s="51">
        <v>1</v>
      </c>
      <c r="H205" s="51">
        <v>1</v>
      </c>
      <c r="I205" s="51">
        <v>2</v>
      </c>
      <c r="L205">
        <v>1</v>
      </c>
    </row>
    <row r="206" spans="1:12">
      <c r="A206" s="51" t="s">
        <v>960</v>
      </c>
      <c r="B206" s="51" t="s">
        <v>673</v>
      </c>
      <c r="C206" s="51">
        <v>1</v>
      </c>
      <c r="D206" s="51">
        <v>1</v>
      </c>
      <c r="E206" s="51">
        <v>1</v>
      </c>
      <c r="F206" s="51">
        <v>1</v>
      </c>
      <c r="G206" s="51">
        <v>1</v>
      </c>
      <c r="H206" s="51">
        <v>1</v>
      </c>
      <c r="I206" s="51">
        <v>2</v>
      </c>
      <c r="L206">
        <v>1</v>
      </c>
    </row>
    <row r="207" spans="1:12">
      <c r="A207" s="51" t="s">
        <v>961</v>
      </c>
      <c r="B207" s="51" t="s">
        <v>675</v>
      </c>
      <c r="C207" s="51">
        <v>1</v>
      </c>
      <c r="D207" s="51">
        <v>1</v>
      </c>
      <c r="E207" s="51">
        <v>1</v>
      </c>
      <c r="F207" s="51">
        <v>1</v>
      </c>
      <c r="G207" s="51">
        <v>1</v>
      </c>
      <c r="H207" s="51">
        <v>1</v>
      </c>
      <c r="I207" s="51">
        <v>2</v>
      </c>
      <c r="L207">
        <v>1</v>
      </c>
    </row>
    <row r="208" spans="1:12">
      <c r="A208" s="51" t="s">
        <v>695</v>
      </c>
      <c r="B208" s="51" t="s">
        <v>299</v>
      </c>
      <c r="C208" s="51">
        <v>1</v>
      </c>
      <c r="D208" s="51">
        <v>1</v>
      </c>
      <c r="E208" s="51">
        <v>1</v>
      </c>
      <c r="F208" s="51">
        <v>1</v>
      </c>
      <c r="G208" s="51">
        <v>1</v>
      </c>
      <c r="H208" s="51">
        <v>1</v>
      </c>
      <c r="I208" s="51">
        <v>2</v>
      </c>
      <c r="L208">
        <v>0</v>
      </c>
    </row>
    <row r="209" spans="1:24">
      <c r="A209" s="51" t="s">
        <v>699</v>
      </c>
      <c r="B209" s="51" t="s">
        <v>305</v>
      </c>
      <c r="C209" s="51">
        <v>1</v>
      </c>
      <c r="D209" s="51">
        <v>1</v>
      </c>
      <c r="E209" s="51">
        <v>1</v>
      </c>
      <c r="F209" s="51">
        <v>1</v>
      </c>
      <c r="G209" s="51">
        <v>1</v>
      </c>
      <c r="H209" s="51">
        <v>1</v>
      </c>
      <c r="I209" s="51">
        <v>2</v>
      </c>
      <c r="L209">
        <v>0</v>
      </c>
    </row>
    <row r="210" spans="1:24">
      <c r="A210" s="51" t="s">
        <v>702</v>
      </c>
      <c r="B210" s="51" t="s">
        <v>309</v>
      </c>
      <c r="C210" s="51">
        <v>1</v>
      </c>
      <c r="D210" s="51">
        <v>1</v>
      </c>
      <c r="E210" s="51">
        <v>1</v>
      </c>
      <c r="F210" s="51">
        <v>1</v>
      </c>
      <c r="G210" s="51">
        <v>1</v>
      </c>
      <c r="H210" s="51">
        <v>1</v>
      </c>
      <c r="I210" s="51">
        <v>2</v>
      </c>
      <c r="L210">
        <v>0</v>
      </c>
    </row>
    <row r="211" spans="1:24">
      <c r="A211" s="51" t="s">
        <v>703</v>
      </c>
      <c r="B211" s="51" t="s">
        <v>309</v>
      </c>
      <c r="C211" s="51">
        <v>1</v>
      </c>
      <c r="D211" s="51">
        <v>1</v>
      </c>
      <c r="E211" s="51">
        <v>1</v>
      </c>
      <c r="F211" s="51">
        <v>1</v>
      </c>
      <c r="G211" s="51">
        <v>1</v>
      </c>
      <c r="H211" s="51">
        <v>1</v>
      </c>
      <c r="I211" s="51">
        <v>2</v>
      </c>
      <c r="L211">
        <v>0</v>
      </c>
      <c r="X211" s="51" t="s">
        <v>481</v>
      </c>
    </row>
    <row r="212" spans="1:24">
      <c r="A212" s="51" t="s">
        <v>705</v>
      </c>
      <c r="B212" s="51" t="s">
        <v>311</v>
      </c>
      <c r="C212" s="51">
        <v>1</v>
      </c>
      <c r="D212" s="51">
        <v>1</v>
      </c>
      <c r="E212" s="51">
        <v>1</v>
      </c>
      <c r="F212" s="51">
        <v>1</v>
      </c>
      <c r="G212" s="51">
        <v>1</v>
      </c>
      <c r="H212" s="51">
        <v>1</v>
      </c>
      <c r="I212" s="51">
        <v>2</v>
      </c>
      <c r="L212">
        <v>0</v>
      </c>
      <c r="X212" s="51" t="s">
        <v>483</v>
      </c>
    </row>
    <row r="213" spans="1:24">
      <c r="A213" s="51" t="s">
        <v>711</v>
      </c>
      <c r="B213" s="51" t="s">
        <v>321</v>
      </c>
      <c r="C213" s="51">
        <v>1</v>
      </c>
      <c r="D213" s="51">
        <v>1</v>
      </c>
      <c r="E213" s="51">
        <v>1</v>
      </c>
      <c r="F213" s="51">
        <v>1</v>
      </c>
      <c r="G213" s="51">
        <v>1</v>
      </c>
      <c r="H213" s="51">
        <v>1</v>
      </c>
      <c r="I213" s="51">
        <v>2</v>
      </c>
      <c r="L213">
        <v>0</v>
      </c>
      <c r="X213" s="51" t="s">
        <v>485</v>
      </c>
    </row>
    <row r="214" spans="1:24">
      <c r="A214" s="51" t="s">
        <v>712</v>
      </c>
      <c r="B214" s="51" t="s">
        <v>321</v>
      </c>
      <c r="C214" s="51">
        <v>1</v>
      </c>
      <c r="D214" s="51">
        <v>1</v>
      </c>
      <c r="E214" s="51">
        <v>1</v>
      </c>
      <c r="F214" s="51">
        <v>1</v>
      </c>
      <c r="G214" s="51">
        <v>1</v>
      </c>
      <c r="H214" s="51">
        <v>1</v>
      </c>
      <c r="I214" s="51">
        <v>2</v>
      </c>
      <c r="L214">
        <v>0</v>
      </c>
      <c r="X214" s="51" t="s">
        <v>487</v>
      </c>
    </row>
    <row r="215" spans="1:24">
      <c r="A215" s="51" t="s">
        <v>719</v>
      </c>
      <c r="B215" s="51" t="s">
        <v>333</v>
      </c>
      <c r="C215" s="51">
        <v>1</v>
      </c>
      <c r="D215" s="51">
        <v>1</v>
      </c>
      <c r="E215" s="51">
        <v>1</v>
      </c>
      <c r="F215" s="51">
        <v>1</v>
      </c>
      <c r="G215" s="51">
        <v>1</v>
      </c>
      <c r="H215" s="51">
        <v>1</v>
      </c>
      <c r="I215" s="51">
        <v>2</v>
      </c>
      <c r="L215">
        <v>0</v>
      </c>
      <c r="X215" s="51" t="s">
        <v>489</v>
      </c>
    </row>
    <row r="216" spans="1:24">
      <c r="A216" s="51" t="s">
        <v>721</v>
      </c>
      <c r="B216" s="51" t="s">
        <v>335</v>
      </c>
      <c r="C216" s="51">
        <v>1</v>
      </c>
      <c r="D216" s="51">
        <v>1</v>
      </c>
      <c r="E216" s="51">
        <v>1</v>
      </c>
      <c r="F216" s="51">
        <v>1</v>
      </c>
      <c r="G216" s="51">
        <v>1</v>
      </c>
      <c r="H216" s="51">
        <v>1</v>
      </c>
      <c r="I216" s="51">
        <v>2</v>
      </c>
      <c r="L216">
        <v>0</v>
      </c>
      <c r="X216" s="52" t="s">
        <v>491</v>
      </c>
    </row>
    <row r="217" spans="1:24">
      <c r="A217" s="51" t="s">
        <v>727</v>
      </c>
      <c r="B217" s="51" t="s">
        <v>345</v>
      </c>
      <c r="C217" s="51">
        <v>1</v>
      </c>
      <c r="D217" s="51">
        <v>1</v>
      </c>
      <c r="E217" s="51">
        <v>1</v>
      </c>
      <c r="F217" s="51">
        <v>1</v>
      </c>
      <c r="G217" s="51">
        <v>1</v>
      </c>
      <c r="H217" s="51">
        <v>1</v>
      </c>
      <c r="I217" s="51">
        <v>2</v>
      </c>
      <c r="L217">
        <v>0</v>
      </c>
      <c r="X217" s="51" t="s">
        <v>493</v>
      </c>
    </row>
    <row r="218" spans="1:24">
      <c r="A218" s="51" t="s">
        <v>730</v>
      </c>
      <c r="B218" s="51" t="s">
        <v>349</v>
      </c>
      <c r="C218" s="51">
        <v>1</v>
      </c>
      <c r="D218" s="51">
        <v>1</v>
      </c>
      <c r="E218" s="51">
        <v>1</v>
      </c>
      <c r="F218" s="51">
        <v>1</v>
      </c>
      <c r="G218" s="51">
        <v>1</v>
      </c>
      <c r="H218" s="51">
        <v>1</v>
      </c>
      <c r="I218" s="51">
        <v>2</v>
      </c>
      <c r="L218">
        <v>0</v>
      </c>
      <c r="X218" s="51" t="s">
        <v>495</v>
      </c>
    </row>
    <row r="219" spans="1:24">
      <c r="A219" s="51" t="s">
        <v>736</v>
      </c>
      <c r="B219" s="51" t="s">
        <v>359</v>
      </c>
      <c r="C219" s="51">
        <v>1</v>
      </c>
      <c r="D219" s="51">
        <v>1</v>
      </c>
      <c r="E219" s="51">
        <v>1</v>
      </c>
      <c r="F219" s="51">
        <v>1</v>
      </c>
      <c r="G219" s="51">
        <v>1</v>
      </c>
      <c r="H219" s="51">
        <v>1</v>
      </c>
      <c r="I219" s="51">
        <v>2</v>
      </c>
      <c r="L219">
        <v>0</v>
      </c>
      <c r="X219" s="51" t="s">
        <v>497</v>
      </c>
    </row>
    <row r="220" spans="1:24">
      <c r="A220" s="51" t="s">
        <v>747</v>
      </c>
      <c r="B220" s="51" t="s">
        <v>379</v>
      </c>
      <c r="C220" s="51">
        <v>1</v>
      </c>
      <c r="D220" s="51">
        <v>1</v>
      </c>
      <c r="E220" s="51">
        <v>1</v>
      </c>
      <c r="F220" s="51">
        <v>1</v>
      </c>
      <c r="G220" s="51">
        <v>1</v>
      </c>
      <c r="H220" s="51">
        <v>1</v>
      </c>
      <c r="I220" s="51">
        <v>2</v>
      </c>
      <c r="L220">
        <v>0</v>
      </c>
      <c r="X220" s="51" t="s">
        <v>499</v>
      </c>
    </row>
    <row r="221" spans="1:24">
      <c r="A221" s="51" t="s">
        <v>748</v>
      </c>
      <c r="B221" s="51" t="s">
        <v>379</v>
      </c>
      <c r="C221" s="51">
        <v>1</v>
      </c>
      <c r="D221" s="51">
        <v>1</v>
      </c>
      <c r="E221" s="51">
        <v>1</v>
      </c>
      <c r="F221" s="51">
        <v>1</v>
      </c>
      <c r="G221" s="51">
        <v>1</v>
      </c>
      <c r="H221" s="51">
        <v>1</v>
      </c>
      <c r="I221" s="51">
        <v>2</v>
      </c>
      <c r="L221">
        <v>0</v>
      </c>
      <c r="X221" s="51" t="s">
        <v>501</v>
      </c>
    </row>
    <row r="222" spans="1:24">
      <c r="A222" s="51" t="s">
        <v>749</v>
      </c>
      <c r="B222" s="51" t="s">
        <v>379</v>
      </c>
      <c r="C222" s="51">
        <v>1</v>
      </c>
      <c r="D222" s="51">
        <v>1</v>
      </c>
      <c r="E222" s="51">
        <v>1</v>
      </c>
      <c r="F222" s="51">
        <v>1</v>
      </c>
      <c r="G222" s="51">
        <v>1</v>
      </c>
      <c r="H222" s="51">
        <v>1</v>
      </c>
      <c r="I222" s="51">
        <v>2</v>
      </c>
      <c r="L222">
        <v>0</v>
      </c>
      <c r="X222" s="51" t="s">
        <v>503</v>
      </c>
    </row>
    <row r="223" spans="1:24">
      <c r="A223" s="51" t="s">
        <v>750</v>
      </c>
      <c r="B223" s="51" t="s">
        <v>379</v>
      </c>
      <c r="C223" s="51">
        <v>1</v>
      </c>
      <c r="D223" s="51">
        <v>1</v>
      </c>
      <c r="E223" s="51">
        <v>1</v>
      </c>
      <c r="F223" s="51">
        <v>1</v>
      </c>
      <c r="G223" s="51">
        <v>1</v>
      </c>
      <c r="H223" s="51">
        <v>1</v>
      </c>
      <c r="I223" s="51">
        <v>2</v>
      </c>
      <c r="L223">
        <v>0</v>
      </c>
      <c r="X223" s="51" t="s">
        <v>505</v>
      </c>
    </row>
    <row r="224" spans="1:24">
      <c r="A224" s="51" t="s">
        <v>751</v>
      </c>
      <c r="B224" s="51" t="s">
        <v>379</v>
      </c>
      <c r="C224" s="51">
        <v>1</v>
      </c>
      <c r="D224" s="51">
        <v>1</v>
      </c>
      <c r="E224" s="51">
        <v>1</v>
      </c>
      <c r="F224" s="51">
        <v>1</v>
      </c>
      <c r="G224" s="51">
        <v>1</v>
      </c>
      <c r="H224" s="51">
        <v>1</v>
      </c>
      <c r="I224" s="51">
        <v>2</v>
      </c>
      <c r="L224">
        <v>0</v>
      </c>
      <c r="X224" s="55" t="s">
        <v>507</v>
      </c>
    </row>
    <row r="225" spans="1:24">
      <c r="A225" s="51" t="s">
        <v>752</v>
      </c>
      <c r="B225" s="51" t="s">
        <v>379</v>
      </c>
      <c r="C225" s="51">
        <v>1</v>
      </c>
      <c r="D225" s="51">
        <v>1</v>
      </c>
      <c r="E225" s="51">
        <v>1</v>
      </c>
      <c r="F225" s="51">
        <v>1</v>
      </c>
      <c r="G225" s="51">
        <v>1</v>
      </c>
      <c r="H225" s="51">
        <v>1</v>
      </c>
      <c r="I225" s="51">
        <v>2</v>
      </c>
      <c r="L225">
        <v>0</v>
      </c>
      <c r="X225" s="51" t="s">
        <v>509</v>
      </c>
    </row>
    <row r="226" spans="1:24">
      <c r="A226" s="51" t="s">
        <v>753</v>
      </c>
      <c r="B226" s="51" t="s">
        <v>379</v>
      </c>
      <c r="C226" s="51">
        <v>1</v>
      </c>
      <c r="D226" s="51">
        <v>1</v>
      </c>
      <c r="E226" s="51">
        <v>1</v>
      </c>
      <c r="F226" s="51">
        <v>1</v>
      </c>
      <c r="G226" s="51">
        <v>1</v>
      </c>
      <c r="H226" s="51">
        <v>1</v>
      </c>
      <c r="I226" s="51">
        <v>2</v>
      </c>
      <c r="L226">
        <v>0</v>
      </c>
      <c r="X226" s="51" t="s">
        <v>511</v>
      </c>
    </row>
    <row r="227" spans="1:24">
      <c r="A227" s="51" t="s">
        <v>754</v>
      </c>
      <c r="B227" s="51" t="s">
        <v>379</v>
      </c>
      <c r="C227" s="51">
        <v>1</v>
      </c>
      <c r="D227" s="51">
        <v>1</v>
      </c>
      <c r="E227" s="51">
        <v>1</v>
      </c>
      <c r="F227" s="51">
        <v>1</v>
      </c>
      <c r="G227" s="51">
        <v>1</v>
      </c>
      <c r="H227" s="51">
        <v>1</v>
      </c>
      <c r="I227" s="51">
        <v>2</v>
      </c>
      <c r="L227">
        <v>0</v>
      </c>
      <c r="X227" s="52" t="s">
        <v>513</v>
      </c>
    </row>
    <row r="228" spans="1:24">
      <c r="A228" s="51" t="s">
        <v>755</v>
      </c>
      <c r="B228" s="51" t="s">
        <v>379</v>
      </c>
      <c r="C228" s="51">
        <v>1</v>
      </c>
      <c r="D228" s="51">
        <v>1</v>
      </c>
      <c r="E228" s="51">
        <v>1</v>
      </c>
      <c r="F228" s="51">
        <v>1</v>
      </c>
      <c r="G228" s="51">
        <v>1</v>
      </c>
      <c r="H228" s="51">
        <v>1</v>
      </c>
      <c r="I228" s="51">
        <v>2</v>
      </c>
      <c r="L228">
        <v>0</v>
      </c>
      <c r="X228" s="51" t="s">
        <v>515</v>
      </c>
    </row>
    <row r="229" spans="1:24">
      <c r="A229" s="51" t="s">
        <v>760</v>
      </c>
      <c r="B229" s="51" t="s">
        <v>387</v>
      </c>
      <c r="C229" s="51">
        <v>1</v>
      </c>
      <c r="D229" s="51">
        <v>1</v>
      </c>
      <c r="E229" s="51">
        <v>1</v>
      </c>
      <c r="F229" s="51">
        <v>1</v>
      </c>
      <c r="G229" s="51">
        <v>1</v>
      </c>
      <c r="H229" s="51">
        <v>1</v>
      </c>
      <c r="I229" s="51">
        <v>2</v>
      </c>
      <c r="L229">
        <v>0</v>
      </c>
      <c r="X229" s="51" t="s">
        <v>517</v>
      </c>
    </row>
    <row r="230" spans="1:24">
      <c r="A230" s="51" t="s">
        <v>764</v>
      </c>
      <c r="B230" s="51" t="s">
        <v>393</v>
      </c>
      <c r="C230" s="51">
        <v>1</v>
      </c>
      <c r="D230" s="51">
        <v>1</v>
      </c>
      <c r="E230" s="51">
        <v>1</v>
      </c>
      <c r="F230" s="51">
        <v>1</v>
      </c>
      <c r="G230" s="51">
        <v>1</v>
      </c>
      <c r="H230" s="51">
        <v>1</v>
      </c>
      <c r="I230" s="51">
        <v>2</v>
      </c>
      <c r="L230">
        <v>0</v>
      </c>
      <c r="X230" s="51" t="s">
        <v>519</v>
      </c>
    </row>
    <row r="231" spans="1:24">
      <c r="A231" s="51" t="s">
        <v>767</v>
      </c>
      <c r="B231" s="51" t="s">
        <v>397</v>
      </c>
      <c r="C231" s="51">
        <v>1</v>
      </c>
      <c r="D231" s="51">
        <v>1</v>
      </c>
      <c r="E231" s="51">
        <v>1</v>
      </c>
      <c r="F231" s="51">
        <v>1</v>
      </c>
      <c r="G231" s="51">
        <v>1</v>
      </c>
      <c r="H231" s="51">
        <v>1</v>
      </c>
      <c r="I231" s="51">
        <v>2</v>
      </c>
      <c r="L231">
        <v>0</v>
      </c>
      <c r="X231" s="52" t="s">
        <v>521</v>
      </c>
    </row>
    <row r="232" spans="1:24">
      <c r="A232" s="51" t="s">
        <v>772</v>
      </c>
      <c r="B232" s="51" t="s">
        <v>405</v>
      </c>
      <c r="C232" s="51">
        <v>1</v>
      </c>
      <c r="D232" s="51">
        <v>1</v>
      </c>
      <c r="E232" s="51">
        <v>1</v>
      </c>
      <c r="F232" s="51">
        <v>1</v>
      </c>
      <c r="G232" s="51">
        <v>1</v>
      </c>
      <c r="H232" s="51">
        <v>1</v>
      </c>
      <c r="I232" s="51">
        <v>2</v>
      </c>
      <c r="L232">
        <v>0</v>
      </c>
      <c r="X232" s="51" t="s">
        <v>523</v>
      </c>
    </row>
    <row r="233" spans="1:24">
      <c r="A233" s="51" t="s">
        <v>778</v>
      </c>
      <c r="B233" s="51" t="s">
        <v>415</v>
      </c>
      <c r="C233" s="51">
        <v>1</v>
      </c>
      <c r="D233" s="51">
        <v>1</v>
      </c>
      <c r="E233" s="51">
        <v>1</v>
      </c>
      <c r="F233" s="51">
        <v>1</v>
      </c>
      <c r="G233" s="51">
        <v>1</v>
      </c>
      <c r="H233" s="51">
        <v>1</v>
      </c>
      <c r="I233" s="51">
        <v>2</v>
      </c>
      <c r="L233">
        <v>0</v>
      </c>
      <c r="X233" s="51" t="s">
        <v>525</v>
      </c>
    </row>
    <row r="234" spans="1:24">
      <c r="A234" s="51" t="s">
        <v>782</v>
      </c>
      <c r="B234" s="51" t="s">
        <v>421</v>
      </c>
      <c r="C234" s="51">
        <v>1</v>
      </c>
      <c r="D234" s="51">
        <v>1</v>
      </c>
      <c r="E234" s="51">
        <v>1</v>
      </c>
      <c r="F234" s="51">
        <v>1</v>
      </c>
      <c r="G234" s="51">
        <v>1</v>
      </c>
      <c r="H234" s="51">
        <v>1</v>
      </c>
      <c r="I234" s="51">
        <v>2</v>
      </c>
      <c r="L234">
        <v>0</v>
      </c>
      <c r="X234" s="52" t="s">
        <v>527</v>
      </c>
    </row>
    <row r="235" spans="1:24">
      <c r="A235" s="51" t="s">
        <v>784</v>
      </c>
      <c r="B235" s="51" t="s">
        <v>423</v>
      </c>
      <c r="C235" s="51">
        <v>0</v>
      </c>
      <c r="D235" s="51">
        <v>0</v>
      </c>
      <c r="E235" s="51">
        <v>0</v>
      </c>
      <c r="F235" s="51">
        <v>0</v>
      </c>
      <c r="G235" s="51">
        <v>0</v>
      </c>
      <c r="H235" s="51">
        <v>0</v>
      </c>
      <c r="I235" s="51">
        <v>1</v>
      </c>
      <c r="L235">
        <v>0</v>
      </c>
      <c r="X235" s="51" t="s">
        <v>529</v>
      </c>
    </row>
    <row r="236" spans="1:24">
      <c r="A236" s="51" t="s">
        <v>787</v>
      </c>
      <c r="B236" s="51" t="s">
        <v>427</v>
      </c>
      <c r="C236" s="51">
        <v>0</v>
      </c>
      <c r="D236" s="51">
        <v>0</v>
      </c>
      <c r="E236" s="51">
        <v>0</v>
      </c>
      <c r="F236" s="51">
        <v>0</v>
      </c>
      <c r="G236" s="51">
        <v>0</v>
      </c>
      <c r="H236" s="51">
        <v>0</v>
      </c>
      <c r="I236" s="51">
        <v>1</v>
      </c>
      <c r="L236">
        <v>0</v>
      </c>
      <c r="X236" s="52" t="s">
        <v>531</v>
      </c>
    </row>
    <row r="237" spans="1:24">
      <c r="A237" s="51" t="s">
        <v>791</v>
      </c>
      <c r="B237" s="51" t="s">
        <v>433</v>
      </c>
      <c r="C237" s="51">
        <v>0</v>
      </c>
      <c r="D237" s="51">
        <v>1</v>
      </c>
      <c r="E237" s="51">
        <v>0</v>
      </c>
      <c r="F237" s="51">
        <v>1</v>
      </c>
      <c r="G237" s="51">
        <v>1</v>
      </c>
      <c r="H237" s="51">
        <v>1</v>
      </c>
      <c r="I237" s="51">
        <v>2</v>
      </c>
      <c r="L237">
        <v>0</v>
      </c>
      <c r="X237" s="51" t="s">
        <v>533</v>
      </c>
    </row>
    <row r="238" spans="1:24">
      <c r="A238" s="51" t="s">
        <v>792</v>
      </c>
      <c r="B238" s="51" t="s">
        <v>433</v>
      </c>
      <c r="C238" s="51">
        <v>0</v>
      </c>
      <c r="D238" s="51">
        <v>1</v>
      </c>
      <c r="E238" s="51">
        <v>0</v>
      </c>
      <c r="F238" s="51">
        <v>1</v>
      </c>
      <c r="G238" s="51">
        <v>1</v>
      </c>
      <c r="H238" s="51">
        <v>1</v>
      </c>
      <c r="I238" s="51">
        <v>2</v>
      </c>
      <c r="L238">
        <v>0</v>
      </c>
      <c r="X238" s="51" t="s">
        <v>535</v>
      </c>
    </row>
    <row r="239" spans="1:24">
      <c r="A239" s="51" t="s">
        <v>793</v>
      </c>
      <c r="B239" s="51" t="s">
        <v>433</v>
      </c>
      <c r="C239" s="51">
        <v>0</v>
      </c>
      <c r="D239" s="51">
        <v>1</v>
      </c>
      <c r="E239" s="51">
        <v>0</v>
      </c>
      <c r="F239" s="51">
        <v>1</v>
      </c>
      <c r="G239" s="51">
        <v>1</v>
      </c>
      <c r="H239" s="51">
        <v>1</v>
      </c>
      <c r="I239" s="51">
        <v>2</v>
      </c>
      <c r="L239">
        <v>0</v>
      </c>
      <c r="X239" s="51" t="s">
        <v>537</v>
      </c>
    </row>
    <row r="240" spans="1:24">
      <c r="A240" s="51" t="s">
        <v>798</v>
      </c>
      <c r="B240" s="51" t="s">
        <v>441</v>
      </c>
      <c r="C240" s="51">
        <v>0</v>
      </c>
      <c r="D240" s="51">
        <v>0</v>
      </c>
      <c r="E240" s="51">
        <v>0</v>
      </c>
      <c r="F240" s="51">
        <v>0</v>
      </c>
      <c r="G240" s="51">
        <v>0</v>
      </c>
      <c r="H240" s="51">
        <v>0</v>
      </c>
      <c r="I240" s="51">
        <v>1</v>
      </c>
      <c r="L240">
        <v>0</v>
      </c>
      <c r="X240" s="51" t="s">
        <v>539</v>
      </c>
    </row>
    <row r="241" spans="1:12">
      <c r="A241" s="51" t="s">
        <v>799</v>
      </c>
      <c r="B241" s="51" t="s">
        <v>441</v>
      </c>
      <c r="C241" s="51">
        <v>0</v>
      </c>
      <c r="D241" s="51">
        <v>0</v>
      </c>
      <c r="E241" s="51">
        <v>0</v>
      </c>
      <c r="F241" s="51">
        <v>0</v>
      </c>
      <c r="G241" s="51">
        <v>0</v>
      </c>
      <c r="H241" s="51">
        <v>0</v>
      </c>
      <c r="I241" s="51">
        <v>1</v>
      </c>
      <c r="L241">
        <v>0</v>
      </c>
    </row>
    <row r="242" spans="1:12">
      <c r="A242" s="51" t="s">
        <v>800</v>
      </c>
      <c r="B242" s="51" t="s">
        <v>441</v>
      </c>
      <c r="C242" s="51">
        <v>0</v>
      </c>
      <c r="D242" s="51">
        <v>0</v>
      </c>
      <c r="E242" s="51">
        <v>0</v>
      </c>
      <c r="F242" s="51">
        <v>0</v>
      </c>
      <c r="G242" s="51">
        <v>0</v>
      </c>
      <c r="H242" s="51">
        <v>0</v>
      </c>
      <c r="I242" s="51">
        <v>1</v>
      </c>
      <c r="L242">
        <v>0</v>
      </c>
    </row>
    <row r="243" spans="1:12">
      <c r="A243" s="51" t="s">
        <v>807</v>
      </c>
      <c r="B243" s="51" t="s">
        <v>453</v>
      </c>
      <c r="C243" s="51">
        <v>1</v>
      </c>
      <c r="D243" s="51">
        <v>1</v>
      </c>
      <c r="E243" s="51">
        <v>1</v>
      </c>
      <c r="F243" s="51">
        <v>1</v>
      </c>
      <c r="G243" s="51">
        <v>1</v>
      </c>
      <c r="H243" s="51">
        <v>1</v>
      </c>
      <c r="I243" s="51">
        <v>2</v>
      </c>
      <c r="L243">
        <v>0</v>
      </c>
    </row>
    <row r="244" spans="1:12">
      <c r="A244" s="51" t="s">
        <v>808</v>
      </c>
      <c r="B244" s="51" t="s">
        <v>453</v>
      </c>
      <c r="C244" s="51">
        <v>1</v>
      </c>
      <c r="D244" s="51">
        <v>1</v>
      </c>
      <c r="E244" s="51">
        <v>1</v>
      </c>
      <c r="F244" s="51">
        <v>1</v>
      </c>
      <c r="G244" s="51">
        <v>1</v>
      </c>
      <c r="H244" s="51">
        <v>1</v>
      </c>
      <c r="I244" s="51">
        <v>2</v>
      </c>
      <c r="L244">
        <v>0</v>
      </c>
    </row>
    <row r="245" spans="1:12">
      <c r="A245" s="51" t="s">
        <v>810</v>
      </c>
      <c r="B245" s="51" t="s">
        <v>455</v>
      </c>
      <c r="C245" s="51">
        <v>0</v>
      </c>
      <c r="D245" s="51">
        <v>0</v>
      </c>
      <c r="E245" s="51">
        <v>0</v>
      </c>
      <c r="F245" s="51">
        <v>0</v>
      </c>
      <c r="G245" s="51">
        <v>0</v>
      </c>
      <c r="H245" s="51">
        <v>0</v>
      </c>
      <c r="I245" s="51">
        <v>0</v>
      </c>
      <c r="L245">
        <v>0</v>
      </c>
    </row>
    <row r="246" spans="1:12">
      <c r="A246" s="51" t="s">
        <v>813</v>
      </c>
      <c r="B246" s="51" t="s">
        <v>459</v>
      </c>
      <c r="C246" s="51">
        <v>1</v>
      </c>
      <c r="D246" s="51">
        <v>1</v>
      </c>
      <c r="E246" s="51">
        <v>1</v>
      </c>
      <c r="F246" s="51">
        <v>1</v>
      </c>
      <c r="G246" s="51">
        <v>1</v>
      </c>
      <c r="H246" s="51">
        <v>1</v>
      </c>
      <c r="I246" s="51">
        <v>2</v>
      </c>
      <c r="L246">
        <v>0</v>
      </c>
    </row>
    <row r="247" spans="1:12">
      <c r="A247" s="51" t="s">
        <v>815</v>
      </c>
      <c r="B247" s="51" t="s">
        <v>461</v>
      </c>
      <c r="C247" s="51">
        <v>1</v>
      </c>
      <c r="D247" s="51">
        <v>1</v>
      </c>
      <c r="E247" s="51">
        <v>1</v>
      </c>
      <c r="F247" s="51">
        <v>1</v>
      </c>
      <c r="G247" s="51">
        <v>1</v>
      </c>
      <c r="H247" s="51">
        <v>1</v>
      </c>
      <c r="I247" s="51">
        <v>2</v>
      </c>
      <c r="L247">
        <v>0</v>
      </c>
    </row>
    <row r="248" spans="1:12">
      <c r="A248" s="51" t="s">
        <v>817</v>
      </c>
      <c r="B248" s="51" t="s">
        <v>463</v>
      </c>
      <c r="C248" s="51">
        <v>1</v>
      </c>
      <c r="D248" s="51">
        <v>1</v>
      </c>
      <c r="E248" s="51">
        <v>1</v>
      </c>
      <c r="F248" s="51">
        <v>1</v>
      </c>
      <c r="G248" s="51">
        <v>1</v>
      </c>
      <c r="H248" s="51">
        <v>1</v>
      </c>
      <c r="I248" s="51">
        <v>2</v>
      </c>
      <c r="L248">
        <v>0</v>
      </c>
    </row>
    <row r="249" spans="1:12">
      <c r="A249" s="51" t="s">
        <v>821</v>
      </c>
      <c r="B249" s="51" t="s">
        <v>469</v>
      </c>
      <c r="C249" s="51">
        <v>1</v>
      </c>
      <c r="D249" s="51">
        <v>1</v>
      </c>
      <c r="E249" s="51">
        <v>1</v>
      </c>
      <c r="F249" s="51">
        <v>1</v>
      </c>
      <c r="G249" s="51">
        <v>1</v>
      </c>
      <c r="H249" s="51">
        <v>1</v>
      </c>
      <c r="I249" s="51">
        <v>2</v>
      </c>
      <c r="L249">
        <v>0</v>
      </c>
    </row>
    <row r="250" spans="1:12">
      <c r="A250" s="51" t="s">
        <v>824</v>
      </c>
      <c r="B250" s="51" t="s">
        <v>473</v>
      </c>
      <c r="C250" s="51">
        <v>1</v>
      </c>
      <c r="D250" s="51">
        <v>1</v>
      </c>
      <c r="E250" s="51">
        <v>1</v>
      </c>
      <c r="F250" s="51">
        <v>1</v>
      </c>
      <c r="G250" s="51">
        <v>1</v>
      </c>
      <c r="H250" s="51">
        <v>1</v>
      </c>
      <c r="I250" s="51">
        <v>2</v>
      </c>
      <c r="L250">
        <v>0</v>
      </c>
    </row>
    <row r="251" spans="1:12">
      <c r="A251" s="51" t="s">
        <v>834</v>
      </c>
      <c r="B251" s="51" t="s">
        <v>491</v>
      </c>
      <c r="C251" s="51">
        <v>1</v>
      </c>
      <c r="D251" s="51">
        <v>1</v>
      </c>
      <c r="E251" s="51">
        <v>1</v>
      </c>
      <c r="F251" s="51">
        <v>1</v>
      </c>
      <c r="G251" s="51">
        <v>1</v>
      </c>
      <c r="H251" s="51">
        <v>1</v>
      </c>
      <c r="I251" s="51">
        <v>2</v>
      </c>
      <c r="L251">
        <v>0</v>
      </c>
    </row>
    <row r="252" spans="1:12">
      <c r="A252" s="51" t="s">
        <v>835</v>
      </c>
      <c r="B252" s="51" t="s">
        <v>491</v>
      </c>
      <c r="C252" s="51">
        <v>1</v>
      </c>
      <c r="D252" s="51">
        <v>1</v>
      </c>
      <c r="E252" s="51">
        <v>1</v>
      </c>
      <c r="F252" s="51">
        <v>1</v>
      </c>
      <c r="G252" s="51">
        <v>1</v>
      </c>
      <c r="H252" s="51">
        <v>1</v>
      </c>
      <c r="I252" s="51">
        <v>2</v>
      </c>
      <c r="L252">
        <v>0</v>
      </c>
    </row>
    <row r="253" spans="1:12">
      <c r="A253" s="51" t="s">
        <v>836</v>
      </c>
      <c r="B253" s="51" t="s">
        <v>491</v>
      </c>
      <c r="C253" s="51">
        <v>1</v>
      </c>
      <c r="D253" s="51">
        <v>1</v>
      </c>
      <c r="E253" s="51">
        <v>1</v>
      </c>
      <c r="F253" s="51">
        <v>1</v>
      </c>
      <c r="G253" s="51">
        <v>1</v>
      </c>
      <c r="H253" s="51">
        <v>1</v>
      </c>
      <c r="I253" s="51">
        <v>2</v>
      </c>
      <c r="L253">
        <v>0</v>
      </c>
    </row>
    <row r="254" spans="1:12">
      <c r="A254" s="51" t="s">
        <v>845</v>
      </c>
      <c r="B254" s="51" t="s">
        <v>507</v>
      </c>
      <c r="C254" s="51">
        <v>1</v>
      </c>
      <c r="D254" s="51">
        <v>1</v>
      </c>
      <c r="E254" s="51">
        <v>1</v>
      </c>
      <c r="F254" s="51">
        <v>1</v>
      </c>
      <c r="G254" s="51">
        <v>1</v>
      </c>
      <c r="H254" s="51">
        <v>1</v>
      </c>
      <c r="I254" s="51">
        <v>2</v>
      </c>
      <c r="L254">
        <v>0</v>
      </c>
    </row>
    <row r="255" spans="1:12">
      <c r="A255" s="51" t="s">
        <v>849</v>
      </c>
      <c r="B255" s="51" t="s">
        <v>513</v>
      </c>
      <c r="C255" s="51">
        <v>1</v>
      </c>
      <c r="D255" s="51">
        <v>1</v>
      </c>
      <c r="E255" s="51">
        <v>1</v>
      </c>
      <c r="F255" s="51">
        <v>1</v>
      </c>
      <c r="G255" s="51">
        <v>1</v>
      </c>
      <c r="H255" s="51">
        <v>1</v>
      </c>
      <c r="I255" s="51">
        <v>2</v>
      </c>
      <c r="L255">
        <v>0</v>
      </c>
    </row>
    <row r="256" spans="1:12">
      <c r="A256" s="51" t="s">
        <v>854</v>
      </c>
      <c r="B256" s="51" t="s">
        <v>521</v>
      </c>
      <c r="C256" s="51">
        <v>1</v>
      </c>
      <c r="D256" s="51">
        <v>1</v>
      </c>
      <c r="E256" s="51">
        <v>1</v>
      </c>
      <c r="F256" s="51">
        <v>1</v>
      </c>
      <c r="G256" s="51">
        <v>1</v>
      </c>
      <c r="H256" s="51">
        <v>1</v>
      </c>
      <c r="I256" s="51">
        <v>2</v>
      </c>
      <c r="L256">
        <v>0</v>
      </c>
    </row>
    <row r="257" spans="1:12">
      <c r="A257" s="51" t="s">
        <v>855</v>
      </c>
      <c r="B257" s="51" t="s">
        <v>521</v>
      </c>
      <c r="C257" s="51">
        <v>1</v>
      </c>
      <c r="D257" s="51">
        <v>1</v>
      </c>
      <c r="E257" s="51">
        <v>1</v>
      </c>
      <c r="F257" s="51">
        <v>1</v>
      </c>
      <c r="G257" s="51">
        <v>1</v>
      </c>
      <c r="H257" s="51">
        <v>1</v>
      </c>
      <c r="I257" s="51">
        <v>2</v>
      </c>
      <c r="L257">
        <v>0</v>
      </c>
    </row>
    <row r="258" spans="1:12">
      <c r="A258" s="51" t="s">
        <v>859</v>
      </c>
      <c r="B258" s="51" t="s">
        <v>527</v>
      </c>
      <c r="C258" s="51">
        <v>1</v>
      </c>
      <c r="D258" s="51">
        <v>1</v>
      </c>
      <c r="E258" s="51">
        <v>1</v>
      </c>
      <c r="F258" s="51">
        <v>1</v>
      </c>
      <c r="G258" s="51">
        <v>1</v>
      </c>
      <c r="H258" s="51">
        <v>1</v>
      </c>
      <c r="I258" s="51">
        <v>2</v>
      </c>
      <c r="L258">
        <v>0</v>
      </c>
    </row>
    <row r="259" spans="1:12">
      <c r="A259" s="51" t="s">
        <v>860</v>
      </c>
      <c r="B259" s="51" t="s">
        <v>527</v>
      </c>
      <c r="C259" s="51">
        <v>1</v>
      </c>
      <c r="D259" s="51">
        <v>1</v>
      </c>
      <c r="E259" s="51">
        <v>1</v>
      </c>
      <c r="F259" s="51">
        <v>1</v>
      </c>
      <c r="G259" s="51">
        <v>1</v>
      </c>
      <c r="H259" s="51">
        <v>1</v>
      </c>
      <c r="I259" s="51">
        <v>2</v>
      </c>
      <c r="L259">
        <v>0</v>
      </c>
    </row>
    <row r="260" spans="1:12">
      <c r="A260" s="51" t="s">
        <v>861</v>
      </c>
      <c r="B260" s="51" t="s">
        <v>527</v>
      </c>
      <c r="C260" s="51">
        <v>1</v>
      </c>
      <c r="D260" s="51">
        <v>1</v>
      </c>
      <c r="E260" s="51">
        <v>1</v>
      </c>
      <c r="F260" s="51">
        <v>1</v>
      </c>
      <c r="G260" s="51">
        <v>1</v>
      </c>
      <c r="H260" s="51">
        <v>1</v>
      </c>
      <c r="I260" s="51">
        <v>2</v>
      </c>
      <c r="L260">
        <v>0</v>
      </c>
    </row>
    <row r="261" spans="1:12">
      <c r="A261" s="51" t="s">
        <v>862</v>
      </c>
      <c r="B261" s="51" t="s">
        <v>527</v>
      </c>
      <c r="C261" s="51">
        <v>1</v>
      </c>
      <c r="D261" s="51">
        <v>1</v>
      </c>
      <c r="E261" s="51">
        <v>1</v>
      </c>
      <c r="F261" s="51">
        <v>1</v>
      </c>
      <c r="G261" s="51">
        <v>1</v>
      </c>
      <c r="H261" s="51">
        <v>1</v>
      </c>
      <c r="I261" s="51">
        <v>2</v>
      </c>
      <c r="L261">
        <v>0</v>
      </c>
    </row>
    <row r="262" spans="1:12">
      <c r="A262" s="51" t="s">
        <v>863</v>
      </c>
      <c r="B262" s="51" t="s">
        <v>527</v>
      </c>
      <c r="C262" s="51">
        <v>1</v>
      </c>
      <c r="D262" s="51">
        <v>1</v>
      </c>
      <c r="E262" s="51">
        <v>1</v>
      </c>
      <c r="F262" s="51">
        <v>1</v>
      </c>
      <c r="G262" s="51">
        <v>1</v>
      </c>
      <c r="H262" s="51">
        <v>1</v>
      </c>
      <c r="I262" s="51">
        <v>2</v>
      </c>
      <c r="L262">
        <v>0</v>
      </c>
    </row>
    <row r="263" spans="1:12">
      <c r="A263" s="51" t="s">
        <v>866</v>
      </c>
      <c r="B263" s="51" t="s">
        <v>531</v>
      </c>
      <c r="C263" s="51">
        <v>1</v>
      </c>
      <c r="D263" s="51">
        <v>1</v>
      </c>
      <c r="E263" s="51">
        <v>1</v>
      </c>
      <c r="F263" s="51">
        <v>1</v>
      </c>
      <c r="G263" s="51">
        <v>1</v>
      </c>
      <c r="H263" s="51">
        <v>1</v>
      </c>
      <c r="I263" s="51">
        <v>2</v>
      </c>
      <c r="L263">
        <v>0</v>
      </c>
    </row>
    <row r="264" spans="1:12">
      <c r="A264" s="51" t="s">
        <v>867</v>
      </c>
      <c r="B264" s="51" t="s">
        <v>531</v>
      </c>
      <c r="C264" s="51">
        <v>1</v>
      </c>
      <c r="D264" s="51">
        <v>1</v>
      </c>
      <c r="E264" s="51">
        <v>1</v>
      </c>
      <c r="F264" s="51">
        <v>1</v>
      </c>
      <c r="G264" s="51">
        <v>1</v>
      </c>
      <c r="H264" s="51">
        <v>1</v>
      </c>
      <c r="I264" s="51">
        <v>2</v>
      </c>
      <c r="L264">
        <v>0</v>
      </c>
    </row>
    <row r="265" spans="1:12">
      <c r="A265" s="51" t="s">
        <v>876</v>
      </c>
      <c r="B265" s="51" t="s">
        <v>547</v>
      </c>
      <c r="C265" s="51">
        <v>1</v>
      </c>
      <c r="D265" s="51">
        <v>1</v>
      </c>
      <c r="E265" s="51">
        <v>1</v>
      </c>
      <c r="F265" s="51">
        <v>1</v>
      </c>
      <c r="G265" s="51">
        <v>1</v>
      </c>
      <c r="H265" s="51">
        <v>1</v>
      </c>
      <c r="I265" s="51">
        <v>2</v>
      </c>
      <c r="L265">
        <v>0</v>
      </c>
    </row>
    <row r="266" spans="1:12">
      <c r="A266" s="51" t="s">
        <v>879</v>
      </c>
      <c r="B266" s="51" t="s">
        <v>551</v>
      </c>
      <c r="C266" s="51">
        <v>1</v>
      </c>
      <c r="D266" s="51">
        <v>1</v>
      </c>
      <c r="E266" s="51">
        <v>1</v>
      </c>
      <c r="F266" s="51">
        <v>1</v>
      </c>
      <c r="G266" s="51">
        <v>1</v>
      </c>
      <c r="H266" s="51">
        <v>1</v>
      </c>
      <c r="I266" s="51">
        <v>2</v>
      </c>
      <c r="L266">
        <v>0</v>
      </c>
    </row>
    <row r="267" spans="1:12">
      <c r="A267" s="51" t="s">
        <v>880</v>
      </c>
      <c r="B267" s="51" t="s">
        <v>551</v>
      </c>
      <c r="C267" s="51">
        <v>1</v>
      </c>
      <c r="D267" s="51">
        <v>1</v>
      </c>
      <c r="E267" s="51">
        <v>1</v>
      </c>
      <c r="F267" s="51">
        <v>1</v>
      </c>
      <c r="G267" s="51">
        <v>1</v>
      </c>
      <c r="H267" s="51">
        <v>1</v>
      </c>
      <c r="I267" s="51">
        <v>2</v>
      </c>
      <c r="L267">
        <v>0</v>
      </c>
    </row>
    <row r="268" spans="1:12">
      <c r="A268" s="51" t="s">
        <v>886</v>
      </c>
      <c r="B268" s="51" t="s">
        <v>561</v>
      </c>
      <c r="C268" s="51">
        <v>1</v>
      </c>
      <c r="D268" s="51">
        <v>1</v>
      </c>
      <c r="E268" s="51">
        <v>1</v>
      </c>
      <c r="F268" s="51">
        <v>1</v>
      </c>
      <c r="G268" s="51">
        <v>1</v>
      </c>
      <c r="H268" s="51">
        <v>1</v>
      </c>
      <c r="I268" s="51">
        <v>2</v>
      </c>
      <c r="L268">
        <v>0</v>
      </c>
    </row>
    <row r="269" spans="1:12">
      <c r="A269" s="51" t="s">
        <v>894</v>
      </c>
      <c r="B269" s="51" t="s">
        <v>575</v>
      </c>
      <c r="C269" s="51">
        <v>1</v>
      </c>
      <c r="D269" s="51">
        <v>1</v>
      </c>
      <c r="E269" s="51">
        <v>1</v>
      </c>
      <c r="F269" s="51">
        <v>1</v>
      </c>
      <c r="G269" s="51">
        <v>1</v>
      </c>
      <c r="H269" s="51">
        <v>1</v>
      </c>
      <c r="I269" s="51">
        <v>2</v>
      </c>
      <c r="L269">
        <v>0</v>
      </c>
    </row>
    <row r="270" spans="1:12">
      <c r="A270" s="51" t="s">
        <v>895</v>
      </c>
      <c r="B270" s="51" t="s">
        <v>575</v>
      </c>
      <c r="C270" s="51">
        <v>1</v>
      </c>
      <c r="D270" s="51">
        <v>1</v>
      </c>
      <c r="E270" s="51">
        <v>1</v>
      </c>
      <c r="F270" s="51">
        <v>1</v>
      </c>
      <c r="G270" s="51">
        <v>1</v>
      </c>
      <c r="H270" s="51">
        <v>1</v>
      </c>
      <c r="I270" s="51">
        <v>2</v>
      </c>
      <c r="L270">
        <v>0</v>
      </c>
    </row>
    <row r="271" spans="1:12">
      <c r="A271" s="51" t="s">
        <v>896</v>
      </c>
      <c r="B271" s="51" t="s">
        <v>575</v>
      </c>
      <c r="C271" s="51">
        <v>1</v>
      </c>
      <c r="D271" s="51">
        <v>1</v>
      </c>
      <c r="E271" s="51">
        <v>1</v>
      </c>
      <c r="F271" s="51">
        <v>1</v>
      </c>
      <c r="G271" s="51">
        <v>1</v>
      </c>
      <c r="H271" s="51">
        <v>1</v>
      </c>
      <c r="I271" s="51">
        <v>2</v>
      </c>
      <c r="L271">
        <v>0</v>
      </c>
    </row>
    <row r="272" spans="1:12">
      <c r="A272" s="51" t="s">
        <v>898</v>
      </c>
      <c r="B272" s="51" t="s">
        <v>577</v>
      </c>
      <c r="C272" s="51">
        <v>0</v>
      </c>
      <c r="D272" s="51">
        <v>0</v>
      </c>
      <c r="E272" s="51">
        <v>0</v>
      </c>
      <c r="F272" s="51">
        <v>0</v>
      </c>
      <c r="G272" s="51">
        <v>0</v>
      </c>
      <c r="H272" s="51">
        <v>0</v>
      </c>
      <c r="I272" s="51">
        <v>1</v>
      </c>
      <c r="L272">
        <v>0</v>
      </c>
    </row>
    <row r="273" spans="1:12">
      <c r="A273" s="51" t="s">
        <v>900</v>
      </c>
      <c r="B273" s="51" t="s">
        <v>579</v>
      </c>
      <c r="C273" s="51">
        <v>1</v>
      </c>
      <c r="D273" s="51">
        <v>1</v>
      </c>
      <c r="E273" s="51">
        <v>1</v>
      </c>
      <c r="F273" s="51">
        <v>1</v>
      </c>
      <c r="G273" s="51">
        <v>1</v>
      </c>
      <c r="H273" s="51">
        <v>1</v>
      </c>
      <c r="I273" s="51">
        <v>2</v>
      </c>
      <c r="L273">
        <v>0</v>
      </c>
    </row>
    <row r="274" spans="1:12">
      <c r="A274" s="51" t="s">
        <v>901</v>
      </c>
      <c r="B274" s="51" t="s">
        <v>579</v>
      </c>
      <c r="C274" s="51">
        <v>1</v>
      </c>
      <c r="D274" s="51">
        <v>1</v>
      </c>
      <c r="E274" s="51">
        <v>1</v>
      </c>
      <c r="F274" s="51">
        <v>1</v>
      </c>
      <c r="G274" s="51">
        <v>1</v>
      </c>
      <c r="H274" s="51">
        <v>1</v>
      </c>
      <c r="I274" s="51">
        <v>2</v>
      </c>
      <c r="L274">
        <v>0</v>
      </c>
    </row>
    <row r="275" spans="1:12">
      <c r="A275" s="51" t="s">
        <v>903</v>
      </c>
      <c r="B275" s="51" t="s">
        <v>581</v>
      </c>
      <c r="C275" s="51">
        <v>1</v>
      </c>
      <c r="D275" s="51">
        <v>1</v>
      </c>
      <c r="E275" s="51">
        <v>1</v>
      </c>
      <c r="F275" s="51">
        <v>1</v>
      </c>
      <c r="G275" s="51">
        <v>1</v>
      </c>
      <c r="H275" s="51">
        <v>1</v>
      </c>
      <c r="I275" s="51">
        <v>2</v>
      </c>
      <c r="L275">
        <v>0</v>
      </c>
    </row>
    <row r="276" spans="1:12">
      <c r="A276" s="51" t="s">
        <v>904</v>
      </c>
      <c r="B276" s="51" t="s">
        <v>581</v>
      </c>
      <c r="C276" s="51">
        <v>1</v>
      </c>
      <c r="D276" s="51">
        <v>1</v>
      </c>
      <c r="E276" s="51">
        <v>1</v>
      </c>
      <c r="F276" s="51">
        <v>1</v>
      </c>
      <c r="G276" s="51">
        <v>1</v>
      </c>
      <c r="H276" s="51">
        <v>1</v>
      </c>
      <c r="I276" s="51">
        <v>2</v>
      </c>
      <c r="L276">
        <v>0</v>
      </c>
    </row>
    <row r="277" spans="1:12">
      <c r="A277" s="51" t="s">
        <v>906</v>
      </c>
      <c r="B277" s="51" t="s">
        <v>583</v>
      </c>
      <c r="C277" s="51">
        <v>0</v>
      </c>
      <c r="D277" s="51">
        <v>0</v>
      </c>
      <c r="E277" s="51">
        <v>0</v>
      </c>
      <c r="F277" s="51">
        <v>0</v>
      </c>
      <c r="G277" s="51">
        <v>0</v>
      </c>
      <c r="H277" s="51">
        <v>0</v>
      </c>
      <c r="I277" s="51">
        <v>1</v>
      </c>
      <c r="L277">
        <v>0</v>
      </c>
    </row>
    <row r="278" spans="1:12">
      <c r="A278" s="51" t="s">
        <v>908</v>
      </c>
      <c r="B278" s="51" t="s">
        <v>585</v>
      </c>
      <c r="C278" s="51">
        <v>1</v>
      </c>
      <c r="D278" s="51">
        <v>1</v>
      </c>
      <c r="E278" s="51">
        <v>1</v>
      </c>
      <c r="F278" s="51">
        <v>1</v>
      </c>
      <c r="G278" s="51">
        <v>1</v>
      </c>
      <c r="H278" s="51">
        <v>1</v>
      </c>
      <c r="I278" s="51">
        <v>2</v>
      </c>
      <c r="L278">
        <v>0</v>
      </c>
    </row>
    <row r="279" spans="1:12">
      <c r="A279" s="51" t="s">
        <v>910</v>
      </c>
      <c r="B279" s="51" t="s">
        <v>587</v>
      </c>
      <c r="C279" s="51">
        <v>1</v>
      </c>
      <c r="D279" s="51">
        <v>1</v>
      </c>
      <c r="E279" s="51">
        <v>1</v>
      </c>
      <c r="F279" s="51">
        <v>1</v>
      </c>
      <c r="G279" s="51">
        <v>1</v>
      </c>
      <c r="H279" s="51">
        <v>1</v>
      </c>
      <c r="I279" s="51">
        <v>2</v>
      </c>
      <c r="L279">
        <v>0</v>
      </c>
    </row>
    <row r="280" spans="1:12">
      <c r="A280" s="51" t="s">
        <v>916</v>
      </c>
      <c r="B280" s="51" t="s">
        <v>597</v>
      </c>
      <c r="C280" s="51">
        <v>0</v>
      </c>
      <c r="D280" s="51">
        <v>0</v>
      </c>
      <c r="E280" s="51">
        <v>0</v>
      </c>
      <c r="F280" s="51">
        <v>0</v>
      </c>
      <c r="G280" s="51">
        <v>0</v>
      </c>
      <c r="H280" s="51">
        <v>0</v>
      </c>
      <c r="I280" s="51">
        <v>1</v>
      </c>
      <c r="L280">
        <v>0</v>
      </c>
    </row>
    <row r="281" spans="1:12">
      <c r="A281" s="51" t="s">
        <v>924</v>
      </c>
      <c r="B281" s="51" t="s">
        <v>611</v>
      </c>
      <c r="C281" s="51">
        <v>1</v>
      </c>
      <c r="D281" s="51">
        <v>1</v>
      </c>
      <c r="E281" s="51">
        <v>1</v>
      </c>
      <c r="F281" s="51">
        <v>1</v>
      </c>
      <c r="G281" s="51">
        <v>1</v>
      </c>
      <c r="H281" s="51">
        <v>1</v>
      </c>
      <c r="I281" s="51">
        <v>2</v>
      </c>
      <c r="L281">
        <v>0</v>
      </c>
    </row>
    <row r="282" spans="1:12">
      <c r="A282" s="51" t="s">
        <v>928</v>
      </c>
      <c r="B282" s="51" t="s">
        <v>617</v>
      </c>
      <c r="C282" s="51">
        <v>0</v>
      </c>
      <c r="D282" s="51">
        <v>0</v>
      </c>
      <c r="E282" s="51">
        <v>0</v>
      </c>
      <c r="F282" s="51">
        <v>0</v>
      </c>
      <c r="G282" s="51">
        <v>0</v>
      </c>
      <c r="H282" s="51">
        <v>0</v>
      </c>
      <c r="I282" s="51">
        <v>1</v>
      </c>
      <c r="L282">
        <v>0</v>
      </c>
    </row>
    <row r="283" spans="1:12">
      <c r="A283" s="51" t="s">
        <v>934</v>
      </c>
      <c r="B283" s="51" t="s">
        <v>627</v>
      </c>
      <c r="C283" s="51">
        <v>1</v>
      </c>
      <c r="D283" s="51">
        <v>1</v>
      </c>
      <c r="E283" s="51">
        <v>1</v>
      </c>
      <c r="F283" s="51">
        <v>1</v>
      </c>
      <c r="G283" s="51">
        <v>1</v>
      </c>
      <c r="H283" s="51">
        <v>1</v>
      </c>
      <c r="I283" s="51">
        <v>2</v>
      </c>
      <c r="L283">
        <v>0</v>
      </c>
    </row>
    <row r="284" spans="1:12">
      <c r="A284" s="51" t="s">
        <v>938</v>
      </c>
      <c r="B284" s="51" t="s">
        <v>633</v>
      </c>
      <c r="C284" s="51">
        <v>1</v>
      </c>
      <c r="D284" s="51">
        <v>1</v>
      </c>
      <c r="E284" s="51">
        <v>1</v>
      </c>
      <c r="F284" s="51">
        <v>1</v>
      </c>
      <c r="G284" s="51">
        <v>1</v>
      </c>
      <c r="H284" s="51">
        <v>1</v>
      </c>
      <c r="I284" s="51">
        <v>2</v>
      </c>
      <c r="L284">
        <v>0</v>
      </c>
    </row>
    <row r="285" spans="1:12">
      <c r="A285" s="51" t="s">
        <v>955</v>
      </c>
      <c r="B285" s="51" t="s">
        <v>665</v>
      </c>
      <c r="C285" s="51">
        <v>1</v>
      </c>
      <c r="D285" s="51">
        <v>1</v>
      </c>
      <c r="E285" s="51">
        <v>1</v>
      </c>
      <c r="F285" s="51">
        <v>1</v>
      </c>
      <c r="G285" s="51">
        <v>1</v>
      </c>
      <c r="H285" s="51">
        <v>1</v>
      </c>
      <c r="I285" s="51">
        <v>2</v>
      </c>
      <c r="L285">
        <v>0</v>
      </c>
    </row>
  </sheetData>
  <sortState xmlns:xlrd2="http://schemas.microsoft.com/office/spreadsheetml/2017/richdata2" ref="B1:L285">
    <sortCondition descending="1" ref="L1:L28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36CB2-2FB0-4C1E-BBF0-49575A36ED82}">
  <dimension ref="A1:AC213"/>
  <sheetViews>
    <sheetView topLeftCell="AB97" workbookViewId="0">
      <selection activeCell="AB94" sqref="AB94:AC102"/>
    </sheetView>
  </sheetViews>
  <sheetFormatPr baseColWidth="10" defaultColWidth="8.83203125" defaultRowHeight="15"/>
  <cols>
    <col min="1" max="1" width="19.83203125" bestFit="1" customWidth="1"/>
    <col min="2" max="2" width="10" bestFit="1" customWidth="1"/>
    <col min="3" max="3" width="9.1640625" style="59"/>
    <col min="4" max="4" width="9.5" bestFit="1" customWidth="1"/>
    <col min="5" max="5" width="19.1640625" bestFit="1" customWidth="1"/>
    <col min="15" max="15" width="9" bestFit="1" customWidth="1"/>
    <col min="16" max="16" width="19.1640625" bestFit="1" customWidth="1"/>
    <col min="28" max="28" width="19.1640625" bestFit="1" customWidth="1"/>
  </cols>
  <sheetData>
    <row r="1" spans="1:17">
      <c r="C1" s="204" t="s">
        <v>962</v>
      </c>
      <c r="F1" s="204" t="s">
        <v>963</v>
      </c>
    </row>
    <row r="2" spans="1:17">
      <c r="C2" s="204"/>
      <c r="F2" s="204"/>
    </row>
    <row r="3" spans="1:17">
      <c r="C3" s="204"/>
      <c r="F3" s="204"/>
    </row>
    <row r="4" spans="1:17">
      <c r="C4" s="204"/>
      <c r="F4" s="204"/>
    </row>
    <row r="5" spans="1:17">
      <c r="A5" t="s">
        <v>964</v>
      </c>
      <c r="C5" s="204"/>
      <c r="E5" t="s">
        <v>965</v>
      </c>
      <c r="F5" s="204"/>
    </row>
    <row r="6" spans="1:17">
      <c r="A6" s="58" t="s">
        <v>966</v>
      </c>
      <c r="B6" s="58" t="s">
        <v>967</v>
      </c>
      <c r="C6" s="204"/>
      <c r="D6" s="58" t="s">
        <v>968</v>
      </c>
      <c r="E6" s="58" t="s">
        <v>969</v>
      </c>
      <c r="F6" s="204"/>
      <c r="O6" s="58" t="s">
        <v>970</v>
      </c>
      <c r="P6" s="58" t="s">
        <v>971</v>
      </c>
    </row>
    <row r="7" spans="1:17">
      <c r="A7" s="45"/>
      <c r="B7" s="45"/>
      <c r="C7" s="59">
        <f>IF(D7=B7, 1, 0)</f>
        <v>0</v>
      </c>
      <c r="D7" s="61" t="s">
        <v>184</v>
      </c>
      <c r="E7" s="44" t="s">
        <v>183</v>
      </c>
      <c r="F7" s="60">
        <f xml:space="preserve"> IF(E7=A7, 1, 0)</f>
        <v>0</v>
      </c>
      <c r="G7" s="44"/>
      <c r="H7" s="44"/>
      <c r="O7" s="44" t="s">
        <v>299</v>
      </c>
      <c r="P7" s="44" t="s">
        <v>695</v>
      </c>
      <c r="Q7">
        <f>IF(D18=O7, 0, 1)</f>
        <v>0</v>
      </c>
    </row>
    <row r="8" spans="1:17">
      <c r="A8" t="s">
        <v>686</v>
      </c>
      <c r="B8" s="44" t="s">
        <v>281</v>
      </c>
      <c r="C8" s="59">
        <f t="shared" ref="C8:C74" si="0">IF(D8=B8, 1, 0)</f>
        <v>1</v>
      </c>
      <c r="D8" s="44" t="s">
        <v>281</v>
      </c>
      <c r="E8" s="44" t="s">
        <v>686</v>
      </c>
      <c r="F8" s="59">
        <f t="shared" ref="F8:F71" si="1" xml:space="preserve"> IF(E8=A8, 1, 0)</f>
        <v>1</v>
      </c>
      <c r="O8" s="44" t="s">
        <v>305</v>
      </c>
      <c r="P8" s="44" t="s">
        <v>699</v>
      </c>
      <c r="Q8">
        <f>IF(D21=O8, 0, 1)</f>
        <v>0</v>
      </c>
    </row>
    <row r="9" spans="1:17">
      <c r="A9" t="s">
        <v>687</v>
      </c>
      <c r="B9" s="44" t="s">
        <v>283</v>
      </c>
      <c r="C9" s="59">
        <f t="shared" si="0"/>
        <v>1</v>
      </c>
      <c r="D9" s="44" t="s">
        <v>283</v>
      </c>
      <c r="E9" s="44" t="s">
        <v>687</v>
      </c>
      <c r="F9" s="59">
        <f t="shared" si="1"/>
        <v>1</v>
      </c>
      <c r="O9" s="44" t="s">
        <v>309</v>
      </c>
      <c r="P9" s="44" t="s">
        <v>702</v>
      </c>
      <c r="Q9">
        <f t="shared" ref="Q9" si="2">IF(O10=O9, 0, 1)</f>
        <v>0</v>
      </c>
    </row>
    <row r="10" spans="1:17">
      <c r="A10" t="s">
        <v>688</v>
      </c>
      <c r="B10" s="44" t="s">
        <v>285</v>
      </c>
      <c r="C10" s="59">
        <f t="shared" si="0"/>
        <v>1</v>
      </c>
      <c r="D10" s="44" t="s">
        <v>285</v>
      </c>
      <c r="E10" s="44" t="s">
        <v>688</v>
      </c>
      <c r="F10" s="59">
        <f t="shared" si="1"/>
        <v>1</v>
      </c>
      <c r="O10" s="44" t="s">
        <v>309</v>
      </c>
      <c r="P10" s="44" t="s">
        <v>703</v>
      </c>
      <c r="Q10">
        <f>IF(D23=O10, 0, 1)</f>
        <v>0</v>
      </c>
    </row>
    <row r="11" spans="1:17">
      <c r="B11" s="44"/>
      <c r="C11" s="59">
        <f t="shared" si="0"/>
        <v>0</v>
      </c>
      <c r="D11" s="61" t="s">
        <v>186</v>
      </c>
      <c r="E11" s="44" t="s">
        <v>185</v>
      </c>
      <c r="F11" s="60">
        <f t="shared" si="1"/>
        <v>0</v>
      </c>
      <c r="O11" s="44" t="s">
        <v>311</v>
      </c>
      <c r="P11" s="44" t="s">
        <v>705</v>
      </c>
      <c r="Q11">
        <f>IF(D24=O11, 0, 1)</f>
        <v>0</v>
      </c>
    </row>
    <row r="12" spans="1:17">
      <c r="A12" t="s">
        <v>689</v>
      </c>
      <c r="B12" s="44" t="s">
        <v>287</v>
      </c>
      <c r="C12" s="59">
        <f t="shared" si="0"/>
        <v>1</v>
      </c>
      <c r="D12" s="44" t="s">
        <v>287</v>
      </c>
      <c r="E12" s="44" t="s">
        <v>689</v>
      </c>
      <c r="F12" s="59">
        <f t="shared" si="1"/>
        <v>1</v>
      </c>
      <c r="O12" s="44" t="s">
        <v>321</v>
      </c>
      <c r="P12" s="44" t="s">
        <v>711</v>
      </c>
      <c r="Q12">
        <f>IF(O13=O12, 0, 1)</f>
        <v>0</v>
      </c>
    </row>
    <row r="13" spans="1:17">
      <c r="A13" t="s">
        <v>690</v>
      </c>
      <c r="B13" s="44" t="s">
        <v>289</v>
      </c>
      <c r="C13" s="59">
        <f t="shared" si="0"/>
        <v>1</v>
      </c>
      <c r="D13" s="44" t="s">
        <v>289</v>
      </c>
      <c r="E13" s="44" t="s">
        <v>690</v>
      </c>
      <c r="F13" s="59">
        <f t="shared" si="1"/>
        <v>1</v>
      </c>
      <c r="O13" s="44" t="s">
        <v>321</v>
      </c>
      <c r="P13" s="44" t="s">
        <v>712</v>
      </c>
      <c r="Q13">
        <f>IF(D30=O13, 0, 1)</f>
        <v>0</v>
      </c>
    </row>
    <row r="14" spans="1:17">
      <c r="A14" t="s">
        <v>691</v>
      </c>
      <c r="B14" s="44" t="s">
        <v>291</v>
      </c>
      <c r="C14" s="59">
        <f t="shared" si="0"/>
        <v>1</v>
      </c>
      <c r="D14" s="44" t="s">
        <v>291</v>
      </c>
      <c r="E14" s="44" t="s">
        <v>691</v>
      </c>
      <c r="F14" s="59">
        <f t="shared" si="1"/>
        <v>1</v>
      </c>
      <c r="O14" s="44" t="s">
        <v>333</v>
      </c>
      <c r="P14" s="44" t="s">
        <v>719</v>
      </c>
      <c r="Q14">
        <f>IF(D37=O14, 0, 1)</f>
        <v>0</v>
      </c>
    </row>
    <row r="15" spans="1:17">
      <c r="A15" t="s">
        <v>692</v>
      </c>
      <c r="B15" s="44" t="s">
        <v>293</v>
      </c>
      <c r="C15" s="59">
        <f t="shared" si="0"/>
        <v>1</v>
      </c>
      <c r="D15" s="44" t="s">
        <v>293</v>
      </c>
      <c r="E15" s="44" t="s">
        <v>692</v>
      </c>
      <c r="F15" s="59">
        <f t="shared" si="1"/>
        <v>1</v>
      </c>
      <c r="O15" s="44" t="s">
        <v>335</v>
      </c>
      <c r="P15" s="44" t="s">
        <v>721</v>
      </c>
      <c r="Q15">
        <f>IF(D38=O15, 0, 1)</f>
        <v>0</v>
      </c>
    </row>
    <row r="16" spans="1:17">
      <c r="A16" t="s">
        <v>693</v>
      </c>
      <c r="B16" s="44" t="s">
        <v>295</v>
      </c>
      <c r="C16" s="59">
        <f t="shared" si="0"/>
        <v>1</v>
      </c>
      <c r="D16" s="44" t="s">
        <v>295</v>
      </c>
      <c r="E16" s="44" t="s">
        <v>693</v>
      </c>
      <c r="F16" s="59">
        <f t="shared" si="1"/>
        <v>1</v>
      </c>
      <c r="O16" s="44" t="s">
        <v>345</v>
      </c>
      <c r="P16" s="44" t="s">
        <v>727</v>
      </c>
      <c r="Q16">
        <f>IF(D44=O16, 0, 1)</f>
        <v>0</v>
      </c>
    </row>
    <row r="17" spans="1:17">
      <c r="A17" t="s">
        <v>694</v>
      </c>
      <c r="B17" s="44" t="s">
        <v>297</v>
      </c>
      <c r="C17" s="59">
        <f t="shared" si="0"/>
        <v>1</v>
      </c>
      <c r="D17" s="44" t="s">
        <v>297</v>
      </c>
      <c r="E17" s="44" t="s">
        <v>694</v>
      </c>
      <c r="F17" s="59">
        <f t="shared" si="1"/>
        <v>1</v>
      </c>
      <c r="O17" s="44" t="s">
        <v>349</v>
      </c>
      <c r="P17" s="44" t="s">
        <v>730</v>
      </c>
      <c r="Q17">
        <f>IF(D46=O17, 0, 1)</f>
        <v>0</v>
      </c>
    </row>
    <row r="18" spans="1:17">
      <c r="A18" t="s">
        <v>696</v>
      </c>
      <c r="B18" s="44" t="s">
        <v>299</v>
      </c>
      <c r="C18" s="59">
        <f t="shared" si="0"/>
        <v>1</v>
      </c>
      <c r="D18" s="44" t="s">
        <v>299</v>
      </c>
      <c r="E18" s="44" t="s">
        <v>696</v>
      </c>
      <c r="F18" s="59">
        <f t="shared" si="1"/>
        <v>1</v>
      </c>
      <c r="O18" s="44" t="s">
        <v>359</v>
      </c>
      <c r="P18" s="44" t="s">
        <v>736</v>
      </c>
      <c r="Q18">
        <f>IF(D51=O18, 0, 1)</f>
        <v>0</v>
      </c>
    </row>
    <row r="19" spans="1:17">
      <c r="A19" t="s">
        <v>697</v>
      </c>
      <c r="B19" s="44" t="s">
        <v>301</v>
      </c>
      <c r="C19" s="59">
        <f t="shared" si="0"/>
        <v>1</v>
      </c>
      <c r="D19" s="44" t="s">
        <v>301</v>
      </c>
      <c r="E19" s="44" t="s">
        <v>697</v>
      </c>
      <c r="F19" s="59">
        <f t="shared" si="1"/>
        <v>1</v>
      </c>
      <c r="O19" s="44" t="s">
        <v>379</v>
      </c>
      <c r="P19" s="44" t="s">
        <v>747</v>
      </c>
      <c r="Q19">
        <f t="shared" ref="Q19:Q24" si="3">IF(O20=O19, 0, 1)</f>
        <v>0</v>
      </c>
    </row>
    <row r="20" spans="1:17">
      <c r="A20" t="s">
        <v>698</v>
      </c>
      <c r="B20" s="44" t="s">
        <v>303</v>
      </c>
      <c r="C20" s="59">
        <f t="shared" si="0"/>
        <v>1</v>
      </c>
      <c r="D20" s="44" t="s">
        <v>303</v>
      </c>
      <c r="E20" s="44" t="s">
        <v>698</v>
      </c>
      <c r="F20" s="59">
        <f t="shared" si="1"/>
        <v>1</v>
      </c>
      <c r="O20" s="44" t="s">
        <v>379</v>
      </c>
      <c r="P20" s="44" t="s">
        <v>748</v>
      </c>
      <c r="Q20">
        <f t="shared" si="3"/>
        <v>0</v>
      </c>
    </row>
    <row r="21" spans="1:17">
      <c r="A21" t="s">
        <v>700</v>
      </c>
      <c r="B21" s="44" t="s">
        <v>305</v>
      </c>
      <c r="C21" s="59">
        <f t="shared" si="0"/>
        <v>1</v>
      </c>
      <c r="D21" s="44" t="s">
        <v>305</v>
      </c>
      <c r="E21" s="44" t="s">
        <v>700</v>
      </c>
      <c r="F21" s="59">
        <f t="shared" si="1"/>
        <v>1</v>
      </c>
      <c r="O21" s="44" t="s">
        <v>379</v>
      </c>
      <c r="P21" s="44" t="s">
        <v>749</v>
      </c>
      <c r="Q21">
        <f t="shared" si="3"/>
        <v>0</v>
      </c>
    </row>
    <row r="22" spans="1:17">
      <c r="A22" t="s">
        <v>701</v>
      </c>
      <c r="B22" s="44" t="s">
        <v>307</v>
      </c>
      <c r="C22" s="59">
        <f t="shared" si="0"/>
        <v>1</v>
      </c>
      <c r="D22" s="44" t="s">
        <v>307</v>
      </c>
      <c r="E22" s="44" t="s">
        <v>701</v>
      </c>
      <c r="F22" s="59">
        <f t="shared" si="1"/>
        <v>1</v>
      </c>
      <c r="O22" s="44" t="s">
        <v>379</v>
      </c>
      <c r="P22" s="44" t="s">
        <v>750</v>
      </c>
      <c r="Q22">
        <f t="shared" si="3"/>
        <v>0</v>
      </c>
    </row>
    <row r="23" spans="1:17">
      <c r="A23" t="s">
        <v>704</v>
      </c>
      <c r="B23" s="44" t="s">
        <v>309</v>
      </c>
      <c r="C23" s="59">
        <f t="shared" si="0"/>
        <v>1</v>
      </c>
      <c r="D23" s="44" t="s">
        <v>309</v>
      </c>
      <c r="E23" s="44" t="s">
        <v>704</v>
      </c>
      <c r="F23" s="59">
        <f t="shared" si="1"/>
        <v>1</v>
      </c>
      <c r="O23" s="44" t="s">
        <v>379</v>
      </c>
      <c r="P23" s="44" t="s">
        <v>751</v>
      </c>
      <c r="Q23">
        <f t="shared" si="3"/>
        <v>0</v>
      </c>
    </row>
    <row r="24" spans="1:17">
      <c r="A24" t="s">
        <v>706</v>
      </c>
      <c r="B24" s="44" t="s">
        <v>311</v>
      </c>
      <c r="C24" s="59">
        <f t="shared" si="0"/>
        <v>1</v>
      </c>
      <c r="D24" s="44" t="s">
        <v>311</v>
      </c>
      <c r="E24" s="44" t="s">
        <v>706</v>
      </c>
      <c r="F24" s="59">
        <f t="shared" si="1"/>
        <v>1</v>
      </c>
      <c r="O24" s="44" t="s">
        <v>379</v>
      </c>
      <c r="P24" s="44" t="s">
        <v>752</v>
      </c>
      <c r="Q24">
        <f t="shared" si="3"/>
        <v>0</v>
      </c>
    </row>
    <row r="25" spans="1:17">
      <c r="A25" t="s">
        <v>707</v>
      </c>
      <c r="B25" s="44" t="s">
        <v>313</v>
      </c>
      <c r="C25" s="59">
        <f t="shared" si="0"/>
        <v>1</v>
      </c>
      <c r="D25" s="44" t="s">
        <v>313</v>
      </c>
      <c r="E25" s="44" t="s">
        <v>707</v>
      </c>
      <c r="F25" s="59">
        <f t="shared" si="1"/>
        <v>1</v>
      </c>
      <c r="O25" s="44" t="s">
        <v>379</v>
      </c>
      <c r="P25" s="44" t="s">
        <v>753</v>
      </c>
      <c r="Q25">
        <f>IF(O26=O25, 0, 1)</f>
        <v>0</v>
      </c>
    </row>
    <row r="26" spans="1:17">
      <c r="A26" t="s">
        <v>708</v>
      </c>
      <c r="B26" s="44" t="s">
        <v>315</v>
      </c>
      <c r="C26" s="59">
        <f t="shared" si="0"/>
        <v>1</v>
      </c>
      <c r="D26" s="44" t="s">
        <v>315</v>
      </c>
      <c r="E26" s="44" t="s">
        <v>708</v>
      </c>
      <c r="F26" s="59">
        <f t="shared" si="1"/>
        <v>1</v>
      </c>
      <c r="O26" s="44" t="s">
        <v>379</v>
      </c>
      <c r="P26" s="44" t="s">
        <v>754</v>
      </c>
      <c r="Q26">
        <f>IF(O27=O26, 0, 1)</f>
        <v>0</v>
      </c>
    </row>
    <row r="27" spans="1:17">
      <c r="A27" t="s">
        <v>709</v>
      </c>
      <c r="B27" s="44" t="s">
        <v>317</v>
      </c>
      <c r="C27" s="59">
        <f t="shared" si="0"/>
        <v>1</v>
      </c>
      <c r="D27" s="44" t="s">
        <v>317</v>
      </c>
      <c r="E27" s="44" t="s">
        <v>709</v>
      </c>
      <c r="F27" s="59">
        <f t="shared" si="1"/>
        <v>1</v>
      </c>
      <c r="O27" s="44" t="s">
        <v>379</v>
      </c>
      <c r="P27" s="44" t="s">
        <v>755</v>
      </c>
      <c r="Q27">
        <f>IF(D61=O27, 0, 1)</f>
        <v>0</v>
      </c>
    </row>
    <row r="28" spans="1:17">
      <c r="A28" t="s">
        <v>710</v>
      </c>
      <c r="B28" s="44" t="s">
        <v>319</v>
      </c>
      <c r="C28" s="59">
        <f t="shared" si="0"/>
        <v>1</v>
      </c>
      <c r="D28" s="44" t="s">
        <v>319</v>
      </c>
      <c r="E28" s="44" t="s">
        <v>710</v>
      </c>
      <c r="F28" s="59">
        <f t="shared" si="1"/>
        <v>1</v>
      </c>
      <c r="O28" s="44" t="s">
        <v>387</v>
      </c>
      <c r="P28" s="44" t="s">
        <v>760</v>
      </c>
      <c r="Q28">
        <f>IF(D65=O28, 0, 1)</f>
        <v>0</v>
      </c>
    </row>
    <row r="29" spans="1:17">
      <c r="B29" s="44"/>
      <c r="C29" s="59">
        <f t="shared" si="0"/>
        <v>0</v>
      </c>
      <c r="D29" s="61" t="s">
        <v>188</v>
      </c>
      <c r="E29" s="44" t="s">
        <v>187</v>
      </c>
      <c r="F29" s="60">
        <f t="shared" si="1"/>
        <v>0</v>
      </c>
      <c r="O29" s="44" t="s">
        <v>393</v>
      </c>
      <c r="P29" s="44" t="s">
        <v>764</v>
      </c>
      <c r="Q29">
        <f>IF(D68=O29, 0, 1)</f>
        <v>0</v>
      </c>
    </row>
    <row r="30" spans="1:17">
      <c r="A30" t="s">
        <v>713</v>
      </c>
      <c r="B30" s="44" t="s">
        <v>321</v>
      </c>
      <c r="C30" s="59">
        <f t="shared" si="0"/>
        <v>1</v>
      </c>
      <c r="D30" s="44" t="s">
        <v>321</v>
      </c>
      <c r="E30" s="44" t="s">
        <v>713</v>
      </c>
      <c r="F30" s="59">
        <f t="shared" si="1"/>
        <v>1</v>
      </c>
      <c r="O30" s="44" t="s">
        <v>397</v>
      </c>
      <c r="P30" s="44" t="s">
        <v>767</v>
      </c>
      <c r="Q30">
        <f>IF(D70=O30, 0, 1)</f>
        <v>0</v>
      </c>
    </row>
    <row r="31" spans="1:17">
      <c r="A31" t="s">
        <v>714</v>
      </c>
      <c r="B31" s="44" t="s">
        <v>323</v>
      </c>
      <c r="C31" s="59">
        <f t="shared" si="0"/>
        <v>1</v>
      </c>
      <c r="D31" s="44" t="s">
        <v>323</v>
      </c>
      <c r="E31" s="44" t="s">
        <v>714</v>
      </c>
      <c r="F31" s="59">
        <f t="shared" si="1"/>
        <v>1</v>
      </c>
      <c r="O31" s="44" t="s">
        <v>405</v>
      </c>
      <c r="P31" s="44" t="s">
        <v>772</v>
      </c>
      <c r="Q31">
        <f>IF(D74=O31, 0, 1)</f>
        <v>0</v>
      </c>
    </row>
    <row r="32" spans="1:17">
      <c r="A32" t="s">
        <v>715</v>
      </c>
      <c r="B32" s="44" t="s">
        <v>325</v>
      </c>
      <c r="C32" s="59">
        <f t="shared" si="0"/>
        <v>1</v>
      </c>
      <c r="D32" s="44" t="s">
        <v>325</v>
      </c>
      <c r="E32" s="44" t="s">
        <v>715</v>
      </c>
      <c r="F32" s="59">
        <f t="shared" si="1"/>
        <v>1</v>
      </c>
      <c r="O32" s="44" t="s">
        <v>415</v>
      </c>
      <c r="P32" s="44" t="s">
        <v>778</v>
      </c>
      <c r="Q32">
        <f>IF(D79=O32, 0, 1)</f>
        <v>0</v>
      </c>
    </row>
    <row r="33" spans="1:17">
      <c r="A33" t="s">
        <v>716</v>
      </c>
      <c r="B33" s="44" t="s">
        <v>327</v>
      </c>
      <c r="C33" s="59">
        <f t="shared" si="0"/>
        <v>1</v>
      </c>
      <c r="D33" s="44" t="s">
        <v>327</v>
      </c>
      <c r="E33" s="44" t="s">
        <v>716</v>
      </c>
      <c r="F33" s="59">
        <f t="shared" si="1"/>
        <v>1</v>
      </c>
      <c r="O33" s="44" t="s">
        <v>421</v>
      </c>
      <c r="P33" s="44" t="s">
        <v>782</v>
      </c>
      <c r="Q33">
        <f>IF(D82=O33, 0, 1)</f>
        <v>0</v>
      </c>
    </row>
    <row r="34" spans="1:17">
      <c r="A34" t="s">
        <v>717</v>
      </c>
      <c r="B34" s="44" t="s">
        <v>329</v>
      </c>
      <c r="C34" s="59">
        <f t="shared" si="0"/>
        <v>1</v>
      </c>
      <c r="D34" s="44" t="s">
        <v>329</v>
      </c>
      <c r="E34" s="44" t="s">
        <v>717</v>
      </c>
      <c r="F34" s="59">
        <f t="shared" si="1"/>
        <v>1</v>
      </c>
      <c r="O34" s="44" t="s">
        <v>423</v>
      </c>
      <c r="P34" s="44" t="s">
        <v>784</v>
      </c>
      <c r="Q34">
        <f>IF(D83=O34, 0, 1)</f>
        <v>0</v>
      </c>
    </row>
    <row r="35" spans="1:17">
      <c r="A35" t="s">
        <v>718</v>
      </c>
      <c r="B35" s="44" t="s">
        <v>331</v>
      </c>
      <c r="C35" s="59">
        <f t="shared" si="0"/>
        <v>1</v>
      </c>
      <c r="D35" s="44" t="s">
        <v>331</v>
      </c>
      <c r="E35" s="44" t="s">
        <v>718</v>
      </c>
      <c r="F35" s="59">
        <f t="shared" si="1"/>
        <v>1</v>
      </c>
      <c r="O35" s="44" t="s">
        <v>427</v>
      </c>
      <c r="P35" s="44" t="s">
        <v>787</v>
      </c>
      <c r="Q35">
        <f>IF(D86=O35, 0, 1)</f>
        <v>0</v>
      </c>
    </row>
    <row r="36" spans="1:17">
      <c r="B36" s="44"/>
      <c r="C36" s="59">
        <f t="shared" si="0"/>
        <v>0</v>
      </c>
      <c r="D36" s="61" t="s">
        <v>190</v>
      </c>
      <c r="E36" s="44" t="s">
        <v>189</v>
      </c>
      <c r="F36" s="60">
        <f t="shared" si="1"/>
        <v>0</v>
      </c>
      <c r="O36" s="44" t="s">
        <v>433</v>
      </c>
      <c r="P36" s="44" t="s">
        <v>791</v>
      </c>
      <c r="Q36">
        <f>IF(O37=O36, 0, 1)</f>
        <v>0</v>
      </c>
    </row>
    <row r="37" spans="1:17">
      <c r="A37" t="s">
        <v>720</v>
      </c>
      <c r="B37" s="44" t="s">
        <v>333</v>
      </c>
      <c r="C37" s="59">
        <f t="shared" si="0"/>
        <v>1</v>
      </c>
      <c r="D37" s="44" t="s">
        <v>333</v>
      </c>
      <c r="E37" s="44" t="s">
        <v>720</v>
      </c>
      <c r="F37" s="59">
        <f t="shared" si="1"/>
        <v>1</v>
      </c>
      <c r="O37" s="44" t="s">
        <v>433</v>
      </c>
      <c r="P37" s="44" t="s">
        <v>792</v>
      </c>
      <c r="Q37">
        <f>IF(O38=O37, 0, 1)</f>
        <v>0</v>
      </c>
    </row>
    <row r="38" spans="1:17">
      <c r="A38" t="s">
        <v>722</v>
      </c>
      <c r="B38" s="44" t="s">
        <v>335</v>
      </c>
      <c r="C38" s="59">
        <f t="shared" si="0"/>
        <v>1</v>
      </c>
      <c r="D38" s="44" t="s">
        <v>335</v>
      </c>
      <c r="E38" s="44" t="s">
        <v>722</v>
      </c>
      <c r="F38" s="59">
        <f t="shared" si="1"/>
        <v>1</v>
      </c>
      <c r="O38" s="44" t="s">
        <v>433</v>
      </c>
      <c r="P38" s="44" t="s">
        <v>793</v>
      </c>
      <c r="Q38">
        <f>IF(D89=O38, 0, 1)</f>
        <v>0</v>
      </c>
    </row>
    <row r="39" spans="1:17">
      <c r="A39" t="s">
        <v>723</v>
      </c>
      <c r="B39" s="44" t="s">
        <v>337</v>
      </c>
      <c r="C39" s="59">
        <f t="shared" si="0"/>
        <v>1</v>
      </c>
      <c r="D39" s="44" t="s">
        <v>337</v>
      </c>
      <c r="E39" s="44" t="s">
        <v>723</v>
      </c>
      <c r="F39" s="59">
        <f t="shared" si="1"/>
        <v>1</v>
      </c>
      <c r="O39" s="44" t="s">
        <v>441</v>
      </c>
      <c r="P39" s="44" t="s">
        <v>798</v>
      </c>
      <c r="Q39">
        <f>IF(O40=O39, 0, 1)</f>
        <v>0</v>
      </c>
    </row>
    <row r="40" spans="1:17">
      <c r="A40" t="s">
        <v>724</v>
      </c>
      <c r="B40" s="44" t="s">
        <v>339</v>
      </c>
      <c r="C40" s="59">
        <f t="shared" si="0"/>
        <v>1</v>
      </c>
      <c r="D40" s="44" t="s">
        <v>339</v>
      </c>
      <c r="E40" s="44" t="s">
        <v>724</v>
      </c>
      <c r="F40" s="59">
        <f t="shared" si="1"/>
        <v>1</v>
      </c>
      <c r="O40" s="44" t="s">
        <v>441</v>
      </c>
      <c r="P40" s="44" t="s">
        <v>799</v>
      </c>
      <c r="Q40">
        <f>IF(O41=O40, 0, 1)</f>
        <v>0</v>
      </c>
    </row>
    <row r="41" spans="1:17">
      <c r="A41" t="s">
        <v>725</v>
      </c>
      <c r="B41" s="44" t="s">
        <v>341</v>
      </c>
      <c r="C41" s="59">
        <f t="shared" si="0"/>
        <v>1</v>
      </c>
      <c r="D41" s="44" t="s">
        <v>341</v>
      </c>
      <c r="E41" s="44" t="s">
        <v>725</v>
      </c>
      <c r="F41" s="59">
        <f t="shared" si="1"/>
        <v>1</v>
      </c>
      <c r="O41" s="44" t="s">
        <v>441</v>
      </c>
      <c r="P41" s="44" t="s">
        <v>800</v>
      </c>
      <c r="Q41">
        <f>IF(D93=O41, 0, 1)</f>
        <v>0</v>
      </c>
    </row>
    <row r="42" spans="1:17">
      <c r="A42" t="s">
        <v>726</v>
      </c>
      <c r="B42" s="44" t="s">
        <v>343</v>
      </c>
      <c r="C42" s="59">
        <f t="shared" si="0"/>
        <v>1</v>
      </c>
      <c r="D42" s="44" t="s">
        <v>343</v>
      </c>
      <c r="E42" s="44" t="s">
        <v>726</v>
      </c>
      <c r="F42" s="59">
        <f t="shared" si="1"/>
        <v>1</v>
      </c>
      <c r="O42" s="44" t="s">
        <v>453</v>
      </c>
      <c r="P42" s="44" t="s">
        <v>807</v>
      </c>
      <c r="Q42">
        <f>IF(O43=O42, 0, 1)</f>
        <v>0</v>
      </c>
    </row>
    <row r="43" spans="1:17">
      <c r="B43" s="44"/>
      <c r="C43" s="59">
        <f t="shared" si="0"/>
        <v>0</v>
      </c>
      <c r="D43" s="61" t="s">
        <v>192</v>
      </c>
      <c r="E43" s="44" t="s">
        <v>191</v>
      </c>
      <c r="F43" s="60">
        <f t="shared" si="1"/>
        <v>0</v>
      </c>
      <c r="O43" s="44" t="s">
        <v>453</v>
      </c>
      <c r="P43" s="44" t="s">
        <v>808</v>
      </c>
      <c r="Q43">
        <f>IF(D99=O43, 0, 1)</f>
        <v>0</v>
      </c>
    </row>
    <row r="44" spans="1:17">
      <c r="A44" t="s">
        <v>728</v>
      </c>
      <c r="B44" s="44" t="s">
        <v>345</v>
      </c>
      <c r="C44" s="59">
        <f t="shared" si="0"/>
        <v>1</v>
      </c>
      <c r="D44" s="44" t="s">
        <v>345</v>
      </c>
      <c r="E44" s="44" t="s">
        <v>728</v>
      </c>
      <c r="F44" s="59">
        <f t="shared" si="1"/>
        <v>1</v>
      </c>
      <c r="O44" s="44" t="s">
        <v>455</v>
      </c>
      <c r="P44" s="44" t="s">
        <v>810</v>
      </c>
      <c r="Q44">
        <f>IF(D100=O44, 0, 1)</f>
        <v>0</v>
      </c>
    </row>
    <row r="45" spans="1:17">
      <c r="A45" t="s">
        <v>729</v>
      </c>
      <c r="B45" s="44" t="s">
        <v>347</v>
      </c>
      <c r="C45" s="59">
        <f t="shared" si="0"/>
        <v>1</v>
      </c>
      <c r="D45" s="44" t="s">
        <v>347</v>
      </c>
      <c r="E45" s="44" t="s">
        <v>729</v>
      </c>
      <c r="F45" s="59">
        <f t="shared" si="1"/>
        <v>1</v>
      </c>
      <c r="O45" s="44" t="s">
        <v>459</v>
      </c>
      <c r="P45" s="44" t="s">
        <v>813</v>
      </c>
      <c r="Q45">
        <f>IF(D103=O45, 0, 1)</f>
        <v>0</v>
      </c>
    </row>
    <row r="46" spans="1:17">
      <c r="A46" t="s">
        <v>731</v>
      </c>
      <c r="B46" s="44" t="s">
        <v>349</v>
      </c>
      <c r="C46" s="59">
        <f t="shared" si="0"/>
        <v>1</v>
      </c>
      <c r="D46" s="44" t="s">
        <v>349</v>
      </c>
      <c r="E46" s="44" t="s">
        <v>731</v>
      </c>
      <c r="F46" s="59">
        <f t="shared" si="1"/>
        <v>1</v>
      </c>
      <c r="O46" s="44" t="s">
        <v>461</v>
      </c>
      <c r="P46" s="44" t="s">
        <v>815</v>
      </c>
      <c r="Q46">
        <f>IF(D104=O46, 0, 1)</f>
        <v>0</v>
      </c>
    </row>
    <row r="47" spans="1:17">
      <c r="A47" t="s">
        <v>732</v>
      </c>
      <c r="B47" s="44" t="s">
        <v>351</v>
      </c>
      <c r="C47" s="59">
        <f t="shared" si="0"/>
        <v>1</v>
      </c>
      <c r="D47" s="44" t="s">
        <v>351</v>
      </c>
      <c r="E47" s="44" t="s">
        <v>732</v>
      </c>
      <c r="F47" s="59">
        <f t="shared" si="1"/>
        <v>1</v>
      </c>
      <c r="O47" s="44" t="s">
        <v>463</v>
      </c>
      <c r="P47" s="44" t="s">
        <v>817</v>
      </c>
      <c r="Q47">
        <f>IF(D105=O47, 0, 1)</f>
        <v>0</v>
      </c>
    </row>
    <row r="48" spans="1:17">
      <c r="A48" t="s">
        <v>733</v>
      </c>
      <c r="B48" s="44" t="s">
        <v>353</v>
      </c>
      <c r="C48" s="59">
        <f t="shared" si="0"/>
        <v>1</v>
      </c>
      <c r="D48" s="44" t="s">
        <v>353</v>
      </c>
      <c r="E48" s="44" t="s">
        <v>733</v>
      </c>
      <c r="F48" s="59">
        <f t="shared" si="1"/>
        <v>1</v>
      </c>
      <c r="O48" s="44" t="s">
        <v>469</v>
      </c>
      <c r="P48" s="44" t="s">
        <v>821</v>
      </c>
      <c r="Q48">
        <f>IF(D108=O48, 0, 1)</f>
        <v>0</v>
      </c>
    </row>
    <row r="49" spans="1:17">
      <c r="A49" t="s">
        <v>734</v>
      </c>
      <c r="B49" s="44" t="s">
        <v>355</v>
      </c>
      <c r="C49" s="59">
        <f t="shared" si="0"/>
        <v>1</v>
      </c>
      <c r="D49" s="44" t="s">
        <v>355</v>
      </c>
      <c r="E49" s="44" t="s">
        <v>734</v>
      </c>
      <c r="F49" s="59">
        <f t="shared" si="1"/>
        <v>1</v>
      </c>
      <c r="O49" s="44" t="s">
        <v>473</v>
      </c>
      <c r="P49" s="44" t="s">
        <v>824</v>
      </c>
      <c r="Q49">
        <f>IF(D110=O49, 0, 1)</f>
        <v>0</v>
      </c>
    </row>
    <row r="50" spans="1:17">
      <c r="A50" t="s">
        <v>735</v>
      </c>
      <c r="B50" s="44" t="s">
        <v>357</v>
      </c>
      <c r="C50" s="59">
        <f t="shared" si="0"/>
        <v>1</v>
      </c>
      <c r="D50" s="44" t="s">
        <v>357</v>
      </c>
      <c r="E50" s="44" t="s">
        <v>735</v>
      </c>
      <c r="F50" s="59">
        <f t="shared" si="1"/>
        <v>1</v>
      </c>
      <c r="O50" s="44" t="s">
        <v>491</v>
      </c>
      <c r="P50" s="44" t="s">
        <v>834</v>
      </c>
      <c r="Q50">
        <f t="shared" ref="Q50:Q51" si="4">IF(O51=O50, 0, 1)</f>
        <v>0</v>
      </c>
    </row>
    <row r="51" spans="1:17">
      <c r="A51" t="s">
        <v>737</v>
      </c>
      <c r="B51" s="44" t="s">
        <v>359</v>
      </c>
      <c r="C51" s="59">
        <f t="shared" si="0"/>
        <v>1</v>
      </c>
      <c r="D51" s="44" t="s">
        <v>359</v>
      </c>
      <c r="E51" s="44" t="s">
        <v>737</v>
      </c>
      <c r="F51" s="59">
        <f t="shared" si="1"/>
        <v>1</v>
      </c>
      <c r="O51" s="44" t="s">
        <v>491</v>
      </c>
      <c r="P51" s="44" t="s">
        <v>835</v>
      </c>
      <c r="Q51">
        <f t="shared" si="4"/>
        <v>0</v>
      </c>
    </row>
    <row r="52" spans="1:17">
      <c r="A52" t="s">
        <v>738</v>
      </c>
      <c r="B52" s="44" t="s">
        <v>361</v>
      </c>
      <c r="C52" s="59">
        <f t="shared" si="0"/>
        <v>1</v>
      </c>
      <c r="D52" s="44" t="s">
        <v>361</v>
      </c>
      <c r="E52" s="44" t="s">
        <v>738</v>
      </c>
      <c r="F52" s="59">
        <f t="shared" si="1"/>
        <v>1</v>
      </c>
      <c r="O52" s="44" t="s">
        <v>491</v>
      </c>
      <c r="P52" s="44" t="s">
        <v>836</v>
      </c>
      <c r="Q52">
        <f>IF(D121=O52, 0, 1)</f>
        <v>0</v>
      </c>
    </row>
    <row r="53" spans="1:17">
      <c r="A53" t="s">
        <v>739</v>
      </c>
      <c r="B53" s="44" t="s">
        <v>363</v>
      </c>
      <c r="C53" s="59">
        <f t="shared" si="0"/>
        <v>1</v>
      </c>
      <c r="D53" s="44" t="s">
        <v>363</v>
      </c>
      <c r="E53" s="44" t="s">
        <v>739</v>
      </c>
      <c r="F53" s="59">
        <f t="shared" si="1"/>
        <v>1</v>
      </c>
      <c r="O53" s="44" t="s">
        <v>507</v>
      </c>
      <c r="P53" s="44" t="s">
        <v>845</v>
      </c>
      <c r="Q53">
        <f>IF(D129=O53, 0, 1)</f>
        <v>0</v>
      </c>
    </row>
    <row r="54" spans="1:17">
      <c r="A54" t="s">
        <v>740</v>
      </c>
      <c r="B54" s="44" t="s">
        <v>365</v>
      </c>
      <c r="C54" s="59">
        <f t="shared" si="0"/>
        <v>1</v>
      </c>
      <c r="D54" s="44" t="s">
        <v>365</v>
      </c>
      <c r="E54" s="44" t="s">
        <v>740</v>
      </c>
      <c r="F54" s="59">
        <f t="shared" si="1"/>
        <v>1</v>
      </c>
      <c r="O54" s="44" t="s">
        <v>513</v>
      </c>
      <c r="P54" s="44" t="s">
        <v>849</v>
      </c>
      <c r="Q54">
        <f>IF(D132=O54, 0, 1)</f>
        <v>0</v>
      </c>
    </row>
    <row r="55" spans="1:17">
      <c r="A55" t="s">
        <v>741</v>
      </c>
      <c r="B55" s="44" t="s">
        <v>367</v>
      </c>
      <c r="C55" s="59">
        <f t="shared" si="0"/>
        <v>1</v>
      </c>
      <c r="D55" s="44" t="s">
        <v>367</v>
      </c>
      <c r="E55" s="44" t="s">
        <v>741</v>
      </c>
      <c r="F55" s="59">
        <f t="shared" si="1"/>
        <v>1</v>
      </c>
      <c r="O55" s="44" t="s">
        <v>521</v>
      </c>
      <c r="P55" s="44" t="s">
        <v>854</v>
      </c>
      <c r="Q55">
        <f>IF(O56=O55, 0, 1)</f>
        <v>0</v>
      </c>
    </row>
    <row r="56" spans="1:17">
      <c r="A56" t="s">
        <v>742</v>
      </c>
      <c r="B56" s="44" t="s">
        <v>369</v>
      </c>
      <c r="C56" s="59">
        <f t="shared" si="0"/>
        <v>1</v>
      </c>
      <c r="D56" s="44" t="s">
        <v>369</v>
      </c>
      <c r="E56" s="44" t="s">
        <v>742</v>
      </c>
      <c r="F56" s="59">
        <f t="shared" si="1"/>
        <v>1</v>
      </c>
      <c r="O56" s="44" t="s">
        <v>521</v>
      </c>
      <c r="P56" s="44" t="s">
        <v>855</v>
      </c>
      <c r="Q56">
        <f>IF(D136=O56, 0, 1)</f>
        <v>0</v>
      </c>
    </row>
    <row r="57" spans="1:17">
      <c r="A57" t="s">
        <v>743</v>
      </c>
      <c r="B57" s="44" t="s">
        <v>371</v>
      </c>
      <c r="C57" s="59">
        <f t="shared" si="0"/>
        <v>1</v>
      </c>
      <c r="D57" s="44" t="s">
        <v>371</v>
      </c>
      <c r="E57" s="44" t="s">
        <v>743</v>
      </c>
      <c r="F57" s="59">
        <f t="shared" si="1"/>
        <v>1</v>
      </c>
      <c r="O57" s="44" t="s">
        <v>527</v>
      </c>
      <c r="P57" s="44" t="s">
        <v>859</v>
      </c>
      <c r="Q57">
        <f>IF(O58=O57, 0, 1)</f>
        <v>0</v>
      </c>
    </row>
    <row r="58" spans="1:17">
      <c r="A58" t="s">
        <v>744</v>
      </c>
      <c r="B58" s="44" t="s">
        <v>373</v>
      </c>
      <c r="C58" s="59">
        <f t="shared" si="0"/>
        <v>1</v>
      </c>
      <c r="D58" s="44" t="s">
        <v>373</v>
      </c>
      <c r="E58" s="44" t="s">
        <v>744</v>
      </c>
      <c r="F58" s="59">
        <f t="shared" si="1"/>
        <v>1</v>
      </c>
      <c r="O58" s="44" t="s">
        <v>527</v>
      </c>
      <c r="P58" s="44" t="s">
        <v>860</v>
      </c>
      <c r="Q58">
        <f>IF(O59=O58, 0, 1)</f>
        <v>0</v>
      </c>
    </row>
    <row r="59" spans="1:17">
      <c r="A59" t="s">
        <v>745</v>
      </c>
      <c r="B59" s="44" t="s">
        <v>375</v>
      </c>
      <c r="C59" s="59">
        <f t="shared" si="0"/>
        <v>1</v>
      </c>
      <c r="D59" s="44" t="s">
        <v>375</v>
      </c>
      <c r="E59" s="44" t="s">
        <v>745</v>
      </c>
      <c r="F59" s="59">
        <f t="shared" si="1"/>
        <v>1</v>
      </c>
      <c r="O59" s="44" t="s">
        <v>527</v>
      </c>
      <c r="P59" s="44" t="s">
        <v>861</v>
      </c>
      <c r="Q59">
        <f>IF(O60=O59, 0, 1)</f>
        <v>0</v>
      </c>
    </row>
    <row r="60" spans="1:17">
      <c r="A60" t="s">
        <v>746</v>
      </c>
      <c r="B60" s="44" t="s">
        <v>377</v>
      </c>
      <c r="C60" s="59">
        <f t="shared" si="0"/>
        <v>1</v>
      </c>
      <c r="D60" s="44" t="s">
        <v>377</v>
      </c>
      <c r="E60" s="44" t="s">
        <v>746</v>
      </c>
      <c r="F60" s="59">
        <f t="shared" si="1"/>
        <v>1</v>
      </c>
      <c r="O60" s="44" t="s">
        <v>527</v>
      </c>
      <c r="P60" s="44" t="s">
        <v>862</v>
      </c>
      <c r="Q60">
        <f>IF(O61=O60, 0, 1)</f>
        <v>0</v>
      </c>
    </row>
    <row r="61" spans="1:17">
      <c r="A61" t="s">
        <v>756</v>
      </c>
      <c r="B61" s="44" t="s">
        <v>379</v>
      </c>
      <c r="C61" s="59">
        <f t="shared" si="0"/>
        <v>1</v>
      </c>
      <c r="D61" s="44" t="s">
        <v>379</v>
      </c>
      <c r="E61" s="44" t="s">
        <v>756</v>
      </c>
      <c r="F61" s="59">
        <f t="shared" si="1"/>
        <v>1</v>
      </c>
      <c r="O61" s="44" t="s">
        <v>527</v>
      </c>
      <c r="P61" s="44" t="s">
        <v>863</v>
      </c>
      <c r="Q61">
        <f>IF(D139=O61, 0, 1)</f>
        <v>0</v>
      </c>
    </row>
    <row r="62" spans="1:17">
      <c r="A62" t="s">
        <v>757</v>
      </c>
      <c r="B62" s="44" t="s">
        <v>381</v>
      </c>
      <c r="C62" s="59">
        <f t="shared" si="0"/>
        <v>1</v>
      </c>
      <c r="D62" s="44" t="s">
        <v>381</v>
      </c>
      <c r="E62" s="44" t="s">
        <v>757</v>
      </c>
      <c r="F62" s="59">
        <f t="shared" si="1"/>
        <v>1</v>
      </c>
      <c r="O62" s="44" t="s">
        <v>531</v>
      </c>
      <c r="P62" s="44" t="s">
        <v>866</v>
      </c>
      <c r="Q62">
        <f>IF(O63=O62, 0, 1)</f>
        <v>0</v>
      </c>
    </row>
    <row r="63" spans="1:17">
      <c r="A63" t="s">
        <v>758</v>
      </c>
      <c r="B63" s="44" t="s">
        <v>383</v>
      </c>
      <c r="C63" s="59">
        <f t="shared" si="0"/>
        <v>1</v>
      </c>
      <c r="D63" s="44" t="s">
        <v>383</v>
      </c>
      <c r="E63" s="44" t="s">
        <v>758</v>
      </c>
      <c r="F63" s="59">
        <f t="shared" si="1"/>
        <v>1</v>
      </c>
      <c r="O63" s="44" t="s">
        <v>531</v>
      </c>
      <c r="P63" s="44" t="s">
        <v>867</v>
      </c>
      <c r="Q63">
        <f>IF(D141=O63, 0, 1)</f>
        <v>0</v>
      </c>
    </row>
    <row r="64" spans="1:17">
      <c r="A64" t="s">
        <v>759</v>
      </c>
      <c r="B64" s="44" t="s">
        <v>385</v>
      </c>
      <c r="C64" s="59">
        <f t="shared" si="0"/>
        <v>1</v>
      </c>
      <c r="D64" s="44" t="s">
        <v>385</v>
      </c>
      <c r="E64" s="44" t="s">
        <v>759</v>
      </c>
      <c r="F64" s="59">
        <f t="shared" si="1"/>
        <v>1</v>
      </c>
      <c r="O64" s="44" t="s">
        <v>547</v>
      </c>
      <c r="P64" s="44" t="s">
        <v>876</v>
      </c>
      <c r="Q64">
        <f>IF(D149=O64, 0, 1)</f>
        <v>0</v>
      </c>
    </row>
    <row r="65" spans="1:17">
      <c r="A65" t="s">
        <v>761</v>
      </c>
      <c r="B65" s="44" t="s">
        <v>387</v>
      </c>
      <c r="C65" s="59">
        <f t="shared" si="0"/>
        <v>1</v>
      </c>
      <c r="D65" s="44" t="s">
        <v>387</v>
      </c>
      <c r="E65" s="44" t="s">
        <v>761</v>
      </c>
      <c r="F65" s="59">
        <f t="shared" si="1"/>
        <v>1</v>
      </c>
      <c r="O65" s="44" t="s">
        <v>551</v>
      </c>
      <c r="P65" s="44" t="s">
        <v>879</v>
      </c>
      <c r="Q65">
        <f t="shared" ref="Q65" si="5">IF(O66=O65, 0, 1)</f>
        <v>0</v>
      </c>
    </row>
    <row r="66" spans="1:17">
      <c r="A66" t="s">
        <v>762</v>
      </c>
      <c r="B66" s="44" t="s">
        <v>389</v>
      </c>
      <c r="C66" s="59">
        <f t="shared" si="0"/>
        <v>1</v>
      </c>
      <c r="D66" s="44" t="s">
        <v>389</v>
      </c>
      <c r="E66" s="44" t="s">
        <v>762</v>
      </c>
      <c r="F66" s="59">
        <f t="shared" si="1"/>
        <v>1</v>
      </c>
      <c r="O66" s="44" t="s">
        <v>551</v>
      </c>
      <c r="P66" s="44" t="s">
        <v>880</v>
      </c>
      <c r="Q66">
        <f>IF(D151=O66, 0, 1)</f>
        <v>0</v>
      </c>
    </row>
    <row r="67" spans="1:17">
      <c r="A67" t="s">
        <v>763</v>
      </c>
      <c r="B67" s="44" t="s">
        <v>391</v>
      </c>
      <c r="C67" s="59">
        <f t="shared" si="0"/>
        <v>1</v>
      </c>
      <c r="D67" s="44" t="s">
        <v>391</v>
      </c>
      <c r="E67" s="44" t="s">
        <v>763</v>
      </c>
      <c r="F67" s="59">
        <f t="shared" si="1"/>
        <v>1</v>
      </c>
      <c r="O67" s="44" t="s">
        <v>561</v>
      </c>
      <c r="P67" s="44" t="s">
        <v>886</v>
      </c>
      <c r="Q67">
        <f>IF(D156=O67, 0, 1)</f>
        <v>0</v>
      </c>
    </row>
    <row r="68" spans="1:17">
      <c r="A68" t="s">
        <v>765</v>
      </c>
      <c r="B68" s="44" t="s">
        <v>393</v>
      </c>
      <c r="C68" s="59">
        <f t="shared" si="0"/>
        <v>1</v>
      </c>
      <c r="D68" s="44" t="s">
        <v>393</v>
      </c>
      <c r="E68" s="44" t="s">
        <v>765</v>
      </c>
      <c r="F68" s="59">
        <f t="shared" si="1"/>
        <v>1</v>
      </c>
      <c r="O68" s="44" t="s">
        <v>575</v>
      </c>
      <c r="P68" s="44" t="s">
        <v>894</v>
      </c>
      <c r="Q68">
        <f>IF(O69=O68, 0, 1)</f>
        <v>0</v>
      </c>
    </row>
    <row r="69" spans="1:17">
      <c r="A69" t="s">
        <v>766</v>
      </c>
      <c r="B69" s="44" t="s">
        <v>395</v>
      </c>
      <c r="C69" s="59">
        <f t="shared" si="0"/>
        <v>1</v>
      </c>
      <c r="D69" s="44" t="s">
        <v>395</v>
      </c>
      <c r="E69" s="44" t="s">
        <v>766</v>
      </c>
      <c r="F69" s="59">
        <f t="shared" si="1"/>
        <v>1</v>
      </c>
      <c r="O69" s="44" t="s">
        <v>575</v>
      </c>
      <c r="P69" s="44" t="s">
        <v>895</v>
      </c>
      <c r="Q69">
        <f>IF(O70=O69, 0, 1)</f>
        <v>0</v>
      </c>
    </row>
    <row r="70" spans="1:17">
      <c r="A70" t="s">
        <v>768</v>
      </c>
      <c r="B70" s="44" t="s">
        <v>397</v>
      </c>
      <c r="C70" s="59">
        <f t="shared" si="0"/>
        <v>1</v>
      </c>
      <c r="D70" s="44" t="s">
        <v>397</v>
      </c>
      <c r="E70" s="44" t="s">
        <v>768</v>
      </c>
      <c r="F70" s="59">
        <f t="shared" si="1"/>
        <v>1</v>
      </c>
      <c r="O70" s="44" t="s">
        <v>575</v>
      </c>
      <c r="P70" s="44" t="s">
        <v>896</v>
      </c>
      <c r="Q70">
        <f>IF(D163=O70, 0, 1)</f>
        <v>0</v>
      </c>
    </row>
    <row r="71" spans="1:17">
      <c r="A71" t="s">
        <v>769</v>
      </c>
      <c r="B71" s="44" t="s">
        <v>399</v>
      </c>
      <c r="C71" s="59">
        <f t="shared" si="0"/>
        <v>1</v>
      </c>
      <c r="D71" s="44" t="s">
        <v>399</v>
      </c>
      <c r="E71" s="44" t="s">
        <v>769</v>
      </c>
      <c r="F71" s="59">
        <f t="shared" si="1"/>
        <v>1</v>
      </c>
      <c r="O71" s="44" t="s">
        <v>577</v>
      </c>
      <c r="P71" s="44" t="s">
        <v>898</v>
      </c>
      <c r="Q71">
        <f>IF(D164=O71, 0, 1)</f>
        <v>0</v>
      </c>
    </row>
    <row r="72" spans="1:17">
      <c r="A72" t="s">
        <v>770</v>
      </c>
      <c r="B72" s="44" t="s">
        <v>401</v>
      </c>
      <c r="C72" s="59">
        <f t="shared" si="0"/>
        <v>1</v>
      </c>
      <c r="D72" s="44" t="s">
        <v>401</v>
      </c>
      <c r="E72" s="44" t="s">
        <v>770</v>
      </c>
      <c r="F72" s="59">
        <f t="shared" ref="F72:F135" si="6" xml:space="preserve"> IF(E72=A72, 1, 0)</f>
        <v>1</v>
      </c>
      <c r="O72" s="44" t="s">
        <v>579</v>
      </c>
      <c r="P72" s="44" t="s">
        <v>900</v>
      </c>
      <c r="Q72">
        <f>IF(O73=O72, 0, 1)</f>
        <v>0</v>
      </c>
    </row>
    <row r="73" spans="1:17">
      <c r="A73" t="s">
        <v>771</v>
      </c>
      <c r="B73" s="44" t="s">
        <v>403</v>
      </c>
      <c r="C73" s="59">
        <f t="shared" si="0"/>
        <v>1</v>
      </c>
      <c r="D73" s="44" t="s">
        <v>403</v>
      </c>
      <c r="E73" s="44" t="s">
        <v>771</v>
      </c>
      <c r="F73" s="59">
        <f t="shared" si="6"/>
        <v>1</v>
      </c>
      <c r="O73" s="44" t="s">
        <v>579</v>
      </c>
      <c r="P73" s="44" t="s">
        <v>901</v>
      </c>
      <c r="Q73">
        <f>IF(D165=O73, 0, 1)</f>
        <v>0</v>
      </c>
    </row>
    <row r="74" spans="1:17">
      <c r="A74" t="s">
        <v>773</v>
      </c>
      <c r="B74" s="44" t="s">
        <v>405</v>
      </c>
      <c r="C74" s="59">
        <f t="shared" si="0"/>
        <v>1</v>
      </c>
      <c r="D74" s="44" t="s">
        <v>405</v>
      </c>
      <c r="E74" s="44" t="s">
        <v>773</v>
      </c>
      <c r="F74" s="59">
        <f t="shared" si="6"/>
        <v>1</v>
      </c>
      <c r="O74" s="44" t="s">
        <v>581</v>
      </c>
      <c r="P74" s="44" t="s">
        <v>903</v>
      </c>
      <c r="Q74">
        <f>IF(O75=O74, 0, 1)</f>
        <v>0</v>
      </c>
    </row>
    <row r="75" spans="1:17">
      <c r="A75" t="s">
        <v>774</v>
      </c>
      <c r="B75" s="44" t="s">
        <v>407</v>
      </c>
      <c r="C75" s="59">
        <f t="shared" ref="C75:C139" si="7">IF(D75=B75, 1, 0)</f>
        <v>1</v>
      </c>
      <c r="D75" s="44" t="s">
        <v>407</v>
      </c>
      <c r="E75" s="44" t="s">
        <v>774</v>
      </c>
      <c r="F75" s="59">
        <f t="shared" si="6"/>
        <v>1</v>
      </c>
      <c r="O75" s="44" t="s">
        <v>581</v>
      </c>
      <c r="P75" s="44" t="s">
        <v>904</v>
      </c>
      <c r="Q75">
        <f>IF(D166=O75, 0, 1)</f>
        <v>0</v>
      </c>
    </row>
    <row r="76" spans="1:17">
      <c r="A76" t="s">
        <v>775</v>
      </c>
      <c r="B76" s="44" t="s">
        <v>409</v>
      </c>
      <c r="C76" s="59">
        <f t="shared" si="7"/>
        <v>1</v>
      </c>
      <c r="D76" s="44" t="s">
        <v>409</v>
      </c>
      <c r="E76" s="44" t="s">
        <v>775</v>
      </c>
      <c r="F76" s="59">
        <f t="shared" si="6"/>
        <v>1</v>
      </c>
      <c r="O76" s="44" t="s">
        <v>583</v>
      </c>
      <c r="P76" s="44" t="s">
        <v>906</v>
      </c>
      <c r="Q76">
        <f>IF(D167=O76, 0, 1)</f>
        <v>0</v>
      </c>
    </row>
    <row r="77" spans="1:17">
      <c r="A77" t="s">
        <v>776</v>
      </c>
      <c r="B77" s="44" t="s">
        <v>411</v>
      </c>
      <c r="C77" s="59">
        <f t="shared" si="7"/>
        <v>1</v>
      </c>
      <c r="D77" s="44" t="s">
        <v>411</v>
      </c>
      <c r="E77" s="44" t="s">
        <v>776</v>
      </c>
      <c r="F77" s="59">
        <f t="shared" si="6"/>
        <v>1</v>
      </c>
      <c r="O77" s="44" t="s">
        <v>585</v>
      </c>
      <c r="P77" s="44" t="s">
        <v>908</v>
      </c>
      <c r="Q77">
        <f>IF(D168=O77, 0, 1)</f>
        <v>0</v>
      </c>
    </row>
    <row r="78" spans="1:17">
      <c r="A78" t="s">
        <v>777</v>
      </c>
      <c r="B78" s="44" t="s">
        <v>413</v>
      </c>
      <c r="C78" s="59">
        <f t="shared" si="7"/>
        <v>1</v>
      </c>
      <c r="D78" s="44" t="s">
        <v>413</v>
      </c>
      <c r="E78" s="44" t="s">
        <v>777</v>
      </c>
      <c r="F78" s="59">
        <f t="shared" si="6"/>
        <v>1</v>
      </c>
      <c r="O78" s="44" t="s">
        <v>587</v>
      </c>
      <c r="P78" s="44" t="s">
        <v>910</v>
      </c>
      <c r="Q78">
        <f>IF(D169=O78, 0, 1)</f>
        <v>0</v>
      </c>
    </row>
    <row r="79" spans="1:17">
      <c r="A79" t="s">
        <v>779</v>
      </c>
      <c r="B79" s="44" t="s">
        <v>415</v>
      </c>
      <c r="C79" s="59">
        <f t="shared" si="7"/>
        <v>1</v>
      </c>
      <c r="D79" s="44" t="s">
        <v>415</v>
      </c>
      <c r="E79" s="44" t="s">
        <v>779</v>
      </c>
      <c r="F79" s="59">
        <f t="shared" si="6"/>
        <v>1</v>
      </c>
      <c r="O79" s="44" t="s">
        <v>597</v>
      </c>
      <c r="P79" s="44" t="s">
        <v>916</v>
      </c>
      <c r="Q79">
        <f>IF(D174=O79, 0, 1)</f>
        <v>0</v>
      </c>
    </row>
    <row r="80" spans="1:17">
      <c r="A80" t="s">
        <v>780</v>
      </c>
      <c r="B80" s="44" t="s">
        <v>417</v>
      </c>
      <c r="C80" s="59">
        <f t="shared" si="7"/>
        <v>1</v>
      </c>
      <c r="D80" s="44" t="s">
        <v>417</v>
      </c>
      <c r="E80" s="44" t="s">
        <v>780</v>
      </c>
      <c r="F80" s="59">
        <f t="shared" si="6"/>
        <v>1</v>
      </c>
      <c r="O80" s="44" t="s">
        <v>611</v>
      </c>
      <c r="P80" s="44" t="s">
        <v>924</v>
      </c>
      <c r="Q80">
        <f>IF(D181=O80, 0, 1)</f>
        <v>0</v>
      </c>
    </row>
    <row r="81" spans="1:29">
      <c r="A81" t="s">
        <v>781</v>
      </c>
      <c r="B81" s="44" t="s">
        <v>419</v>
      </c>
      <c r="C81" s="59">
        <f t="shared" si="7"/>
        <v>1</v>
      </c>
      <c r="D81" s="44" t="s">
        <v>419</v>
      </c>
      <c r="E81" s="44" t="s">
        <v>781</v>
      </c>
      <c r="F81" s="59">
        <f t="shared" si="6"/>
        <v>1</v>
      </c>
      <c r="O81" s="44" t="s">
        <v>617</v>
      </c>
      <c r="P81" s="44" t="s">
        <v>928</v>
      </c>
      <c r="Q81">
        <f>IF(D184=O81, 0, 1)</f>
        <v>0</v>
      </c>
    </row>
    <row r="82" spans="1:29">
      <c r="A82" t="s">
        <v>783</v>
      </c>
      <c r="B82" s="44" t="s">
        <v>421</v>
      </c>
      <c r="C82" s="59">
        <f t="shared" si="7"/>
        <v>1</v>
      </c>
      <c r="D82" s="44" t="s">
        <v>421</v>
      </c>
      <c r="E82" s="44" t="s">
        <v>783</v>
      </c>
      <c r="F82" s="59">
        <f t="shared" si="6"/>
        <v>1</v>
      </c>
      <c r="O82" s="44" t="s">
        <v>627</v>
      </c>
      <c r="P82" s="44" t="s">
        <v>934</v>
      </c>
      <c r="Q82">
        <f>IF(D189=O82, 0, 1)</f>
        <v>0</v>
      </c>
    </row>
    <row r="83" spans="1:29">
      <c r="A83" t="s">
        <v>785</v>
      </c>
      <c r="B83" s="44" t="s">
        <v>423</v>
      </c>
      <c r="C83" s="59">
        <f t="shared" si="7"/>
        <v>1</v>
      </c>
      <c r="D83" s="44" t="s">
        <v>423</v>
      </c>
      <c r="E83" s="44" t="s">
        <v>785</v>
      </c>
      <c r="F83" s="59">
        <f t="shared" si="6"/>
        <v>1</v>
      </c>
      <c r="O83" s="44" t="s">
        <v>633</v>
      </c>
      <c r="P83" s="44" t="s">
        <v>938</v>
      </c>
      <c r="Q83">
        <f>IF(D192=O83, 0, 1)</f>
        <v>0</v>
      </c>
    </row>
    <row r="84" spans="1:29">
      <c r="A84" t="s">
        <v>786</v>
      </c>
      <c r="B84" s="44" t="s">
        <v>425</v>
      </c>
      <c r="C84" s="59">
        <f t="shared" si="7"/>
        <v>1</v>
      </c>
      <c r="D84" s="44" t="s">
        <v>425</v>
      </c>
      <c r="E84" s="44" t="s">
        <v>786</v>
      </c>
      <c r="F84" s="59">
        <f t="shared" si="6"/>
        <v>1</v>
      </c>
      <c r="O84" s="44" t="s">
        <v>665</v>
      </c>
      <c r="P84" s="44" t="s">
        <v>955</v>
      </c>
      <c r="Q84">
        <f>IF(D208=O84, 0, 1)</f>
        <v>0</v>
      </c>
    </row>
    <row r="85" spans="1:29">
      <c r="B85" s="44"/>
      <c r="C85" s="59">
        <f t="shared" si="7"/>
        <v>0</v>
      </c>
      <c r="D85" s="61" t="s">
        <v>194</v>
      </c>
      <c r="E85" s="44" t="s">
        <v>193</v>
      </c>
      <c r="F85" s="60">
        <f t="shared" si="6"/>
        <v>0</v>
      </c>
    </row>
    <row r="86" spans="1:29">
      <c r="A86" t="s">
        <v>788</v>
      </c>
      <c r="B86" s="44" t="s">
        <v>427</v>
      </c>
      <c r="C86" s="59">
        <f t="shared" si="7"/>
        <v>1</v>
      </c>
      <c r="D86" s="44" t="s">
        <v>427</v>
      </c>
      <c r="E86" s="44" t="s">
        <v>788</v>
      </c>
      <c r="F86" s="59">
        <f t="shared" si="6"/>
        <v>1</v>
      </c>
    </row>
    <row r="87" spans="1:29">
      <c r="A87" t="s">
        <v>789</v>
      </c>
      <c r="B87" s="44" t="s">
        <v>429</v>
      </c>
      <c r="C87" s="59">
        <f t="shared" si="7"/>
        <v>1</v>
      </c>
      <c r="D87" s="44" t="s">
        <v>429</v>
      </c>
      <c r="E87" s="44" t="s">
        <v>789</v>
      </c>
      <c r="F87" s="59">
        <f t="shared" si="6"/>
        <v>1</v>
      </c>
    </row>
    <row r="88" spans="1:29">
      <c r="A88" t="s">
        <v>790</v>
      </c>
      <c r="B88" s="44" t="s">
        <v>431</v>
      </c>
      <c r="C88" s="59">
        <f t="shared" si="7"/>
        <v>1</v>
      </c>
      <c r="D88" s="44" t="s">
        <v>431</v>
      </c>
      <c r="E88" s="44" t="s">
        <v>790</v>
      </c>
      <c r="F88" s="59">
        <f t="shared" si="6"/>
        <v>1</v>
      </c>
    </row>
    <row r="89" spans="1:29">
      <c r="A89" t="s">
        <v>794</v>
      </c>
      <c r="B89" s="44" t="s">
        <v>433</v>
      </c>
      <c r="C89" s="59">
        <f t="shared" si="7"/>
        <v>1</v>
      </c>
      <c r="D89" s="44" t="s">
        <v>433</v>
      </c>
      <c r="E89" s="44" t="s">
        <v>794</v>
      </c>
      <c r="F89" s="59">
        <f t="shared" si="6"/>
        <v>1</v>
      </c>
    </row>
    <row r="90" spans="1:29">
      <c r="A90" t="s">
        <v>795</v>
      </c>
      <c r="B90" s="44" t="s">
        <v>435</v>
      </c>
      <c r="C90" s="59">
        <f t="shared" si="7"/>
        <v>1</v>
      </c>
      <c r="D90" s="44" t="s">
        <v>435</v>
      </c>
      <c r="E90" s="44" t="s">
        <v>795</v>
      </c>
      <c r="F90" s="59">
        <f t="shared" si="6"/>
        <v>1</v>
      </c>
    </row>
    <row r="91" spans="1:29">
      <c r="A91" t="s">
        <v>796</v>
      </c>
      <c r="B91" s="44" t="s">
        <v>437</v>
      </c>
      <c r="C91" s="59">
        <f t="shared" si="7"/>
        <v>1</v>
      </c>
      <c r="D91" s="44" t="s">
        <v>437</v>
      </c>
      <c r="E91" s="44" t="s">
        <v>796</v>
      </c>
      <c r="F91" s="59">
        <f t="shared" si="6"/>
        <v>1</v>
      </c>
    </row>
    <row r="92" spans="1:29">
      <c r="A92" t="s">
        <v>797</v>
      </c>
      <c r="B92" s="44" t="s">
        <v>439</v>
      </c>
      <c r="C92" s="59">
        <f t="shared" si="7"/>
        <v>1</v>
      </c>
      <c r="D92" s="44" t="s">
        <v>439</v>
      </c>
      <c r="E92" s="44" t="s">
        <v>797</v>
      </c>
      <c r="F92" s="59">
        <f t="shared" si="6"/>
        <v>1</v>
      </c>
    </row>
    <row r="93" spans="1:29">
      <c r="A93" t="s">
        <v>801</v>
      </c>
      <c r="B93" s="44" t="s">
        <v>441</v>
      </c>
      <c r="C93" s="59">
        <f t="shared" si="7"/>
        <v>1</v>
      </c>
      <c r="D93" s="44" t="s">
        <v>441</v>
      </c>
      <c r="E93" s="44" t="s">
        <v>801</v>
      </c>
      <c r="F93" s="59">
        <f t="shared" si="6"/>
        <v>1</v>
      </c>
    </row>
    <row r="94" spans="1:29">
      <c r="A94" t="s">
        <v>802</v>
      </c>
      <c r="B94" s="44" t="s">
        <v>443</v>
      </c>
      <c r="C94" s="59">
        <f t="shared" si="7"/>
        <v>1</v>
      </c>
      <c r="D94" s="44" t="s">
        <v>443</v>
      </c>
      <c r="E94" s="44" t="s">
        <v>802</v>
      </c>
      <c r="F94" s="59">
        <f t="shared" si="6"/>
        <v>1</v>
      </c>
      <c r="AB94" s="44" t="s">
        <v>183</v>
      </c>
      <c r="AC94" s="61" t="s">
        <v>184</v>
      </c>
    </row>
    <row r="95" spans="1:29">
      <c r="A95" t="s">
        <v>803</v>
      </c>
      <c r="B95" s="44" t="s">
        <v>445</v>
      </c>
      <c r="C95" s="59">
        <f t="shared" si="7"/>
        <v>1</v>
      </c>
      <c r="D95" s="44" t="s">
        <v>445</v>
      </c>
      <c r="E95" s="44" t="s">
        <v>803</v>
      </c>
      <c r="F95" s="59">
        <f t="shared" si="6"/>
        <v>1</v>
      </c>
      <c r="AB95" s="44" t="s">
        <v>185</v>
      </c>
      <c r="AC95" s="61" t="s">
        <v>186</v>
      </c>
    </row>
    <row r="96" spans="1:29">
      <c r="A96" t="s">
        <v>804</v>
      </c>
      <c r="B96" s="44" t="s">
        <v>447</v>
      </c>
      <c r="C96" s="59">
        <f t="shared" si="7"/>
        <v>1</v>
      </c>
      <c r="D96" s="44" t="s">
        <v>447</v>
      </c>
      <c r="E96" s="44" t="s">
        <v>804</v>
      </c>
      <c r="F96" s="59">
        <f t="shared" si="6"/>
        <v>1</v>
      </c>
      <c r="AB96" s="44" t="s">
        <v>187</v>
      </c>
      <c r="AC96" s="61" t="s">
        <v>188</v>
      </c>
    </row>
    <row r="97" spans="1:29">
      <c r="A97" t="s">
        <v>805</v>
      </c>
      <c r="B97" s="44" t="s">
        <v>449</v>
      </c>
      <c r="C97" s="59">
        <f t="shared" si="7"/>
        <v>1</v>
      </c>
      <c r="D97" s="44" t="s">
        <v>449</v>
      </c>
      <c r="E97" s="44" t="s">
        <v>805</v>
      </c>
      <c r="F97" s="59">
        <f t="shared" si="6"/>
        <v>1</v>
      </c>
      <c r="AB97" s="44" t="s">
        <v>189</v>
      </c>
      <c r="AC97" s="61" t="s">
        <v>190</v>
      </c>
    </row>
    <row r="98" spans="1:29">
      <c r="A98" t="s">
        <v>806</v>
      </c>
      <c r="B98" s="44" t="s">
        <v>451</v>
      </c>
      <c r="C98" s="59">
        <f t="shared" si="7"/>
        <v>1</v>
      </c>
      <c r="D98" s="44" t="s">
        <v>451</v>
      </c>
      <c r="E98" s="44" t="s">
        <v>806</v>
      </c>
      <c r="F98" s="59">
        <f t="shared" si="6"/>
        <v>1</v>
      </c>
      <c r="AB98" s="44" t="s">
        <v>191</v>
      </c>
      <c r="AC98" s="61" t="s">
        <v>192</v>
      </c>
    </row>
    <row r="99" spans="1:29">
      <c r="A99" t="s">
        <v>809</v>
      </c>
      <c r="B99" s="44" t="s">
        <v>453</v>
      </c>
      <c r="C99" s="59">
        <f t="shared" si="7"/>
        <v>1</v>
      </c>
      <c r="D99" s="44" t="s">
        <v>453</v>
      </c>
      <c r="E99" s="44" t="s">
        <v>809</v>
      </c>
      <c r="F99" s="59">
        <f t="shared" si="6"/>
        <v>1</v>
      </c>
      <c r="AB99" s="44" t="s">
        <v>193</v>
      </c>
      <c r="AC99" s="61" t="s">
        <v>194</v>
      </c>
    </row>
    <row r="100" spans="1:29">
      <c r="A100" t="s">
        <v>810</v>
      </c>
      <c r="B100" s="44" t="s">
        <v>455</v>
      </c>
      <c r="C100" s="59">
        <f t="shared" si="7"/>
        <v>1</v>
      </c>
      <c r="D100" s="44" t="s">
        <v>455</v>
      </c>
      <c r="E100" t="s">
        <v>810</v>
      </c>
      <c r="F100" s="59">
        <f t="shared" si="6"/>
        <v>1</v>
      </c>
      <c r="G100" t="s">
        <v>972</v>
      </c>
      <c r="AB100" s="44" t="s">
        <v>195</v>
      </c>
      <c r="AC100" s="61" t="s">
        <v>196</v>
      </c>
    </row>
    <row r="101" spans="1:29">
      <c r="A101" t="s">
        <v>812</v>
      </c>
      <c r="B101" s="44" t="s">
        <v>457</v>
      </c>
      <c r="C101" s="59">
        <f t="shared" si="7"/>
        <v>1</v>
      </c>
      <c r="D101" s="44" t="s">
        <v>457</v>
      </c>
      <c r="E101" s="44" t="s">
        <v>812</v>
      </c>
      <c r="F101" s="59">
        <f t="shared" si="6"/>
        <v>1</v>
      </c>
      <c r="AB101" s="44" t="s">
        <v>197</v>
      </c>
      <c r="AC101" s="61" t="s">
        <v>198</v>
      </c>
    </row>
    <row r="102" spans="1:29">
      <c r="B102" s="44"/>
      <c r="C102" s="59">
        <f t="shared" si="7"/>
        <v>0</v>
      </c>
      <c r="D102" s="61" t="s">
        <v>196</v>
      </c>
      <c r="E102" s="44" t="s">
        <v>195</v>
      </c>
      <c r="F102" s="60">
        <f t="shared" si="6"/>
        <v>0</v>
      </c>
      <c r="AB102" s="44" t="s">
        <v>199</v>
      </c>
      <c r="AC102" s="61" t="s">
        <v>200</v>
      </c>
    </row>
    <row r="103" spans="1:29">
      <c r="A103" t="s">
        <v>814</v>
      </c>
      <c r="B103" s="44" t="s">
        <v>459</v>
      </c>
      <c r="C103" s="59">
        <f t="shared" si="7"/>
        <v>1</v>
      </c>
      <c r="D103" s="44" t="s">
        <v>459</v>
      </c>
      <c r="E103" s="44" t="s">
        <v>814</v>
      </c>
      <c r="F103" s="59">
        <f t="shared" si="6"/>
        <v>1</v>
      </c>
    </row>
    <row r="104" spans="1:29">
      <c r="A104" t="s">
        <v>816</v>
      </c>
      <c r="B104" s="44" t="s">
        <v>461</v>
      </c>
      <c r="C104" s="59">
        <f t="shared" si="7"/>
        <v>1</v>
      </c>
      <c r="D104" s="44" t="s">
        <v>461</v>
      </c>
      <c r="E104" s="44" t="s">
        <v>816</v>
      </c>
      <c r="F104" s="59">
        <f t="shared" si="6"/>
        <v>1</v>
      </c>
    </row>
    <row r="105" spans="1:29">
      <c r="A105" t="s">
        <v>818</v>
      </c>
      <c r="B105" s="44" t="s">
        <v>463</v>
      </c>
      <c r="C105" s="59">
        <f t="shared" si="7"/>
        <v>1</v>
      </c>
      <c r="D105" s="44" t="s">
        <v>463</v>
      </c>
      <c r="E105" s="44" t="s">
        <v>818</v>
      </c>
      <c r="F105" s="59">
        <f t="shared" si="6"/>
        <v>1</v>
      </c>
    </row>
    <row r="106" spans="1:29">
      <c r="A106" t="s">
        <v>819</v>
      </c>
      <c r="B106" s="44" t="s">
        <v>465</v>
      </c>
      <c r="C106" s="59">
        <f t="shared" si="7"/>
        <v>1</v>
      </c>
      <c r="D106" s="44" t="s">
        <v>465</v>
      </c>
      <c r="E106" s="44" t="s">
        <v>819</v>
      </c>
      <c r="F106" s="59">
        <f t="shared" si="6"/>
        <v>1</v>
      </c>
    </row>
    <row r="107" spans="1:29">
      <c r="A107" t="s">
        <v>820</v>
      </c>
      <c r="B107" s="44" t="s">
        <v>467</v>
      </c>
      <c r="C107" s="59">
        <f t="shared" si="7"/>
        <v>1</v>
      </c>
      <c r="D107" s="44" t="s">
        <v>467</v>
      </c>
      <c r="E107" s="44" t="s">
        <v>820</v>
      </c>
      <c r="F107" s="59">
        <f t="shared" si="6"/>
        <v>1</v>
      </c>
    </row>
    <row r="108" spans="1:29">
      <c r="A108" t="s">
        <v>822</v>
      </c>
      <c r="B108" s="44" t="s">
        <v>469</v>
      </c>
      <c r="C108" s="59">
        <f t="shared" si="7"/>
        <v>1</v>
      </c>
      <c r="D108" s="44" t="s">
        <v>469</v>
      </c>
      <c r="E108" s="44" t="s">
        <v>822</v>
      </c>
      <c r="F108" s="59">
        <f t="shared" si="6"/>
        <v>1</v>
      </c>
    </row>
    <row r="109" spans="1:29">
      <c r="A109" t="s">
        <v>823</v>
      </c>
      <c r="B109" s="44" t="s">
        <v>471</v>
      </c>
      <c r="C109" s="59">
        <f t="shared" si="7"/>
        <v>1</v>
      </c>
      <c r="D109" s="44" t="s">
        <v>471</v>
      </c>
      <c r="E109" s="44" t="s">
        <v>823</v>
      </c>
      <c r="F109" s="59">
        <f t="shared" si="6"/>
        <v>1</v>
      </c>
    </row>
    <row r="110" spans="1:29">
      <c r="A110" t="s">
        <v>825</v>
      </c>
      <c r="B110" s="44" t="s">
        <v>473</v>
      </c>
      <c r="C110" s="59">
        <f t="shared" si="7"/>
        <v>1</v>
      </c>
      <c r="D110" s="44" t="s">
        <v>473</v>
      </c>
      <c r="E110" s="44" t="s">
        <v>825</v>
      </c>
      <c r="F110" s="59">
        <f t="shared" si="6"/>
        <v>1</v>
      </c>
    </row>
    <row r="111" spans="1:29">
      <c r="A111" t="s">
        <v>826</v>
      </c>
      <c r="B111" s="44" t="s">
        <v>475</v>
      </c>
      <c r="C111" s="59">
        <f t="shared" si="7"/>
        <v>1</v>
      </c>
      <c r="D111" s="44" t="s">
        <v>475</v>
      </c>
      <c r="E111" s="44" t="s">
        <v>826</v>
      </c>
      <c r="F111" s="59">
        <f t="shared" si="6"/>
        <v>1</v>
      </c>
    </row>
    <row r="112" spans="1:29">
      <c r="A112" t="s">
        <v>827</v>
      </c>
      <c r="B112" s="44" t="s">
        <v>477</v>
      </c>
      <c r="C112" s="59">
        <f t="shared" si="7"/>
        <v>1</v>
      </c>
      <c r="D112" s="44" t="s">
        <v>477</v>
      </c>
      <c r="E112" s="44" t="s">
        <v>827</v>
      </c>
      <c r="F112" s="59">
        <f t="shared" si="6"/>
        <v>1</v>
      </c>
    </row>
    <row r="113" spans="1:7">
      <c r="B113" s="44"/>
      <c r="C113" s="59">
        <f t="shared" si="7"/>
        <v>0</v>
      </c>
      <c r="D113" s="61" t="s">
        <v>198</v>
      </c>
      <c r="E113" s="44" t="s">
        <v>197</v>
      </c>
      <c r="F113" s="60">
        <f t="shared" si="6"/>
        <v>0</v>
      </c>
    </row>
    <row r="114" spans="1:7">
      <c r="A114" t="s">
        <v>828</v>
      </c>
      <c r="B114" s="44" t="s">
        <v>479</v>
      </c>
      <c r="C114" s="59">
        <f t="shared" si="7"/>
        <v>1</v>
      </c>
      <c r="D114" s="44" t="s">
        <v>479</v>
      </c>
      <c r="E114" s="44" t="s">
        <v>828</v>
      </c>
      <c r="F114" s="59">
        <f t="shared" si="6"/>
        <v>1</v>
      </c>
    </row>
    <row r="115" spans="1:7">
      <c r="A115" s="53" t="s">
        <v>829</v>
      </c>
      <c r="B115" s="44" t="s">
        <v>481</v>
      </c>
      <c r="C115" s="59">
        <f t="shared" si="7"/>
        <v>1</v>
      </c>
      <c r="D115" s="44" t="s">
        <v>481</v>
      </c>
      <c r="E115" s="44" t="s">
        <v>829</v>
      </c>
      <c r="F115" s="59">
        <f t="shared" si="6"/>
        <v>1</v>
      </c>
    </row>
    <row r="116" spans="1:7">
      <c r="A116" s="53" t="s">
        <v>830</v>
      </c>
      <c r="B116" s="44" t="s">
        <v>483</v>
      </c>
      <c r="C116" s="59">
        <f t="shared" si="7"/>
        <v>1</v>
      </c>
      <c r="D116" s="44" t="s">
        <v>483</v>
      </c>
      <c r="E116" s="44" t="s">
        <v>830</v>
      </c>
      <c r="F116" s="59">
        <f t="shared" si="6"/>
        <v>1</v>
      </c>
    </row>
    <row r="117" spans="1:7">
      <c r="A117" s="53" t="s">
        <v>831</v>
      </c>
      <c r="B117" s="44" t="s">
        <v>485</v>
      </c>
      <c r="C117" s="59">
        <f t="shared" si="7"/>
        <v>1</v>
      </c>
      <c r="D117" s="44" t="s">
        <v>485</v>
      </c>
      <c r="E117" s="44" t="s">
        <v>831</v>
      </c>
      <c r="F117" s="59">
        <f t="shared" si="6"/>
        <v>1</v>
      </c>
    </row>
    <row r="118" spans="1:7">
      <c r="A118" s="53" t="s">
        <v>832</v>
      </c>
      <c r="B118" s="44" t="s">
        <v>487</v>
      </c>
      <c r="C118" s="59">
        <f t="shared" si="7"/>
        <v>1</v>
      </c>
      <c r="D118" s="44" t="s">
        <v>487</v>
      </c>
      <c r="E118" s="44" t="s">
        <v>832</v>
      </c>
      <c r="F118" s="59">
        <f t="shared" si="6"/>
        <v>1</v>
      </c>
    </row>
    <row r="119" spans="1:7">
      <c r="A119" s="53" t="s">
        <v>833</v>
      </c>
      <c r="B119" s="44" t="s">
        <v>489</v>
      </c>
      <c r="C119" s="59">
        <f t="shared" si="7"/>
        <v>1</v>
      </c>
      <c r="D119" s="44" t="s">
        <v>489</v>
      </c>
      <c r="E119" s="44" t="s">
        <v>833</v>
      </c>
      <c r="F119" s="59">
        <f t="shared" si="6"/>
        <v>1</v>
      </c>
    </row>
    <row r="120" spans="1:7">
      <c r="B120" s="44"/>
      <c r="C120" s="59">
        <f t="shared" si="7"/>
        <v>0</v>
      </c>
      <c r="D120" s="61" t="s">
        <v>200</v>
      </c>
      <c r="E120" s="44" t="s">
        <v>199</v>
      </c>
      <c r="F120" s="60">
        <f t="shared" si="6"/>
        <v>0</v>
      </c>
    </row>
    <row r="121" spans="1:7">
      <c r="A121" s="54"/>
      <c r="B121" s="44" t="s">
        <v>491</v>
      </c>
      <c r="C121" s="59">
        <f t="shared" si="7"/>
        <v>1</v>
      </c>
      <c r="D121" s="44" t="s">
        <v>491</v>
      </c>
      <c r="E121" s="44" t="s">
        <v>837</v>
      </c>
      <c r="F121" s="59">
        <f t="shared" si="6"/>
        <v>0</v>
      </c>
      <c r="G121" t="s">
        <v>973</v>
      </c>
    </row>
    <row r="122" spans="1:7">
      <c r="A122" s="53" t="s">
        <v>838</v>
      </c>
      <c r="B122" s="44" t="s">
        <v>493</v>
      </c>
      <c r="C122" s="59">
        <f t="shared" si="7"/>
        <v>1</v>
      </c>
      <c r="D122" s="44" t="s">
        <v>493</v>
      </c>
      <c r="E122" s="44" t="s">
        <v>838</v>
      </c>
      <c r="F122" s="59">
        <f t="shared" si="6"/>
        <v>1</v>
      </c>
    </row>
    <row r="123" spans="1:7">
      <c r="A123" s="53" t="s">
        <v>839</v>
      </c>
      <c r="B123" s="44" t="s">
        <v>495</v>
      </c>
      <c r="C123" s="59">
        <f t="shared" si="7"/>
        <v>1</v>
      </c>
      <c r="D123" s="44" t="s">
        <v>495</v>
      </c>
      <c r="E123" s="44" t="s">
        <v>839</v>
      </c>
      <c r="F123" s="59">
        <f t="shared" si="6"/>
        <v>1</v>
      </c>
    </row>
    <row r="124" spans="1:7">
      <c r="A124" s="53" t="s">
        <v>840</v>
      </c>
      <c r="B124" s="44" t="s">
        <v>497</v>
      </c>
      <c r="C124" s="59">
        <f t="shared" si="7"/>
        <v>1</v>
      </c>
      <c r="D124" s="44" t="s">
        <v>497</v>
      </c>
      <c r="E124" s="44" t="s">
        <v>840</v>
      </c>
      <c r="F124" s="59">
        <f t="shared" si="6"/>
        <v>1</v>
      </c>
    </row>
    <row r="125" spans="1:7">
      <c r="A125" s="53" t="s">
        <v>841</v>
      </c>
      <c r="B125" s="44" t="s">
        <v>499</v>
      </c>
      <c r="C125" s="59">
        <f t="shared" si="7"/>
        <v>1</v>
      </c>
      <c r="D125" s="44" t="s">
        <v>499</v>
      </c>
      <c r="E125" s="44" t="s">
        <v>841</v>
      </c>
      <c r="F125" s="59">
        <f t="shared" si="6"/>
        <v>1</v>
      </c>
    </row>
    <row r="126" spans="1:7">
      <c r="A126" s="53" t="s">
        <v>842</v>
      </c>
      <c r="B126" s="44" t="s">
        <v>501</v>
      </c>
      <c r="C126" s="59">
        <f t="shared" si="7"/>
        <v>1</v>
      </c>
      <c r="D126" s="44" t="s">
        <v>501</v>
      </c>
      <c r="E126" s="44" t="s">
        <v>842</v>
      </c>
      <c r="F126" s="59">
        <f t="shared" si="6"/>
        <v>1</v>
      </c>
    </row>
    <row r="127" spans="1:7">
      <c r="A127" s="53" t="s">
        <v>843</v>
      </c>
      <c r="B127" s="44" t="s">
        <v>503</v>
      </c>
      <c r="C127" s="59">
        <f t="shared" si="7"/>
        <v>1</v>
      </c>
      <c r="D127" s="44" t="s">
        <v>503</v>
      </c>
      <c r="E127" s="44" t="s">
        <v>843</v>
      </c>
      <c r="F127" s="59">
        <f t="shared" si="6"/>
        <v>1</v>
      </c>
    </row>
    <row r="128" spans="1:7">
      <c r="A128" s="53" t="s">
        <v>844</v>
      </c>
      <c r="B128" s="44" t="s">
        <v>505</v>
      </c>
      <c r="C128" s="59">
        <f t="shared" si="7"/>
        <v>1</v>
      </c>
      <c r="D128" s="44" t="s">
        <v>505</v>
      </c>
      <c r="E128" s="44" t="s">
        <v>844</v>
      </c>
      <c r="F128" s="59">
        <f t="shared" si="6"/>
        <v>1</v>
      </c>
    </row>
    <row r="129" spans="1:7">
      <c r="A129" s="54"/>
      <c r="B129" s="44" t="s">
        <v>507</v>
      </c>
      <c r="C129" s="59">
        <f t="shared" si="7"/>
        <v>1</v>
      </c>
      <c r="D129" s="44" t="s">
        <v>507</v>
      </c>
      <c r="E129" s="44" t="s">
        <v>846</v>
      </c>
      <c r="F129" s="59">
        <f t="shared" si="6"/>
        <v>0</v>
      </c>
      <c r="G129" t="s">
        <v>973</v>
      </c>
    </row>
    <row r="130" spans="1:7">
      <c r="A130" s="53" t="s">
        <v>847</v>
      </c>
      <c r="B130" s="44" t="s">
        <v>509</v>
      </c>
      <c r="C130" s="59">
        <f t="shared" si="7"/>
        <v>1</v>
      </c>
      <c r="D130" s="44" t="s">
        <v>509</v>
      </c>
      <c r="E130" s="44" t="s">
        <v>847</v>
      </c>
      <c r="F130" s="59">
        <f t="shared" si="6"/>
        <v>1</v>
      </c>
    </row>
    <row r="131" spans="1:7">
      <c r="A131" s="53" t="s">
        <v>848</v>
      </c>
      <c r="B131" s="44" t="s">
        <v>511</v>
      </c>
      <c r="C131" s="59">
        <f t="shared" si="7"/>
        <v>1</v>
      </c>
      <c r="D131" s="44" t="s">
        <v>511</v>
      </c>
      <c r="E131" s="44" t="s">
        <v>848</v>
      </c>
      <c r="F131" s="59">
        <f t="shared" si="6"/>
        <v>1</v>
      </c>
    </row>
    <row r="132" spans="1:7">
      <c r="A132" s="54"/>
      <c r="B132" s="44" t="s">
        <v>513</v>
      </c>
      <c r="C132" s="59">
        <f t="shared" si="7"/>
        <v>1</v>
      </c>
      <c r="D132" s="44" t="s">
        <v>513</v>
      </c>
      <c r="E132" s="44" t="s">
        <v>850</v>
      </c>
      <c r="F132" s="59">
        <f t="shared" si="6"/>
        <v>0</v>
      </c>
      <c r="G132" t="s">
        <v>973</v>
      </c>
    </row>
    <row r="133" spans="1:7">
      <c r="A133" s="53" t="s">
        <v>851</v>
      </c>
      <c r="B133" s="44" t="s">
        <v>515</v>
      </c>
      <c r="C133" s="59">
        <f t="shared" si="7"/>
        <v>1</v>
      </c>
      <c r="D133" s="44" t="s">
        <v>515</v>
      </c>
      <c r="E133" s="44" t="s">
        <v>851</v>
      </c>
      <c r="F133" s="59">
        <f t="shared" si="6"/>
        <v>1</v>
      </c>
    </row>
    <row r="134" spans="1:7">
      <c r="A134" s="53" t="s">
        <v>852</v>
      </c>
      <c r="B134" s="44" t="s">
        <v>517</v>
      </c>
      <c r="C134" s="59">
        <f t="shared" si="7"/>
        <v>1</v>
      </c>
      <c r="D134" s="44" t="s">
        <v>517</v>
      </c>
      <c r="E134" s="44" t="s">
        <v>852</v>
      </c>
      <c r="F134" s="59">
        <f t="shared" si="6"/>
        <v>1</v>
      </c>
    </row>
    <row r="135" spans="1:7">
      <c r="A135" s="53" t="s">
        <v>853</v>
      </c>
      <c r="B135" s="44" t="s">
        <v>519</v>
      </c>
      <c r="C135" s="59">
        <f t="shared" si="7"/>
        <v>1</v>
      </c>
      <c r="D135" s="44" t="s">
        <v>519</v>
      </c>
      <c r="E135" s="44" t="s">
        <v>853</v>
      </c>
      <c r="F135" s="59">
        <f t="shared" si="6"/>
        <v>1</v>
      </c>
    </row>
    <row r="136" spans="1:7">
      <c r="A136" s="54"/>
      <c r="B136" s="44" t="s">
        <v>521</v>
      </c>
      <c r="C136" s="59">
        <f t="shared" si="7"/>
        <v>1</v>
      </c>
      <c r="D136" s="44" t="s">
        <v>521</v>
      </c>
      <c r="E136" s="44" t="s">
        <v>856</v>
      </c>
      <c r="F136" s="59">
        <f t="shared" ref="F136:F199" si="8" xml:space="preserve"> IF(E136=A136, 1, 0)</f>
        <v>0</v>
      </c>
      <c r="G136" t="s">
        <v>973</v>
      </c>
    </row>
    <row r="137" spans="1:7">
      <c r="A137" s="53" t="s">
        <v>857</v>
      </c>
      <c r="B137" s="44" t="s">
        <v>523</v>
      </c>
      <c r="C137" s="59">
        <f t="shared" si="7"/>
        <v>1</v>
      </c>
      <c r="D137" s="44" t="s">
        <v>523</v>
      </c>
      <c r="E137" s="44" t="s">
        <v>857</v>
      </c>
      <c r="F137" s="59">
        <f t="shared" si="8"/>
        <v>1</v>
      </c>
    </row>
    <row r="138" spans="1:7">
      <c r="A138" s="53" t="s">
        <v>858</v>
      </c>
      <c r="B138" s="44" t="s">
        <v>525</v>
      </c>
      <c r="C138" s="59">
        <f t="shared" si="7"/>
        <v>1</v>
      </c>
      <c r="D138" s="44" t="s">
        <v>525</v>
      </c>
      <c r="E138" s="44" t="s">
        <v>858</v>
      </c>
      <c r="F138" s="59">
        <f t="shared" si="8"/>
        <v>1</v>
      </c>
    </row>
    <row r="139" spans="1:7">
      <c r="A139" s="54"/>
      <c r="B139" s="44" t="s">
        <v>527</v>
      </c>
      <c r="C139" s="59">
        <f t="shared" si="7"/>
        <v>1</v>
      </c>
      <c r="D139" s="44" t="s">
        <v>527</v>
      </c>
      <c r="E139" s="44" t="s">
        <v>864</v>
      </c>
      <c r="F139" s="59">
        <f t="shared" si="8"/>
        <v>0</v>
      </c>
      <c r="G139" t="s">
        <v>973</v>
      </c>
    </row>
    <row r="140" spans="1:7">
      <c r="A140" s="53" t="s">
        <v>865</v>
      </c>
      <c r="B140" s="44" t="s">
        <v>529</v>
      </c>
      <c r="C140" s="59">
        <f t="shared" ref="C140:C203" si="9">IF(D140=B140, 1, 0)</f>
        <v>1</v>
      </c>
      <c r="D140" s="44" t="s">
        <v>529</v>
      </c>
      <c r="E140" s="44" t="s">
        <v>865</v>
      </c>
      <c r="F140" s="59">
        <f t="shared" si="8"/>
        <v>1</v>
      </c>
    </row>
    <row r="141" spans="1:7">
      <c r="A141" s="54"/>
      <c r="B141" s="44" t="s">
        <v>531</v>
      </c>
      <c r="C141" s="59">
        <f t="shared" si="9"/>
        <v>1</v>
      </c>
      <c r="D141" s="44" t="s">
        <v>531</v>
      </c>
      <c r="E141" s="44" t="s">
        <v>868</v>
      </c>
      <c r="F141" s="59">
        <f t="shared" si="8"/>
        <v>0</v>
      </c>
      <c r="G141" t="s">
        <v>973</v>
      </c>
    </row>
    <row r="142" spans="1:7">
      <c r="A142" s="53" t="s">
        <v>869</v>
      </c>
      <c r="B142" s="44" t="s">
        <v>533</v>
      </c>
      <c r="C142" s="59">
        <f t="shared" si="9"/>
        <v>1</v>
      </c>
      <c r="D142" s="44" t="s">
        <v>533</v>
      </c>
      <c r="E142" s="44" t="s">
        <v>869</v>
      </c>
      <c r="F142" s="59">
        <f t="shared" si="8"/>
        <v>1</v>
      </c>
    </row>
    <row r="143" spans="1:7">
      <c r="A143" s="53" t="s">
        <v>870</v>
      </c>
      <c r="B143" s="44" t="s">
        <v>535</v>
      </c>
      <c r="C143" s="59">
        <f t="shared" si="9"/>
        <v>1</v>
      </c>
      <c r="D143" s="44" t="s">
        <v>535</v>
      </c>
      <c r="E143" s="44" t="s">
        <v>870</v>
      </c>
      <c r="F143" s="59">
        <f t="shared" si="8"/>
        <v>1</v>
      </c>
    </row>
    <row r="144" spans="1:7">
      <c r="A144" s="53" t="s">
        <v>871</v>
      </c>
      <c r="B144" s="44" t="s">
        <v>537</v>
      </c>
      <c r="C144" s="59">
        <f t="shared" si="9"/>
        <v>1</v>
      </c>
      <c r="D144" s="44" t="s">
        <v>537</v>
      </c>
      <c r="E144" s="44" t="s">
        <v>871</v>
      </c>
      <c r="F144" s="59">
        <f t="shared" si="8"/>
        <v>1</v>
      </c>
    </row>
    <row r="145" spans="1:6">
      <c r="A145" s="53" t="s">
        <v>872</v>
      </c>
      <c r="B145" s="44" t="s">
        <v>539</v>
      </c>
      <c r="C145" s="59">
        <f t="shared" si="9"/>
        <v>1</v>
      </c>
      <c r="D145" s="44" t="s">
        <v>539</v>
      </c>
      <c r="E145" s="44" t="s">
        <v>872</v>
      </c>
      <c r="F145" s="59">
        <f t="shared" si="8"/>
        <v>1</v>
      </c>
    </row>
    <row r="146" spans="1:6">
      <c r="A146" t="s">
        <v>873</v>
      </c>
      <c r="B146" s="44" t="s">
        <v>541</v>
      </c>
      <c r="C146" s="59">
        <f t="shared" si="9"/>
        <v>1</v>
      </c>
      <c r="D146" s="44" t="s">
        <v>541</v>
      </c>
      <c r="E146" s="44" t="s">
        <v>873</v>
      </c>
      <c r="F146" s="59">
        <f t="shared" si="8"/>
        <v>1</v>
      </c>
    </row>
    <row r="147" spans="1:6">
      <c r="A147" t="s">
        <v>874</v>
      </c>
      <c r="B147" s="44" t="s">
        <v>543</v>
      </c>
      <c r="C147" s="59">
        <f t="shared" si="9"/>
        <v>1</v>
      </c>
      <c r="D147" s="44" t="s">
        <v>543</v>
      </c>
      <c r="E147" s="44" t="s">
        <v>874</v>
      </c>
      <c r="F147" s="59">
        <f t="shared" si="8"/>
        <v>1</v>
      </c>
    </row>
    <row r="148" spans="1:6">
      <c r="A148" t="s">
        <v>875</v>
      </c>
      <c r="B148" s="44" t="s">
        <v>545</v>
      </c>
      <c r="C148" s="59">
        <f t="shared" si="9"/>
        <v>1</v>
      </c>
      <c r="D148" s="44" t="s">
        <v>545</v>
      </c>
      <c r="E148" s="44" t="s">
        <v>875</v>
      </c>
      <c r="F148" s="59">
        <f t="shared" si="8"/>
        <v>1</v>
      </c>
    </row>
    <row r="149" spans="1:6">
      <c r="A149" t="s">
        <v>877</v>
      </c>
      <c r="B149" s="44" t="s">
        <v>547</v>
      </c>
      <c r="C149" s="59">
        <f t="shared" si="9"/>
        <v>1</v>
      </c>
      <c r="D149" s="44" t="s">
        <v>547</v>
      </c>
      <c r="E149" s="44" t="s">
        <v>877</v>
      </c>
      <c r="F149" s="59">
        <f t="shared" si="8"/>
        <v>1</v>
      </c>
    </row>
    <row r="150" spans="1:6">
      <c r="A150" t="s">
        <v>878</v>
      </c>
      <c r="B150" s="44" t="s">
        <v>549</v>
      </c>
      <c r="C150" s="59">
        <f t="shared" si="9"/>
        <v>1</v>
      </c>
      <c r="D150" s="44" t="s">
        <v>549</v>
      </c>
      <c r="E150" s="44" t="s">
        <v>878</v>
      </c>
      <c r="F150" s="59">
        <f t="shared" si="8"/>
        <v>1</v>
      </c>
    </row>
    <row r="151" spans="1:6">
      <c r="A151" t="s">
        <v>881</v>
      </c>
      <c r="B151" s="44" t="s">
        <v>551</v>
      </c>
      <c r="C151" s="59">
        <f t="shared" si="9"/>
        <v>1</v>
      </c>
      <c r="D151" s="44" t="s">
        <v>551</v>
      </c>
      <c r="E151" s="44" t="s">
        <v>881</v>
      </c>
      <c r="F151" s="59">
        <f t="shared" si="8"/>
        <v>1</v>
      </c>
    </row>
    <row r="152" spans="1:6">
      <c r="A152" t="s">
        <v>882</v>
      </c>
      <c r="B152" s="44" t="s">
        <v>553</v>
      </c>
      <c r="C152" s="59">
        <f t="shared" si="9"/>
        <v>1</v>
      </c>
      <c r="D152" s="44" t="s">
        <v>553</v>
      </c>
      <c r="E152" s="44" t="s">
        <v>882</v>
      </c>
      <c r="F152" s="59">
        <f t="shared" si="8"/>
        <v>1</v>
      </c>
    </row>
    <row r="153" spans="1:6">
      <c r="A153" t="s">
        <v>883</v>
      </c>
      <c r="B153" s="44" t="s">
        <v>555</v>
      </c>
      <c r="C153" s="59">
        <f t="shared" si="9"/>
        <v>1</v>
      </c>
      <c r="D153" s="44" t="s">
        <v>555</v>
      </c>
      <c r="E153" s="44" t="s">
        <v>883</v>
      </c>
      <c r="F153" s="59">
        <f t="shared" si="8"/>
        <v>1</v>
      </c>
    </row>
    <row r="154" spans="1:6">
      <c r="A154" t="s">
        <v>884</v>
      </c>
      <c r="B154" s="44" t="s">
        <v>557</v>
      </c>
      <c r="C154" s="59">
        <f t="shared" si="9"/>
        <v>1</v>
      </c>
      <c r="D154" s="44" t="s">
        <v>557</v>
      </c>
      <c r="E154" s="44" t="s">
        <v>884</v>
      </c>
      <c r="F154" s="59">
        <f t="shared" si="8"/>
        <v>1</v>
      </c>
    </row>
    <row r="155" spans="1:6">
      <c r="A155" t="s">
        <v>885</v>
      </c>
      <c r="B155" s="44" t="s">
        <v>559</v>
      </c>
      <c r="C155" s="59">
        <f t="shared" si="9"/>
        <v>1</v>
      </c>
      <c r="D155" s="44" t="s">
        <v>559</v>
      </c>
      <c r="E155" s="44" t="s">
        <v>885</v>
      </c>
      <c r="F155" s="59">
        <f t="shared" si="8"/>
        <v>1</v>
      </c>
    </row>
    <row r="156" spans="1:6">
      <c r="A156" t="s">
        <v>887</v>
      </c>
      <c r="B156" s="44" t="s">
        <v>561</v>
      </c>
      <c r="C156" s="59">
        <f t="shared" si="9"/>
        <v>1</v>
      </c>
      <c r="D156" s="44" t="s">
        <v>561</v>
      </c>
      <c r="E156" s="44" t="s">
        <v>887</v>
      </c>
      <c r="F156" s="59">
        <f t="shared" si="8"/>
        <v>1</v>
      </c>
    </row>
    <row r="157" spans="1:6">
      <c r="A157" t="s">
        <v>888</v>
      </c>
      <c r="B157" s="44" t="s">
        <v>563</v>
      </c>
      <c r="C157" s="59">
        <f t="shared" si="9"/>
        <v>1</v>
      </c>
      <c r="D157" s="44" t="s">
        <v>563</v>
      </c>
      <c r="E157" s="44" t="s">
        <v>888</v>
      </c>
      <c r="F157" s="59">
        <f t="shared" si="8"/>
        <v>1</v>
      </c>
    </row>
    <row r="158" spans="1:6">
      <c r="A158" t="s">
        <v>889</v>
      </c>
      <c r="B158" s="44" t="s">
        <v>565</v>
      </c>
      <c r="C158" s="59">
        <f t="shared" si="9"/>
        <v>1</v>
      </c>
      <c r="D158" s="44" t="s">
        <v>565</v>
      </c>
      <c r="E158" s="44" t="s">
        <v>889</v>
      </c>
      <c r="F158" s="59">
        <f t="shared" si="8"/>
        <v>1</v>
      </c>
    </row>
    <row r="159" spans="1:6">
      <c r="A159" t="s">
        <v>890</v>
      </c>
      <c r="B159" s="44" t="s">
        <v>567</v>
      </c>
      <c r="C159" s="59">
        <f t="shared" si="9"/>
        <v>1</v>
      </c>
      <c r="D159" s="44" t="s">
        <v>567</v>
      </c>
      <c r="E159" s="44" t="s">
        <v>890</v>
      </c>
      <c r="F159" s="59">
        <f t="shared" si="8"/>
        <v>1</v>
      </c>
    </row>
    <row r="160" spans="1:6">
      <c r="A160" t="s">
        <v>891</v>
      </c>
      <c r="B160" s="44" t="s">
        <v>569</v>
      </c>
      <c r="C160" s="59">
        <f t="shared" si="9"/>
        <v>1</v>
      </c>
      <c r="D160" s="44" t="s">
        <v>569</v>
      </c>
      <c r="E160" s="44" t="s">
        <v>891</v>
      </c>
      <c r="F160" s="59">
        <f t="shared" si="8"/>
        <v>1</v>
      </c>
    </row>
    <row r="161" spans="1:6">
      <c r="A161" t="s">
        <v>892</v>
      </c>
      <c r="B161" s="44" t="s">
        <v>571</v>
      </c>
      <c r="C161" s="59">
        <f t="shared" si="9"/>
        <v>1</v>
      </c>
      <c r="D161" s="44" t="s">
        <v>571</v>
      </c>
      <c r="E161" s="44" t="s">
        <v>892</v>
      </c>
      <c r="F161" s="59">
        <f t="shared" si="8"/>
        <v>1</v>
      </c>
    </row>
    <row r="162" spans="1:6">
      <c r="A162" t="s">
        <v>893</v>
      </c>
      <c r="B162" s="44" t="s">
        <v>573</v>
      </c>
      <c r="C162" s="59">
        <f t="shared" si="9"/>
        <v>1</v>
      </c>
      <c r="D162" s="44" t="s">
        <v>573</v>
      </c>
      <c r="E162" s="44" t="s">
        <v>893</v>
      </c>
      <c r="F162" s="59">
        <f t="shared" si="8"/>
        <v>1</v>
      </c>
    </row>
    <row r="163" spans="1:6">
      <c r="A163" t="s">
        <v>897</v>
      </c>
      <c r="B163" s="44" t="s">
        <v>575</v>
      </c>
      <c r="C163" s="59">
        <f t="shared" si="9"/>
        <v>1</v>
      </c>
      <c r="D163" s="44" t="s">
        <v>575</v>
      </c>
      <c r="E163" s="44" t="s">
        <v>897</v>
      </c>
      <c r="F163" s="59">
        <f t="shared" si="8"/>
        <v>1</v>
      </c>
    </row>
    <row r="164" spans="1:6">
      <c r="A164" t="s">
        <v>899</v>
      </c>
      <c r="B164" s="44" t="s">
        <v>577</v>
      </c>
      <c r="C164" s="59">
        <f t="shared" si="9"/>
        <v>1</v>
      </c>
      <c r="D164" s="44" t="s">
        <v>577</v>
      </c>
      <c r="E164" s="44" t="s">
        <v>899</v>
      </c>
      <c r="F164" s="59">
        <f t="shared" si="8"/>
        <v>1</v>
      </c>
    </row>
    <row r="165" spans="1:6">
      <c r="A165" t="s">
        <v>902</v>
      </c>
      <c r="B165" s="44" t="s">
        <v>579</v>
      </c>
      <c r="C165" s="59">
        <f t="shared" si="9"/>
        <v>1</v>
      </c>
      <c r="D165" s="44" t="s">
        <v>579</v>
      </c>
      <c r="E165" s="44" t="s">
        <v>902</v>
      </c>
      <c r="F165" s="59">
        <f t="shared" si="8"/>
        <v>1</v>
      </c>
    </row>
    <row r="166" spans="1:6">
      <c r="A166" t="s">
        <v>905</v>
      </c>
      <c r="B166" s="44" t="s">
        <v>581</v>
      </c>
      <c r="C166" s="59">
        <f t="shared" si="9"/>
        <v>1</v>
      </c>
      <c r="D166" s="44" t="s">
        <v>581</v>
      </c>
      <c r="E166" s="44" t="s">
        <v>905</v>
      </c>
      <c r="F166" s="59">
        <f t="shared" si="8"/>
        <v>1</v>
      </c>
    </row>
    <row r="167" spans="1:6">
      <c r="A167" t="s">
        <v>907</v>
      </c>
      <c r="B167" s="44" t="s">
        <v>583</v>
      </c>
      <c r="C167" s="59">
        <f t="shared" si="9"/>
        <v>1</v>
      </c>
      <c r="D167" s="44" t="s">
        <v>583</v>
      </c>
      <c r="E167" s="44" t="s">
        <v>907</v>
      </c>
      <c r="F167" s="59">
        <f t="shared" si="8"/>
        <v>1</v>
      </c>
    </row>
    <row r="168" spans="1:6">
      <c r="A168" t="s">
        <v>909</v>
      </c>
      <c r="B168" s="44" t="s">
        <v>585</v>
      </c>
      <c r="C168" s="59">
        <f t="shared" si="9"/>
        <v>1</v>
      </c>
      <c r="D168" s="44" t="s">
        <v>585</v>
      </c>
      <c r="E168" s="44" t="s">
        <v>909</v>
      </c>
      <c r="F168" s="59">
        <f t="shared" si="8"/>
        <v>1</v>
      </c>
    </row>
    <row r="169" spans="1:6">
      <c r="A169" t="s">
        <v>911</v>
      </c>
      <c r="B169" s="44" t="s">
        <v>587</v>
      </c>
      <c r="C169" s="59">
        <f t="shared" si="9"/>
        <v>1</v>
      </c>
      <c r="D169" s="44" t="s">
        <v>587</v>
      </c>
      <c r="E169" s="44" t="s">
        <v>911</v>
      </c>
      <c r="F169" s="59">
        <f t="shared" si="8"/>
        <v>1</v>
      </c>
    </row>
    <row r="170" spans="1:6">
      <c r="A170" t="s">
        <v>912</v>
      </c>
      <c r="B170" s="44" t="s">
        <v>589</v>
      </c>
      <c r="C170" s="59">
        <f t="shared" si="9"/>
        <v>1</v>
      </c>
      <c r="D170" s="44" t="s">
        <v>589</v>
      </c>
      <c r="E170" s="44" t="s">
        <v>912</v>
      </c>
      <c r="F170" s="59">
        <f t="shared" si="8"/>
        <v>1</v>
      </c>
    </row>
    <row r="171" spans="1:6">
      <c r="A171" t="s">
        <v>913</v>
      </c>
      <c r="B171" s="44" t="s">
        <v>591</v>
      </c>
      <c r="C171" s="59">
        <f t="shared" si="9"/>
        <v>1</v>
      </c>
      <c r="D171" s="44" t="s">
        <v>591</v>
      </c>
      <c r="E171" s="44" t="s">
        <v>913</v>
      </c>
      <c r="F171" s="59">
        <f t="shared" si="8"/>
        <v>1</v>
      </c>
    </row>
    <row r="172" spans="1:6">
      <c r="A172" t="s">
        <v>914</v>
      </c>
      <c r="B172" s="44" t="s">
        <v>593</v>
      </c>
      <c r="C172" s="59">
        <f t="shared" si="9"/>
        <v>1</v>
      </c>
      <c r="D172" s="44" t="s">
        <v>593</v>
      </c>
      <c r="E172" s="44" t="s">
        <v>914</v>
      </c>
      <c r="F172" s="59">
        <f t="shared" si="8"/>
        <v>1</v>
      </c>
    </row>
    <row r="173" spans="1:6">
      <c r="A173" t="s">
        <v>915</v>
      </c>
      <c r="B173" s="44" t="s">
        <v>595</v>
      </c>
      <c r="C173" s="59">
        <f t="shared" si="9"/>
        <v>1</v>
      </c>
      <c r="D173" s="44" t="s">
        <v>595</v>
      </c>
      <c r="E173" s="44" t="s">
        <v>915</v>
      </c>
      <c r="F173" s="59">
        <f t="shared" si="8"/>
        <v>1</v>
      </c>
    </row>
    <row r="174" spans="1:6">
      <c r="A174" t="s">
        <v>917</v>
      </c>
      <c r="B174" s="44" t="s">
        <v>597</v>
      </c>
      <c r="C174" s="59">
        <f t="shared" si="9"/>
        <v>1</v>
      </c>
      <c r="D174" s="44" t="s">
        <v>597</v>
      </c>
      <c r="E174" s="44" t="s">
        <v>917</v>
      </c>
      <c r="F174" s="59">
        <f t="shared" si="8"/>
        <v>1</v>
      </c>
    </row>
    <row r="175" spans="1:6">
      <c r="A175" t="s">
        <v>918</v>
      </c>
      <c r="B175" s="44" t="s">
        <v>599</v>
      </c>
      <c r="C175" s="59">
        <f t="shared" si="9"/>
        <v>1</v>
      </c>
      <c r="D175" s="44" t="s">
        <v>599</v>
      </c>
      <c r="E175" s="44" t="s">
        <v>918</v>
      </c>
      <c r="F175" s="59">
        <f t="shared" si="8"/>
        <v>1</v>
      </c>
    </row>
    <row r="176" spans="1:6">
      <c r="A176" t="s">
        <v>919</v>
      </c>
      <c r="B176" s="44" t="s">
        <v>601</v>
      </c>
      <c r="C176" s="59">
        <f t="shared" si="9"/>
        <v>1</v>
      </c>
      <c r="D176" s="44" t="s">
        <v>601</v>
      </c>
      <c r="E176" s="44" t="s">
        <v>919</v>
      </c>
      <c r="F176" s="59">
        <f t="shared" si="8"/>
        <v>1</v>
      </c>
    </row>
    <row r="177" spans="1:6">
      <c r="A177" t="s">
        <v>920</v>
      </c>
      <c r="B177" s="44" t="s">
        <v>603</v>
      </c>
      <c r="C177" s="59">
        <f t="shared" si="9"/>
        <v>1</v>
      </c>
      <c r="D177" s="44" t="s">
        <v>603</v>
      </c>
      <c r="E177" s="44" t="s">
        <v>920</v>
      </c>
      <c r="F177" s="59">
        <f t="shared" si="8"/>
        <v>1</v>
      </c>
    </row>
    <row r="178" spans="1:6">
      <c r="A178" t="s">
        <v>921</v>
      </c>
      <c r="B178" s="44" t="s">
        <v>605</v>
      </c>
      <c r="C178" s="59">
        <f t="shared" si="9"/>
        <v>1</v>
      </c>
      <c r="D178" s="44" t="s">
        <v>605</v>
      </c>
      <c r="E178" s="44" t="s">
        <v>921</v>
      </c>
      <c r="F178" s="59">
        <f t="shared" si="8"/>
        <v>1</v>
      </c>
    </row>
    <row r="179" spans="1:6">
      <c r="A179" t="s">
        <v>922</v>
      </c>
      <c r="B179" s="44" t="s">
        <v>607</v>
      </c>
      <c r="C179" s="59">
        <f t="shared" si="9"/>
        <v>1</v>
      </c>
      <c r="D179" s="44" t="s">
        <v>607</v>
      </c>
      <c r="E179" s="44" t="s">
        <v>922</v>
      </c>
      <c r="F179" s="59">
        <f t="shared" si="8"/>
        <v>1</v>
      </c>
    </row>
    <row r="180" spans="1:6">
      <c r="A180" t="s">
        <v>923</v>
      </c>
      <c r="B180" s="44" t="s">
        <v>609</v>
      </c>
      <c r="C180" s="59">
        <f t="shared" si="9"/>
        <v>1</v>
      </c>
      <c r="D180" s="44" t="s">
        <v>609</v>
      </c>
      <c r="E180" s="44" t="s">
        <v>923</v>
      </c>
      <c r="F180" s="59">
        <f t="shared" si="8"/>
        <v>1</v>
      </c>
    </row>
    <row r="181" spans="1:6">
      <c r="A181" t="s">
        <v>925</v>
      </c>
      <c r="B181" s="44" t="s">
        <v>611</v>
      </c>
      <c r="C181" s="59">
        <f t="shared" si="9"/>
        <v>1</v>
      </c>
      <c r="D181" s="44" t="s">
        <v>611</v>
      </c>
      <c r="E181" s="44" t="s">
        <v>925</v>
      </c>
      <c r="F181" s="59">
        <f t="shared" si="8"/>
        <v>1</v>
      </c>
    </row>
    <row r="182" spans="1:6">
      <c r="A182" t="s">
        <v>926</v>
      </c>
      <c r="B182" s="44" t="s">
        <v>613</v>
      </c>
      <c r="C182" s="59">
        <f t="shared" si="9"/>
        <v>1</v>
      </c>
      <c r="D182" s="44" t="s">
        <v>613</v>
      </c>
      <c r="E182" s="44" t="s">
        <v>926</v>
      </c>
      <c r="F182" s="59">
        <f t="shared" si="8"/>
        <v>1</v>
      </c>
    </row>
    <row r="183" spans="1:6">
      <c r="A183" t="s">
        <v>927</v>
      </c>
      <c r="B183" s="44" t="s">
        <v>615</v>
      </c>
      <c r="C183" s="59">
        <f t="shared" si="9"/>
        <v>1</v>
      </c>
      <c r="D183" s="44" t="s">
        <v>615</v>
      </c>
      <c r="E183" s="44" t="s">
        <v>927</v>
      </c>
      <c r="F183" s="59">
        <f t="shared" si="8"/>
        <v>1</v>
      </c>
    </row>
    <row r="184" spans="1:6">
      <c r="A184" t="s">
        <v>929</v>
      </c>
      <c r="B184" s="44" t="s">
        <v>617</v>
      </c>
      <c r="C184" s="59">
        <f t="shared" si="9"/>
        <v>1</v>
      </c>
      <c r="D184" s="44" t="s">
        <v>617</v>
      </c>
      <c r="E184" s="44" t="s">
        <v>929</v>
      </c>
      <c r="F184" s="59">
        <f t="shared" si="8"/>
        <v>1</v>
      </c>
    </row>
    <row r="185" spans="1:6">
      <c r="A185" t="s">
        <v>930</v>
      </c>
      <c r="B185" s="44" t="s">
        <v>619</v>
      </c>
      <c r="C185" s="59">
        <f t="shared" si="9"/>
        <v>1</v>
      </c>
      <c r="D185" s="44" t="s">
        <v>619</v>
      </c>
      <c r="E185" s="44" t="s">
        <v>930</v>
      </c>
      <c r="F185" s="59">
        <f t="shared" si="8"/>
        <v>1</v>
      </c>
    </row>
    <row r="186" spans="1:6">
      <c r="A186" t="s">
        <v>931</v>
      </c>
      <c r="B186" s="44" t="s">
        <v>621</v>
      </c>
      <c r="C186" s="59">
        <f t="shared" si="9"/>
        <v>1</v>
      </c>
      <c r="D186" s="44" t="s">
        <v>621</v>
      </c>
      <c r="E186" s="44" t="s">
        <v>931</v>
      </c>
      <c r="F186" s="59">
        <f t="shared" si="8"/>
        <v>1</v>
      </c>
    </row>
    <row r="187" spans="1:6">
      <c r="A187" t="s">
        <v>932</v>
      </c>
      <c r="B187" s="44" t="s">
        <v>623</v>
      </c>
      <c r="C187" s="59">
        <f t="shared" si="9"/>
        <v>1</v>
      </c>
      <c r="D187" s="44" t="s">
        <v>623</v>
      </c>
      <c r="E187" s="44" t="s">
        <v>932</v>
      </c>
      <c r="F187" s="59">
        <f t="shared" si="8"/>
        <v>1</v>
      </c>
    </row>
    <row r="188" spans="1:6">
      <c r="A188" t="s">
        <v>933</v>
      </c>
      <c r="B188" s="44" t="s">
        <v>625</v>
      </c>
      <c r="C188" s="59">
        <f t="shared" si="9"/>
        <v>1</v>
      </c>
      <c r="D188" s="44" t="s">
        <v>625</v>
      </c>
      <c r="E188" s="44" t="s">
        <v>933</v>
      </c>
      <c r="F188" s="59">
        <f t="shared" si="8"/>
        <v>1</v>
      </c>
    </row>
    <row r="189" spans="1:6">
      <c r="A189" t="s">
        <v>935</v>
      </c>
      <c r="B189" s="44" t="s">
        <v>627</v>
      </c>
      <c r="C189" s="59">
        <f t="shared" si="9"/>
        <v>1</v>
      </c>
      <c r="D189" s="44" t="s">
        <v>627</v>
      </c>
      <c r="E189" s="44" t="s">
        <v>935</v>
      </c>
      <c r="F189" s="59">
        <f t="shared" si="8"/>
        <v>1</v>
      </c>
    </row>
    <row r="190" spans="1:6">
      <c r="A190" t="s">
        <v>936</v>
      </c>
      <c r="B190" s="44" t="s">
        <v>629</v>
      </c>
      <c r="C190" s="59">
        <f t="shared" si="9"/>
        <v>1</v>
      </c>
      <c r="D190" s="44" t="s">
        <v>629</v>
      </c>
      <c r="E190" s="44" t="s">
        <v>936</v>
      </c>
      <c r="F190" s="59">
        <f t="shared" si="8"/>
        <v>1</v>
      </c>
    </row>
    <row r="191" spans="1:6">
      <c r="A191" t="s">
        <v>937</v>
      </c>
      <c r="B191" s="44" t="s">
        <v>631</v>
      </c>
      <c r="C191" s="59">
        <f t="shared" si="9"/>
        <v>1</v>
      </c>
      <c r="D191" s="44" t="s">
        <v>631</v>
      </c>
      <c r="E191" s="44" t="s">
        <v>937</v>
      </c>
      <c r="F191" s="59">
        <f t="shared" si="8"/>
        <v>1</v>
      </c>
    </row>
    <row r="192" spans="1:6">
      <c r="A192" t="s">
        <v>939</v>
      </c>
      <c r="B192" s="44" t="s">
        <v>633</v>
      </c>
      <c r="C192" s="59">
        <f t="shared" si="9"/>
        <v>1</v>
      </c>
      <c r="D192" s="44" t="s">
        <v>633</v>
      </c>
      <c r="E192" s="44" t="s">
        <v>939</v>
      </c>
      <c r="F192" s="59">
        <f t="shared" si="8"/>
        <v>1</v>
      </c>
    </row>
    <row r="193" spans="1:6">
      <c r="A193" t="s">
        <v>940</v>
      </c>
      <c r="B193" s="44" t="s">
        <v>635</v>
      </c>
      <c r="C193" s="59">
        <f t="shared" si="9"/>
        <v>1</v>
      </c>
      <c r="D193" s="44" t="s">
        <v>635</v>
      </c>
      <c r="E193" s="44" t="s">
        <v>940</v>
      </c>
      <c r="F193" s="59">
        <f t="shared" si="8"/>
        <v>1</v>
      </c>
    </row>
    <row r="194" spans="1:6">
      <c r="A194" t="s">
        <v>941</v>
      </c>
      <c r="B194" s="44" t="s">
        <v>637</v>
      </c>
      <c r="C194" s="59">
        <f t="shared" si="9"/>
        <v>1</v>
      </c>
      <c r="D194" s="44" t="s">
        <v>637</v>
      </c>
      <c r="E194" s="44" t="s">
        <v>941</v>
      </c>
      <c r="F194" s="59">
        <f t="shared" si="8"/>
        <v>1</v>
      </c>
    </row>
    <row r="195" spans="1:6">
      <c r="A195" t="s">
        <v>942</v>
      </c>
      <c r="B195" s="44" t="s">
        <v>639</v>
      </c>
      <c r="C195" s="59">
        <f t="shared" si="9"/>
        <v>1</v>
      </c>
      <c r="D195" s="44" t="s">
        <v>639</v>
      </c>
      <c r="E195" s="44" t="s">
        <v>942</v>
      </c>
      <c r="F195" s="59">
        <f t="shared" si="8"/>
        <v>1</v>
      </c>
    </row>
    <row r="196" spans="1:6">
      <c r="A196" t="s">
        <v>943</v>
      </c>
      <c r="B196" s="44" t="s">
        <v>641</v>
      </c>
      <c r="C196" s="59">
        <f t="shared" si="9"/>
        <v>1</v>
      </c>
      <c r="D196" s="44" t="s">
        <v>641</v>
      </c>
      <c r="E196" s="44" t="s">
        <v>943</v>
      </c>
      <c r="F196" s="59">
        <f t="shared" si="8"/>
        <v>1</v>
      </c>
    </row>
    <row r="197" spans="1:6">
      <c r="A197" t="s">
        <v>944</v>
      </c>
      <c r="B197" s="44" t="s">
        <v>643</v>
      </c>
      <c r="C197" s="59">
        <f t="shared" si="9"/>
        <v>1</v>
      </c>
      <c r="D197" s="44" t="s">
        <v>643</v>
      </c>
      <c r="E197" s="44" t="s">
        <v>944</v>
      </c>
      <c r="F197" s="59">
        <f t="shared" si="8"/>
        <v>1</v>
      </c>
    </row>
    <row r="198" spans="1:6">
      <c r="A198" t="s">
        <v>945</v>
      </c>
      <c r="B198" s="44" t="s">
        <v>645</v>
      </c>
      <c r="C198" s="59">
        <f t="shared" si="9"/>
        <v>1</v>
      </c>
      <c r="D198" s="44" t="s">
        <v>645</v>
      </c>
      <c r="E198" s="44" t="s">
        <v>945</v>
      </c>
      <c r="F198" s="59">
        <f t="shared" si="8"/>
        <v>1</v>
      </c>
    </row>
    <row r="199" spans="1:6">
      <c r="A199" t="s">
        <v>946</v>
      </c>
      <c r="B199" s="44" t="s">
        <v>647</v>
      </c>
      <c r="C199" s="59">
        <f t="shared" si="9"/>
        <v>1</v>
      </c>
      <c r="D199" s="44" t="s">
        <v>647</v>
      </c>
      <c r="E199" s="44" t="s">
        <v>946</v>
      </c>
      <c r="F199" s="59">
        <f t="shared" si="8"/>
        <v>1</v>
      </c>
    </row>
    <row r="200" spans="1:6">
      <c r="A200" t="s">
        <v>947</v>
      </c>
      <c r="B200" s="44" t="s">
        <v>649</v>
      </c>
      <c r="C200" s="59">
        <f t="shared" si="9"/>
        <v>1</v>
      </c>
      <c r="D200" s="44" t="s">
        <v>649</v>
      </c>
      <c r="E200" s="44" t="s">
        <v>947</v>
      </c>
      <c r="F200" s="59">
        <f t="shared" ref="F200:F213" si="10" xml:space="preserve"> IF(E200=A200, 1, 0)</f>
        <v>1</v>
      </c>
    </row>
    <row r="201" spans="1:6">
      <c r="A201" t="s">
        <v>948</v>
      </c>
      <c r="B201" s="44" t="s">
        <v>651</v>
      </c>
      <c r="C201" s="59">
        <f t="shared" si="9"/>
        <v>1</v>
      </c>
      <c r="D201" s="44" t="s">
        <v>651</v>
      </c>
      <c r="E201" s="44" t="s">
        <v>948</v>
      </c>
      <c r="F201" s="59">
        <f t="shared" si="10"/>
        <v>1</v>
      </c>
    </row>
    <row r="202" spans="1:6">
      <c r="A202" t="s">
        <v>949</v>
      </c>
      <c r="B202" s="44" t="s">
        <v>653</v>
      </c>
      <c r="C202" s="59">
        <f t="shared" si="9"/>
        <v>1</v>
      </c>
      <c r="D202" s="44" t="s">
        <v>653</v>
      </c>
      <c r="E202" s="44" t="s">
        <v>949</v>
      </c>
      <c r="F202" s="59">
        <f t="shared" si="10"/>
        <v>1</v>
      </c>
    </row>
    <row r="203" spans="1:6">
      <c r="A203" t="s">
        <v>950</v>
      </c>
      <c r="B203" s="44" t="s">
        <v>655</v>
      </c>
      <c r="C203" s="59">
        <f t="shared" si="9"/>
        <v>1</v>
      </c>
      <c r="D203" s="44" t="s">
        <v>655</v>
      </c>
      <c r="E203" s="44" t="s">
        <v>950</v>
      </c>
      <c r="F203" s="59">
        <f t="shared" si="10"/>
        <v>1</v>
      </c>
    </row>
    <row r="204" spans="1:6">
      <c r="A204" t="s">
        <v>951</v>
      </c>
      <c r="B204" s="44" t="s">
        <v>657</v>
      </c>
      <c r="C204" s="59">
        <f t="shared" ref="C204:C213" si="11">IF(D204=B204, 1, 0)</f>
        <v>1</v>
      </c>
      <c r="D204" s="44" t="s">
        <v>657</v>
      </c>
      <c r="E204" s="44" t="s">
        <v>951</v>
      </c>
      <c r="F204" s="59">
        <f t="shared" si="10"/>
        <v>1</v>
      </c>
    </row>
    <row r="205" spans="1:6">
      <c r="A205" t="s">
        <v>952</v>
      </c>
      <c r="B205" s="44" t="s">
        <v>659</v>
      </c>
      <c r="C205" s="59">
        <f t="shared" si="11"/>
        <v>1</v>
      </c>
      <c r="D205" s="44" t="s">
        <v>659</v>
      </c>
      <c r="E205" s="44" t="s">
        <v>952</v>
      </c>
      <c r="F205" s="59">
        <f t="shared" si="10"/>
        <v>1</v>
      </c>
    </row>
    <row r="206" spans="1:6">
      <c r="A206" t="s">
        <v>953</v>
      </c>
      <c r="B206" s="44" t="s">
        <v>661</v>
      </c>
      <c r="C206" s="59">
        <f t="shared" si="11"/>
        <v>1</v>
      </c>
      <c r="D206" s="44" t="s">
        <v>661</v>
      </c>
      <c r="E206" s="44" t="s">
        <v>953</v>
      </c>
      <c r="F206" s="59">
        <f t="shared" si="10"/>
        <v>1</v>
      </c>
    </row>
    <row r="207" spans="1:6">
      <c r="A207" t="s">
        <v>954</v>
      </c>
      <c r="B207" s="44" t="s">
        <v>663</v>
      </c>
      <c r="C207" s="59">
        <f t="shared" si="11"/>
        <v>1</v>
      </c>
      <c r="D207" s="44" t="s">
        <v>663</v>
      </c>
      <c r="E207" s="44" t="s">
        <v>954</v>
      </c>
      <c r="F207" s="59">
        <f t="shared" si="10"/>
        <v>1</v>
      </c>
    </row>
    <row r="208" spans="1:6">
      <c r="A208" t="s">
        <v>956</v>
      </c>
      <c r="B208" s="44" t="s">
        <v>665</v>
      </c>
      <c r="C208" s="59">
        <f t="shared" si="11"/>
        <v>1</v>
      </c>
      <c r="D208" s="44" t="s">
        <v>665</v>
      </c>
      <c r="E208" s="44" t="s">
        <v>956</v>
      </c>
      <c r="F208" s="59">
        <f t="shared" si="10"/>
        <v>1</v>
      </c>
    </row>
    <row r="209" spans="1:6">
      <c r="A209" t="s">
        <v>957</v>
      </c>
      <c r="B209" s="44" t="s">
        <v>667</v>
      </c>
      <c r="C209" s="59">
        <f t="shared" si="11"/>
        <v>1</v>
      </c>
      <c r="D209" s="44" t="s">
        <v>667</v>
      </c>
      <c r="E209" s="44" t="s">
        <v>957</v>
      </c>
      <c r="F209" s="59">
        <f t="shared" si="10"/>
        <v>1</v>
      </c>
    </row>
    <row r="210" spans="1:6">
      <c r="A210" t="s">
        <v>958</v>
      </c>
      <c r="B210" s="44" t="s">
        <v>669</v>
      </c>
      <c r="C210" s="59">
        <f t="shared" si="11"/>
        <v>1</v>
      </c>
      <c r="D210" s="44" t="s">
        <v>669</v>
      </c>
      <c r="E210" s="44" t="s">
        <v>958</v>
      </c>
      <c r="F210" s="59">
        <f t="shared" si="10"/>
        <v>1</v>
      </c>
    </row>
    <row r="211" spans="1:6">
      <c r="A211" t="s">
        <v>959</v>
      </c>
      <c r="B211" s="44" t="s">
        <v>671</v>
      </c>
      <c r="C211" s="59">
        <f t="shared" si="11"/>
        <v>1</v>
      </c>
      <c r="D211" s="44" t="s">
        <v>671</v>
      </c>
      <c r="E211" s="44" t="s">
        <v>959</v>
      </c>
      <c r="F211" s="59">
        <f t="shared" si="10"/>
        <v>1</v>
      </c>
    </row>
    <row r="212" spans="1:6">
      <c r="A212" t="s">
        <v>960</v>
      </c>
      <c r="B212" s="44" t="s">
        <v>673</v>
      </c>
      <c r="C212" s="59">
        <f t="shared" si="11"/>
        <v>1</v>
      </c>
      <c r="D212" s="44" t="s">
        <v>673</v>
      </c>
      <c r="E212" s="44" t="s">
        <v>960</v>
      </c>
      <c r="F212" s="59">
        <f t="shared" si="10"/>
        <v>1</v>
      </c>
    </row>
    <row r="213" spans="1:6">
      <c r="A213" t="s">
        <v>961</v>
      </c>
      <c r="B213" s="44" t="s">
        <v>675</v>
      </c>
      <c r="C213" s="59">
        <f t="shared" si="11"/>
        <v>1</v>
      </c>
      <c r="D213" s="44" t="s">
        <v>675</v>
      </c>
      <c r="E213" s="44" t="s">
        <v>961</v>
      </c>
      <c r="F213" s="59">
        <f t="shared" si="10"/>
        <v>1</v>
      </c>
    </row>
  </sheetData>
  <sortState xmlns:xlrd2="http://schemas.microsoft.com/office/spreadsheetml/2017/richdata2" ref="O8:P300">
    <sortCondition ref="O8:O300"/>
    <sortCondition ref="P8:P300"/>
  </sortState>
  <mergeCells count="2">
    <mergeCell ref="C1:C6"/>
    <mergeCell ref="F1:F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acb6d29-b76e-4679-9dfb-235d3be564d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25FD4A9DA1B741AD9A797789026E7A" ma:contentTypeVersion="9" ma:contentTypeDescription="Create a new document." ma:contentTypeScope="" ma:versionID="13e736467bde2a87224a649e9ec93243">
  <xsd:schema xmlns:xsd="http://www.w3.org/2001/XMLSchema" xmlns:xs="http://www.w3.org/2001/XMLSchema" xmlns:p="http://schemas.microsoft.com/office/2006/metadata/properties" xmlns:ns2="9acb6d29-b76e-4679-9dfb-235d3be564dc" targetNamespace="http://schemas.microsoft.com/office/2006/metadata/properties" ma:root="true" ma:fieldsID="6c6861e182790da7b8d105607ab44e1c" ns2:_="">
    <xsd:import namespace="9acb6d29-b76e-4679-9dfb-235d3be564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cb6d29-b76e-4679-9dfb-235d3be564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54eff52-6b6d-4e5f-a3b0-187f185b1db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0B5FB6-64FD-4DE3-996E-9D284477A57C}">
  <ds:schemaRefs>
    <ds:schemaRef ds:uri="http://schemas.microsoft.com/office/2006/metadata/properties"/>
    <ds:schemaRef ds:uri="http://schemas.microsoft.com/office/infopath/2007/PartnerControls"/>
    <ds:schemaRef ds:uri="9acb6d29-b76e-4679-9dfb-235d3be564dc"/>
  </ds:schemaRefs>
</ds:datastoreItem>
</file>

<file path=customXml/itemProps2.xml><?xml version="1.0" encoding="utf-8"?>
<ds:datastoreItem xmlns:ds="http://schemas.openxmlformats.org/officeDocument/2006/customXml" ds:itemID="{E92AFD05-CF58-4DDF-9AD1-4AAFAB06E8D6}">
  <ds:schemaRefs>
    <ds:schemaRef ds:uri="http://schemas.microsoft.com/sharepoint/v3/contenttype/forms"/>
  </ds:schemaRefs>
</ds:datastoreItem>
</file>

<file path=customXml/itemProps3.xml><?xml version="1.0" encoding="utf-8"?>
<ds:datastoreItem xmlns:ds="http://schemas.openxmlformats.org/officeDocument/2006/customXml" ds:itemID="{A9E1319E-65FA-4846-AF49-F10EC40EB9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cb6d29-b76e-4679-9dfb-235d3be564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Draft Student-facing 25-26 CW1</vt:lpstr>
      <vt:lpstr>Task 2a - Mitigating the Proble</vt:lpstr>
      <vt:lpstr>Summary</vt:lpstr>
      <vt:lpstr>Collate Feedback</vt:lpstr>
      <vt:lpstr>Paste for Upload</vt:lpstr>
      <vt:lpstr>Paste for Upload (Late)</vt:lpstr>
      <vt:lpstr>Early_code</vt:lpstr>
      <vt:lpstr>Sheet1</vt:lpstr>
      <vt:lpstr>Early_code (2)</vt:lpstr>
      <vt:lpstr>Late vs Early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Pavlos Andreadis</cp:lastModifiedBy>
  <cp:revision>20</cp:revision>
  <dcterms:created xsi:type="dcterms:W3CDTF">2022-11-03T10:36:48Z</dcterms:created>
  <dcterms:modified xsi:type="dcterms:W3CDTF">2025-11-11T17:44:32Z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0x010100A125FD4A9DA1B741AD9A797789026E7A</vt:lpwstr>
  </property>
  <property fmtid="{D5CDD505-2E9C-101B-9397-08002B2CF9AE}" pid="4" name="MediaServiceImageTags">
    <vt:lpwstr/>
  </property>
</Properties>
</file>